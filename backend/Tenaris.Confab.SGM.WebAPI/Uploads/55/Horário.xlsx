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Fabio\Documents\"/>
    </mc:Choice>
  </mc:AlternateContent>
  <bookViews>
    <workbookView xWindow="0" yWindow="0" windowWidth="19200" windowHeight="7155"/>
  </bookViews>
  <sheets>
    <sheet name="Planilha1" sheetId="1" r:id="rId1"/>
    <sheet name="Plan1" sheetId="2" r:id="rId2"/>
  </sheets>
  <definedNames>
    <definedName name="_xlnm._FilterDatabase" localSheetId="0" hidden="1">Planilha1!$A$1:$D$207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D3" i="2" s="1"/>
  <c r="B4" i="2"/>
  <c r="C4" i="2" s="1"/>
  <c r="B5" i="2"/>
  <c r="C5" i="2" s="1"/>
  <c r="B6" i="2"/>
  <c r="C6" i="2" s="1"/>
  <c r="B7" i="2"/>
  <c r="D7" i="2" s="1"/>
  <c r="B8" i="2"/>
  <c r="D8" i="2" s="1"/>
  <c r="B9" i="2"/>
  <c r="D9" i="2" s="1"/>
  <c r="B10" i="2"/>
  <c r="C10" i="2" s="1"/>
  <c r="B11" i="2"/>
  <c r="D11" i="2" s="1"/>
  <c r="B12" i="2"/>
  <c r="D12" i="2" s="1"/>
  <c r="B13" i="2"/>
  <c r="D13" i="2" s="1"/>
  <c r="B14" i="2"/>
  <c r="C14" i="2" s="1"/>
  <c r="B15" i="2"/>
  <c r="D15" i="2" s="1"/>
  <c r="B16" i="2"/>
  <c r="D16" i="2" s="1"/>
  <c r="B17" i="2"/>
  <c r="C17" i="2" s="1"/>
  <c r="B18" i="2"/>
  <c r="C18" i="2" s="1"/>
  <c r="B19" i="2"/>
  <c r="D19" i="2" s="1"/>
  <c r="B20" i="2"/>
  <c r="C20" i="2" s="1"/>
  <c r="B21" i="2"/>
  <c r="C21" i="2" s="1"/>
  <c r="B22" i="2"/>
  <c r="C22" i="2" s="1"/>
  <c r="B2" i="2"/>
  <c r="D2" i="2" s="1"/>
  <c r="C13" i="2" l="1"/>
  <c r="D21" i="2"/>
  <c r="D5" i="2"/>
  <c r="C9" i="2"/>
  <c r="D18" i="2"/>
  <c r="D10" i="2"/>
  <c r="D17" i="2"/>
  <c r="D22" i="2"/>
  <c r="D14" i="2"/>
  <c r="D6" i="2"/>
  <c r="C16" i="2"/>
  <c r="C12" i="2"/>
  <c r="C8" i="2"/>
  <c r="C2" i="2"/>
  <c r="C19" i="2"/>
  <c r="C15" i="2"/>
  <c r="C11" i="2"/>
  <c r="C7" i="2"/>
  <c r="C3" i="2"/>
  <c r="D20" i="2"/>
  <c r="D4" i="2"/>
</calcChain>
</file>

<file path=xl/sharedStrings.xml><?xml version="1.0" encoding="utf-8"?>
<sst xmlns="http://schemas.openxmlformats.org/spreadsheetml/2006/main" count="436" uniqueCount="151">
  <si>
    <t>DATA</t>
  </si>
  <si>
    <t>ATIVIDADES</t>
  </si>
  <si>
    <t>Instalação e Configuração de ferrramentas para desenvolvimento</t>
  </si>
  <si>
    <r>
      <rPr>
        <b/>
        <sz val="11"/>
        <color theme="1"/>
        <rFont val="Calibri"/>
        <family val="2"/>
        <scheme val="minor"/>
      </rPr>
      <t>Problema</t>
    </r>
    <r>
      <rPr>
        <sz val="11"/>
        <color theme="1"/>
        <rFont val="Calibri"/>
        <family val="2"/>
        <scheme val="minor"/>
      </rPr>
      <t xml:space="preserve">: Não está sendo exibido PIE para o lançamento dos ensaios de soldagem da REDE. </t>
    </r>
    <r>
      <rPr>
        <b/>
        <sz val="11"/>
        <color theme="1"/>
        <rFont val="Calibri"/>
        <family val="2"/>
        <scheme val="minor"/>
      </rPr>
      <t>Solução</t>
    </r>
    <r>
      <rPr>
        <sz val="11"/>
        <color theme="1"/>
        <rFont val="Calibri"/>
        <family val="2"/>
        <scheme val="minor"/>
      </rPr>
      <t>: Foi verificado que o PIE não estava sendo exibido porque os ensaios estavam se a fase de Entrada de CP.</t>
    </r>
  </si>
  <si>
    <r>
      <rPr>
        <b/>
        <sz val="11"/>
        <color theme="1"/>
        <rFont val="Calibri"/>
        <family val="2"/>
        <scheme val="minor"/>
      </rPr>
      <t>Problema</t>
    </r>
    <r>
      <rPr>
        <sz val="11"/>
        <color theme="1"/>
        <rFont val="Calibri"/>
        <family val="2"/>
        <scheme val="minor"/>
      </rPr>
      <t xml:space="preserve">: Usuário informou que não realizou os ensaios exibidos em seu Login. </t>
    </r>
    <r>
      <rPr>
        <b/>
        <sz val="11"/>
        <color theme="1"/>
        <rFont val="Calibri"/>
        <family val="2"/>
        <scheme val="minor"/>
      </rPr>
      <t>Solução</t>
    </r>
    <r>
      <rPr>
        <sz val="11"/>
        <color theme="1"/>
        <rFont val="Calibri"/>
        <family val="2"/>
        <scheme val="minor"/>
      </rPr>
      <t>: Foi identificado que os ensaios foram lançados com o Login do usuário sem nenhuma ação automática do sistema.</t>
    </r>
  </si>
  <si>
    <t>Análise e orçamento para o projeto Registro Manual de Ensaio</t>
  </si>
  <si>
    <t>Levantamento de necessidades para finalizar a configuração do novo servidor do Laboratório.</t>
  </si>
  <si>
    <t>Restruturação de pastas do projeto MESLAB no SVN para uma estrutura mais simples devido a vários problemas de referência de dll's.</t>
  </si>
  <si>
    <r>
      <rPr>
        <b/>
        <sz val="11"/>
        <color theme="1"/>
        <rFont val="Calibri"/>
        <family val="2"/>
        <scheme val="minor"/>
      </rPr>
      <t xml:space="preserve">Problema: </t>
    </r>
    <r>
      <rPr>
        <sz val="11"/>
        <color theme="1"/>
        <rFont val="Calibri"/>
        <family val="2"/>
        <scheme val="minor"/>
      </rPr>
      <t xml:space="preserve">Problemas de espaço em disco no servidor n3lab. Verificar o que pode ser feito para liberar espaço. </t>
    </r>
    <r>
      <rPr>
        <b/>
        <sz val="11"/>
        <color theme="1"/>
        <rFont val="Calibri"/>
        <family val="2"/>
        <scheme val="minor"/>
      </rPr>
      <t xml:space="preserve">Solução: </t>
    </r>
    <r>
      <rPr>
        <sz val="11"/>
        <color theme="1"/>
        <rFont val="Calibri"/>
        <family val="2"/>
        <scheme val="minor"/>
      </rPr>
      <t>Foi aplicado Shrink na base de dados MESLAB devido seu arquivo de log estar ocupando 153 GB.</t>
    </r>
  </si>
  <si>
    <r>
      <rPr>
        <b/>
        <sz val="11"/>
        <color theme="1"/>
        <rFont val="Calibri"/>
        <family val="2"/>
        <scheme val="minor"/>
      </rPr>
      <t>Projeto:</t>
    </r>
    <r>
      <rPr>
        <sz val="11"/>
        <color theme="1"/>
        <rFont val="Calibri"/>
        <family val="2"/>
        <scheme val="minor"/>
      </rPr>
      <t xml:space="preserve"> Registro manual de Ensaio</t>
    </r>
  </si>
  <si>
    <t>Sistema eQuality não está exibindo a quantidade correta de peças processadas na fábrica de conectores. Foi identificado que essas peças foram enviadas do nível 2 para o SRQ porém o mesmo não está devolvendo a quantidade correta devido ao cruzamento de peças processadas com peças inspecionadas. TI está verificando o que está ocorrendo.</t>
  </si>
  <si>
    <t>Manutenção eQuality</t>
  </si>
  <si>
    <t xml:space="preserve"> Registro manual de Ensaio</t>
  </si>
  <si>
    <t>Manutenção Laboratório</t>
  </si>
  <si>
    <t>Configuração Servidor Lab</t>
  </si>
  <si>
    <t>Manutenção AUTM</t>
  </si>
  <si>
    <t>Projeto</t>
  </si>
  <si>
    <t>Horas</t>
  </si>
  <si>
    <t>Reenvio dos dados de inspeções de Janeiro, Fevereiro e Março ao SRQ.</t>
  </si>
  <si>
    <t>Acerto no serviço em envio de defeitos, inspeções e processos para o SRQ e reenvio dos dados dos meses anteriores.</t>
  </si>
  <si>
    <t>Desenvolvimento da tela de configuração de ensaios para emissão do registro manual de ensaios.</t>
  </si>
  <si>
    <t>Registro Manual de Ensaio</t>
  </si>
  <si>
    <t>Extração da lista de Estações contidas na base de dados.</t>
  </si>
  <si>
    <t>Reprocessamento dos dados de Janeiro, Fevereiro e Março da Fábrica 6.</t>
  </si>
  <si>
    <t>Análise do código fonte da interface que realiza a baixa do SRQ para o eQuality. Após a análise foram realizadas os procedimentos necessários para realizar a baixas dos dados.</t>
  </si>
  <si>
    <t>Reprocessamentos dos meses de Agosto e Outubro da Fábrica 1 e Setembro, Novembro e Dezembro da Fábrica 4.</t>
  </si>
  <si>
    <t>Configuração do Banco de Dados MESLAB</t>
  </si>
  <si>
    <t>Configuração do Banco de Dados MESLAB / Testes de interface com SRQ</t>
  </si>
  <si>
    <t>Configuração das Aplicações Web e Serviços</t>
  </si>
  <si>
    <t>Migração do banco de dados MESLAB para o novo servidor CFBAUTOLAB.</t>
  </si>
  <si>
    <t>Acompanhamento da migração do Banco de Dados e testes das páginas da aplicação web no novo servidor CFBAUTOLAB.</t>
  </si>
  <si>
    <t>Configuração da página que realiza interface com o SRQ no novo servidor CFBAUTOLAB.</t>
  </si>
  <si>
    <t>Configuração dos equipamentos do laboratório para exportação de arquivos ao novo servidor e copia dos arquivos antigos gerados pelos equipamentos para o novo servidor.</t>
  </si>
  <si>
    <t>Migração dos relatórios do servidor antigo para o novo servidor.</t>
  </si>
  <si>
    <t>Verificação de problemas com a baixa de inspeçoes do SRQ para eQuality.</t>
  </si>
  <si>
    <t>Desenvolvimento da tela de registro de ensaios.</t>
  </si>
  <si>
    <t>Manutenção Equality</t>
  </si>
  <si>
    <t>Divergências entre eQUality e SRQ</t>
  </si>
  <si>
    <t>Manutenção AUS F4</t>
  </si>
  <si>
    <t>Restauração do banco de dados do AUS</t>
  </si>
  <si>
    <t>Correção de problemas de interface com SRQ</t>
  </si>
  <si>
    <t>Overnight</t>
  </si>
  <si>
    <t>Desenvolvimento da página de histórico de Overnight das Máquinas de Soldas internas</t>
  </si>
  <si>
    <t>Presets Conectores</t>
  </si>
  <si>
    <t>Melhoria na página de gerenciamento de presets de conectores</t>
  </si>
  <si>
    <t>Registro manual de Ensaio</t>
  </si>
  <si>
    <t>Alteração na aplicação de presets de N2 para atender a novas regras geradas pela página de presets N3.</t>
  </si>
  <si>
    <t>Ajustes nas legendas, cores e cálculo %.</t>
  </si>
  <si>
    <t>Laboratório</t>
  </si>
  <si>
    <t>Alterar página para exibir os tubos somente se a soma dos comprimentos for maior igual a 11 metros e retirar os tubos da lista somente se a soma dos comprimentos for maior igual a 11 metros.</t>
  </si>
  <si>
    <t>Desenvolvimento da página de controle de tubos entre soldas.</t>
  </si>
  <si>
    <t>Desenvolvimento da página de relatório de tubos entre soldas.</t>
  </si>
  <si>
    <t>Análise de problemas com o envio de dados ao MTC para os ensaios de TT e LT.</t>
  </si>
  <si>
    <t>Manutenção F4</t>
  </si>
  <si>
    <t>Acerto na aplicação de configuração de variáveis de Presets.</t>
  </si>
  <si>
    <t>Acerto de Raqs, análise de problemas de N2 com PO e Seladora.</t>
  </si>
  <si>
    <t>Publicação das novas funcionalidades de registro de ensaios em ambiente de produção.</t>
  </si>
  <si>
    <t>Acerto de problemas de N2 na PO.</t>
  </si>
  <si>
    <t>Manutenção F6</t>
  </si>
  <si>
    <t>Interface SAP</t>
  </si>
  <si>
    <t>Melhoria na interface com SAP.</t>
  </si>
  <si>
    <t>Acerto nos presets de conectores.</t>
  </si>
  <si>
    <t>Validação de Login SRQ - Acrescentada rotina para validar se usuário existe e está bloqueado ou não no SRQ nas pocedures de Liberação de Posto.</t>
  </si>
  <si>
    <t>Criação de procedure para TI absorver os dados de consumíveis das EPS's.</t>
  </si>
  <si>
    <t>Criação de página N3 para configuração de equipamentos e interrupções a serem enviadas ao SAP pelo serviço de Interface.</t>
  </si>
  <si>
    <t>Problemas com Manufacturing Schedule - Acerto de Procedure</t>
  </si>
  <si>
    <t>Publicação da aplicação WEB em ambiente de produção</t>
  </si>
  <si>
    <t>eQuality</t>
  </si>
  <si>
    <t>Análise de defeitos que não subiram para o SRQ</t>
  </si>
  <si>
    <t>TOTAL H EXTRA</t>
  </si>
  <si>
    <t>TOTAL H NORMAL</t>
  </si>
  <si>
    <t>TOTAL H</t>
  </si>
  <si>
    <t>Análise de problemas de divergência com os valores de quantidade e budget</t>
  </si>
  <si>
    <t>Problemas ao baixar rota do SRQ devido o campo sequência estar vindo nulo para um dos equipamentos.</t>
  </si>
  <si>
    <t>Levantamento e análise de estimativa de horas para desenvolvimento do projeto GPM.</t>
  </si>
  <si>
    <t>Problemas de baixa de programação da obra no Manufacturing Schedule</t>
  </si>
  <si>
    <t>Problemas com baixa de tubos do SRQ</t>
  </si>
  <si>
    <t>Problemas ao carregar peça na balança de conectores</t>
  </si>
  <si>
    <t>Cadastro de usuários no QNX da Balança</t>
  </si>
  <si>
    <t>Problemas de interface entre QNX e SRQ. Problema ocorreu devido tubo anterior não ter recebido sinal do PLC para fim de processo.</t>
  </si>
  <si>
    <t xml:space="preserve">Problemas com QNX do Lixamento. </t>
  </si>
  <si>
    <t>Problemas com QNX da Solda Externa B</t>
  </si>
  <si>
    <t>Cadastro de usuários no QNX das Soldas</t>
  </si>
  <si>
    <t>Análise e acerto de problemas de divergência com os valores de quantidade e budget</t>
  </si>
  <si>
    <t>Problemas com QNX da Solda Externa C. Não está exibindo o gráfico de curva no momento da solda, foi necessário reiniciar o cliente porque o processo releva_inicia_solda não havia iniciado.</t>
  </si>
  <si>
    <t>Alterar tempo entre soldas para 1.5 na página de Controle entre soldas. Foi necessário alteração da aplicação devido a necessidade de criar um novo parâmetro para não afetar a página de Overnight visto que o parâmetro atual era utilizado para as duas páginas.</t>
  </si>
  <si>
    <t>Melhoria Conectores</t>
  </si>
  <si>
    <t>Acrescentar opção de digitar o numero do tubo de terceiro e exibir o número Confab e vise versa.</t>
  </si>
  <si>
    <t>Problemas com comunicação entre QNX e PLC no TH.</t>
  </si>
  <si>
    <t>Acrescentar o campo Line as páginas de indicadores de todas as fábricas.</t>
  </si>
  <si>
    <t>Manutenção Conectores</t>
  </si>
  <si>
    <t>VDI está exibindo duas inspeções com Hexágonos iguais. Foi identificando que essa informação estava incorreta no PIE.</t>
  </si>
  <si>
    <t>Reprocessamento de Budget</t>
  </si>
  <si>
    <t>Algumas interrupções dos Tornos não estão subindo para o TFC. Foi necessário atualização manual no TFC</t>
  </si>
  <si>
    <t>eDifa não traz todos os responsáveis que lançam as ações. Foi necessário alterar a procedure que realiza esse retorno.</t>
  </si>
  <si>
    <t>QNX do lixamento não está respondendo. Foi necessário reiniciar o cliente.</t>
  </si>
  <si>
    <t>Verificação de problemas com peça com tempo de processo e handling acima. Foi reportado ao Shift Lider via e-mail os eventos.</t>
  </si>
  <si>
    <t>Verificar como é feito o controle de frequência do VDI. Foi reportado ao Shift Lider via e-mail a análise feita.</t>
  </si>
  <si>
    <t>QNX do TH fica solicitando a todos instante dar OK na interrupção. O problema estava no PLC.</t>
  </si>
  <si>
    <t>Acrecentada melhoria na aplicação web  e serviço de envio de notas M2 ao SAP. Foi acrescentada opção de habilitar ou não o envio de notas ao SAP por equipamento.</t>
  </si>
  <si>
    <t>Atendimento Ultrasson 1, Balança e Mesa 2 devido problemas com interface com SRQ.</t>
  </si>
  <si>
    <t>As inspeções do VDI de conectores não estão sendo visualizadas. As inspeções não estavam sendo visualizadas devido o PIE utilizado não estar publicado.</t>
  </si>
  <si>
    <t>Acerto do tempo de Handling e processo de uma peça de conectores.</t>
  </si>
  <si>
    <t>Fechar VDI e zerar tag do mesmo na inspeção da Cridan I.</t>
  </si>
  <si>
    <t>Chapa não aparece na entrada da Prensa U. Chapa entava em outro posto, foi necessário mover a chapa para a ponte e posteriormente para a Entrada da prensa U</t>
  </si>
  <si>
    <t>Projeto GMP</t>
  </si>
  <si>
    <t>Análise das aplicações e banco de dados existentes</t>
  </si>
  <si>
    <t>Reprocessamento de Budget e dados dos meses de Julho e Agosto de 2017</t>
  </si>
  <si>
    <t xml:space="preserve">Definição de Layout </t>
  </si>
  <si>
    <t>Configuração de atalhos e acessos ao QNX na balança</t>
  </si>
  <si>
    <t>Suporte para TI devido problemas com integração no MTC</t>
  </si>
  <si>
    <t>Criação da árvore de plantas / equipamentos</t>
  </si>
  <si>
    <t>Reunião com TI referente a comparação das divergências que estão ocorrendo.</t>
  </si>
  <si>
    <t>Alteração no serviço de Download de dados do SRQ para continuar o reprocessamento de dados após o fechamento do mês até que a data limite seja atingida ou id da foto seja gerado.</t>
  </si>
  <si>
    <t>Acrescentado novo filtro de datas (ScaleDeliveryShiftDate) nas páginas do @Quality Web para as fábricas 4 e 1</t>
  </si>
  <si>
    <t>Problemas com acesso a pasta de arquivos gerados pelo SpinArm para upload na aplicação de VDI</t>
  </si>
  <si>
    <t>Problemas com troca de Obra</t>
  </si>
  <si>
    <t>Configuração da árvore de equipamentos</t>
  </si>
  <si>
    <t>Reprocessamentos dos dados do mês de Agosto/2017 e análise dos mesmo em comparação aos dados do SRQ.</t>
  </si>
  <si>
    <t>Reprocessamentos dos dados do mês de Julho e Agosto de 2017 das fábricas 1 e 4.</t>
  </si>
  <si>
    <t>Persistência da configuração da ávore de equipamentos no banco de dados.</t>
  </si>
  <si>
    <t>Persistência da configuração da ávore de equipamentos no banco de dados e Criação da página de lançamento de medições.</t>
  </si>
  <si>
    <t>Fábrica 6</t>
  </si>
  <si>
    <t>Problemas com inspeção na Particula Magnética. Foi necessário sair com a peça e entrar com ela novamente para que a inspeção fosse feita com sucesso.</t>
  </si>
  <si>
    <t>Problemas com ensaio de Charpy. As propriedades filhas de Largura do CP estavam sem regras de validação, usuário teve que acertar as propriedades no SRQ.</t>
  </si>
  <si>
    <t>Criação da página de lançamento de medições.</t>
  </si>
  <si>
    <t>Problemas com falta de propriedade do ensaio Revestimento Impacto no momento de integração com o SRQ. As propriedades filhas da propriedade Temperatura de teste estavam sem regras de validação, usuário teve que acertar as propriedades no SRQ e será necessário revisar o PIE no SRQ já que as propriedade de validação também não forma baixadas para a tabela de PIE's do SIA.</t>
  </si>
  <si>
    <t>Melhoria na tela de Manual Input de Conectores devido ao digitar o numero de terceiro aparecer tubo não desejado. O problema ocorre devido o SRQ retornar mais de um tubo para o número de terceiro pesquisado. Dênis enviou consulta com os parâmetros necessários para que essa duplicação de informações não ocorra.</t>
  </si>
  <si>
    <t>Melhoria na tela de Manual Input de Conectores devido problemas com consulta de tubos de terceiros e atualização em ambiente de produção.</t>
  </si>
  <si>
    <t>Reunião de andamento do projeto.</t>
  </si>
  <si>
    <t>Melhoria na página de configuração da ávore de equipamentos conforme solicitado em reunião.</t>
  </si>
  <si>
    <t>Fábrica 4</t>
  </si>
  <si>
    <t>Acompanhamento de início de produção.</t>
  </si>
  <si>
    <t>Última revisão do PIE P-000010/17 não está aparecendo no SIA. Foi necessário baixar o PIE manualmente.</t>
  </si>
  <si>
    <t>Alterar o serviço para parar de enviar e-mail dos Critérios de Processos pendentes.</t>
  </si>
  <si>
    <t>Projeto Manutenção</t>
  </si>
  <si>
    <t>Acrescentar filtro de status em Configurações de Plantas e acrescentar flag integrar SAP no formulário de edição e inserção de plantas / equipamentos.</t>
  </si>
  <si>
    <t>Os valores de OCTG % e SLP % se encontram zerados para todos os indicadores. Foi necessário refazer a lógica de fechamento de mês e recebimento de id de foto do SRQ.</t>
  </si>
  <si>
    <t>Problemas com retorno de defeitos do SRQ. Foi verificado que o problema estava ocorrendo devido alteração realizada por TI.</t>
  </si>
  <si>
    <t>Criação da funcionalidade de realizar backup/restaurar árvore de Plantas / Equipamentos</t>
  </si>
  <si>
    <t>Estão sendo computados tubos duplicados, verificar e corrigir o problema.</t>
  </si>
  <si>
    <t>Alteração no serviço do eQUality para evitar duplicação de tubos.</t>
  </si>
  <si>
    <t>Criação da página de lançamento de laudos.</t>
  </si>
  <si>
    <t>Problemas com o serviço de DownTime.</t>
  </si>
  <si>
    <t>Criação da página de consulta de laudos.</t>
  </si>
  <si>
    <t>Criação da página de consulta de  Laudos.</t>
  </si>
  <si>
    <t>Reprocessamento de dados do mês de agosto para as fábricas 1 e 4.</t>
  </si>
  <si>
    <t>Criação da página de edição de laudos</t>
  </si>
  <si>
    <t>eQUality</t>
  </si>
  <si>
    <t>Reprocessamento de dados do mês de setembro para a fábrica 4.</t>
  </si>
  <si>
    <t>Implementação da funcionalidade de upload de arquivos de laudos.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</si>
</sst>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wrapText="1"/>
    </xf>
    <xf numFmtId="1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Font="1" applyAlignment="1">
      <alignment horizontal="left" vertical="center"/>
    </xf>
    <xf numFmtId="2" fontId="0" fillId="0" borderId="0" xfId="0" applyNumberFormat="1" applyFon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/>
    <xf numFmtId="2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1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1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2" fontId="0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0" fontId="0" fillId="0" borderId="0" xfId="0" applyNumberFormat="1"/>
    <xf numFmtId="14" fontId="0" fillId="3" borderId="0" xfId="0" applyNumberFormat="1" applyFill="1" applyAlignment="1">
      <alignment horizontal="center" vertical="center"/>
    </xf>
    <xf numFmtId="0" fontId="0" fillId="3" borderId="2" xfId="0" applyFont="1" applyFill="1" applyBorder="1"/>
    <xf numFmtId="0" fontId="0" fillId="0" borderId="0" xfId="0" applyFill="1"/>
    <xf numFmtId="0" fontId="3" fillId="0" borderId="0" xfId="0" applyFont="1"/>
    <xf numFmtId="0" fontId="2" fillId="3" borderId="1" xfId="0" applyFont="1" applyFill="1" applyBorder="1" applyAlignment="1">
      <alignment wrapText="1"/>
    </xf>
    <xf numFmtId="14" fontId="0" fillId="3" borderId="3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0" borderId="1" xfId="0" applyBorder="1" applyAlignment="1">
      <alignment wrapText="1"/>
    </xf>
    <xf numFmtId="14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/>
  <dimension ref="A1:E219"/>
  <sheetViews>
    <sheetView tabSelected="1" workbookViewId="0">
      <pane ySplit="1" topLeftCell="A198" activePane="bottomLeft" state="frozen"/>
      <selection pane="bottomLeft" activeCell="D210" sqref="D210"/>
    </sheetView>
  </sheetViews>
  <sheetFormatPr defaultRowHeight="15" x14ac:dyDescent="0.25"/>
  <cols>
    <col min="1" max="1" width="10.7109375" style="7" bestFit="1" customWidth="1"/>
    <col min="2" max="2" width="10.5703125" style="3" bestFit="1" customWidth="1"/>
    <col min="3" max="3" width="25" style="5" bestFit="1" customWidth="1"/>
    <col min="4" max="4" width="122" bestFit="1" customWidth="1"/>
  </cols>
  <sheetData>
    <row r="1" spans="1:4" x14ac:dyDescent="0.25">
      <c r="A1" s="26" t="s">
        <v>0</v>
      </c>
      <c r="B1" s="27" t="s">
        <v>17</v>
      </c>
      <c r="C1" s="28" t="s">
        <v>16</v>
      </c>
      <c r="D1" s="29" t="s">
        <v>1</v>
      </c>
    </row>
    <row r="2" spans="1:4" hidden="1" x14ac:dyDescent="0.25">
      <c r="A2" s="2">
        <v>42814</v>
      </c>
      <c r="B2" s="3">
        <v>5</v>
      </c>
      <c r="C2" s="4" t="s">
        <v>15</v>
      </c>
      <c r="D2" t="s">
        <v>2</v>
      </c>
    </row>
    <row r="3" spans="1:4" ht="30" hidden="1" x14ac:dyDescent="0.25">
      <c r="A3" s="6">
        <v>42815</v>
      </c>
      <c r="B3" s="3">
        <v>5</v>
      </c>
      <c r="C3" s="4" t="s">
        <v>13</v>
      </c>
      <c r="D3" s="1" t="s">
        <v>3</v>
      </c>
    </row>
    <row r="4" spans="1:4" ht="30" hidden="1" x14ac:dyDescent="0.25">
      <c r="A4" s="6">
        <v>42815</v>
      </c>
      <c r="B4" s="3">
        <v>4</v>
      </c>
      <c r="C4" s="4" t="s">
        <v>13</v>
      </c>
      <c r="D4" s="1" t="s">
        <v>4</v>
      </c>
    </row>
    <row r="5" spans="1:4" hidden="1" x14ac:dyDescent="0.25">
      <c r="A5" s="6">
        <v>42816</v>
      </c>
      <c r="B5" s="3">
        <v>3</v>
      </c>
      <c r="C5" s="5" t="s">
        <v>12</v>
      </c>
      <c r="D5" t="s">
        <v>5</v>
      </c>
    </row>
    <row r="6" spans="1:4" hidden="1" x14ac:dyDescent="0.25">
      <c r="A6" s="6">
        <v>42816</v>
      </c>
      <c r="B6" s="3">
        <v>4</v>
      </c>
      <c r="C6" s="4" t="s">
        <v>14</v>
      </c>
      <c r="D6" t="s">
        <v>6</v>
      </c>
    </row>
    <row r="7" spans="1:4" hidden="1" x14ac:dyDescent="0.25">
      <c r="A7" s="6">
        <v>42816</v>
      </c>
      <c r="B7" s="3">
        <v>1.5</v>
      </c>
      <c r="C7" s="4" t="s">
        <v>15</v>
      </c>
      <c r="D7" t="s">
        <v>7</v>
      </c>
    </row>
    <row r="8" spans="1:4" ht="30" hidden="1" x14ac:dyDescent="0.25">
      <c r="A8" s="6">
        <v>42817</v>
      </c>
      <c r="B8" s="3">
        <v>5</v>
      </c>
      <c r="C8" s="4" t="s">
        <v>13</v>
      </c>
      <c r="D8" s="1" t="s">
        <v>8</v>
      </c>
    </row>
    <row r="9" spans="1:4" hidden="1" x14ac:dyDescent="0.25">
      <c r="A9" s="6">
        <v>42817</v>
      </c>
      <c r="B9" s="3">
        <v>4</v>
      </c>
      <c r="C9" s="5" t="s">
        <v>12</v>
      </c>
      <c r="D9" t="s">
        <v>9</v>
      </c>
    </row>
    <row r="10" spans="1:4" hidden="1" x14ac:dyDescent="0.25">
      <c r="A10" s="2">
        <v>42818</v>
      </c>
      <c r="B10" s="3">
        <v>9</v>
      </c>
      <c r="C10" s="5" t="s">
        <v>12</v>
      </c>
      <c r="D10" t="s">
        <v>9</v>
      </c>
    </row>
    <row r="11" spans="1:4" hidden="1" x14ac:dyDescent="0.25">
      <c r="A11" s="2">
        <v>42821</v>
      </c>
      <c r="B11" s="3">
        <v>9</v>
      </c>
      <c r="C11" s="5" t="s">
        <v>12</v>
      </c>
      <c r="D11" t="s">
        <v>9</v>
      </c>
    </row>
    <row r="12" spans="1:4" ht="60" hidden="1" x14ac:dyDescent="0.25">
      <c r="A12" s="2">
        <v>42828</v>
      </c>
      <c r="B12" s="3">
        <v>9</v>
      </c>
      <c r="C12" s="4" t="s">
        <v>11</v>
      </c>
      <c r="D12" s="1" t="s">
        <v>10</v>
      </c>
    </row>
    <row r="13" spans="1:4" hidden="1" x14ac:dyDescent="0.25">
      <c r="A13" s="2">
        <v>42829</v>
      </c>
      <c r="B13" s="3">
        <v>9</v>
      </c>
      <c r="C13" s="4" t="s">
        <v>11</v>
      </c>
      <c r="D13" t="s">
        <v>18</v>
      </c>
    </row>
    <row r="14" spans="1:4" hidden="1" x14ac:dyDescent="0.25">
      <c r="A14" s="2">
        <v>42830</v>
      </c>
      <c r="B14" s="3">
        <v>9</v>
      </c>
      <c r="C14" s="5" t="s">
        <v>11</v>
      </c>
      <c r="D14" t="s">
        <v>19</v>
      </c>
    </row>
    <row r="15" spans="1:4" hidden="1" x14ac:dyDescent="0.25">
      <c r="A15" s="2">
        <v>42831</v>
      </c>
      <c r="B15" s="3">
        <v>9</v>
      </c>
      <c r="C15" s="5" t="s">
        <v>21</v>
      </c>
      <c r="D15" t="s">
        <v>20</v>
      </c>
    </row>
    <row r="16" spans="1:4" hidden="1" x14ac:dyDescent="0.25">
      <c r="A16" s="2">
        <v>42832</v>
      </c>
      <c r="B16" s="3">
        <v>9</v>
      </c>
      <c r="C16" s="5" t="s">
        <v>21</v>
      </c>
      <c r="D16" s="8" t="s">
        <v>20</v>
      </c>
    </row>
    <row r="17" spans="1:4" hidden="1" x14ac:dyDescent="0.25">
      <c r="A17" s="2">
        <v>42835</v>
      </c>
      <c r="B17" s="3">
        <v>7</v>
      </c>
      <c r="C17" s="4" t="s">
        <v>11</v>
      </c>
      <c r="D17" s="8" t="s">
        <v>23</v>
      </c>
    </row>
    <row r="18" spans="1:4" hidden="1" x14ac:dyDescent="0.25">
      <c r="A18" s="2">
        <v>42835</v>
      </c>
      <c r="B18" s="3">
        <v>2</v>
      </c>
      <c r="C18" s="5" t="s">
        <v>11</v>
      </c>
      <c r="D18" s="8" t="s">
        <v>22</v>
      </c>
    </row>
    <row r="19" spans="1:4" ht="30" hidden="1" x14ac:dyDescent="0.25">
      <c r="A19" s="2">
        <v>42836</v>
      </c>
      <c r="B19" s="3">
        <v>9</v>
      </c>
      <c r="C19" s="5" t="s">
        <v>11</v>
      </c>
      <c r="D19" s="9" t="s">
        <v>24</v>
      </c>
    </row>
    <row r="20" spans="1:4" hidden="1" x14ac:dyDescent="0.25">
      <c r="A20" s="2">
        <v>42837</v>
      </c>
      <c r="B20" s="3">
        <v>5</v>
      </c>
      <c r="C20" s="5" t="s">
        <v>11</v>
      </c>
      <c r="D20" s="8" t="s">
        <v>25</v>
      </c>
    </row>
    <row r="21" spans="1:4" hidden="1" x14ac:dyDescent="0.25">
      <c r="A21" s="2">
        <v>42837</v>
      </c>
      <c r="B21" s="3">
        <v>4</v>
      </c>
      <c r="C21" s="5" t="s">
        <v>12</v>
      </c>
      <c r="D21" s="8" t="s">
        <v>20</v>
      </c>
    </row>
    <row r="22" spans="1:4" hidden="1" x14ac:dyDescent="0.25">
      <c r="A22" s="2">
        <v>42838</v>
      </c>
      <c r="B22" s="3">
        <v>9</v>
      </c>
      <c r="C22" s="5" t="s">
        <v>12</v>
      </c>
      <c r="D22" s="8" t="s">
        <v>20</v>
      </c>
    </row>
    <row r="23" spans="1:4" hidden="1" x14ac:dyDescent="0.25">
      <c r="A23" s="10">
        <v>42843</v>
      </c>
      <c r="B23" s="11">
        <v>9</v>
      </c>
      <c r="C23" s="12" t="s">
        <v>14</v>
      </c>
      <c r="D23" s="13" t="s">
        <v>26</v>
      </c>
    </row>
    <row r="24" spans="1:4" hidden="1" x14ac:dyDescent="0.25">
      <c r="A24" s="2">
        <v>42844</v>
      </c>
      <c r="B24" s="3">
        <v>9.9499999999999993</v>
      </c>
      <c r="C24" s="12" t="s">
        <v>14</v>
      </c>
      <c r="D24" s="13" t="s">
        <v>27</v>
      </c>
    </row>
    <row r="25" spans="1:4" hidden="1" x14ac:dyDescent="0.25">
      <c r="A25" s="2">
        <v>42845</v>
      </c>
      <c r="B25" s="3">
        <v>9</v>
      </c>
      <c r="C25" s="5" t="s">
        <v>14</v>
      </c>
      <c r="D25" s="8" t="s">
        <v>28</v>
      </c>
    </row>
    <row r="26" spans="1:4" hidden="1" x14ac:dyDescent="0.25">
      <c r="A26" s="2">
        <v>42849</v>
      </c>
      <c r="B26" s="3">
        <v>9</v>
      </c>
      <c r="C26" s="5" t="s">
        <v>14</v>
      </c>
      <c r="D26" t="s">
        <v>29</v>
      </c>
    </row>
    <row r="27" spans="1:4" hidden="1" x14ac:dyDescent="0.25">
      <c r="A27" s="2">
        <v>42850</v>
      </c>
      <c r="B27" s="3">
        <v>9</v>
      </c>
      <c r="C27" s="5" t="s">
        <v>14</v>
      </c>
      <c r="D27" t="s">
        <v>30</v>
      </c>
    </row>
    <row r="28" spans="1:4" hidden="1" x14ac:dyDescent="0.25">
      <c r="A28" s="2">
        <v>42851</v>
      </c>
      <c r="B28" s="3">
        <v>9</v>
      </c>
      <c r="C28" s="5" t="s">
        <v>14</v>
      </c>
      <c r="D28" t="s">
        <v>31</v>
      </c>
    </row>
    <row r="29" spans="1:4" ht="30" hidden="1" x14ac:dyDescent="0.25">
      <c r="A29" s="2">
        <v>42852</v>
      </c>
      <c r="B29" s="3">
        <v>8.7899999999999991</v>
      </c>
      <c r="C29" s="5" t="s">
        <v>14</v>
      </c>
      <c r="D29" s="1" t="s">
        <v>32</v>
      </c>
    </row>
    <row r="30" spans="1:4" hidden="1" x14ac:dyDescent="0.25">
      <c r="A30" s="2">
        <v>42853</v>
      </c>
      <c r="B30" s="3">
        <v>9</v>
      </c>
      <c r="C30" s="5" t="s">
        <v>14</v>
      </c>
      <c r="D30" t="s">
        <v>33</v>
      </c>
    </row>
    <row r="31" spans="1:4" hidden="1" x14ac:dyDescent="0.25">
      <c r="A31" s="2">
        <v>42857</v>
      </c>
      <c r="B31" s="3">
        <v>9</v>
      </c>
      <c r="C31" s="5" t="s">
        <v>11</v>
      </c>
      <c r="D31" t="s">
        <v>34</v>
      </c>
    </row>
    <row r="32" spans="1:4" hidden="1" x14ac:dyDescent="0.25">
      <c r="A32" s="2">
        <v>42858</v>
      </c>
      <c r="B32" s="3">
        <v>6</v>
      </c>
      <c r="C32" s="5" t="s">
        <v>11</v>
      </c>
      <c r="D32" t="s">
        <v>34</v>
      </c>
    </row>
    <row r="33" spans="1:4" hidden="1" x14ac:dyDescent="0.25">
      <c r="A33" s="2">
        <v>42858</v>
      </c>
      <c r="B33" s="3">
        <v>3</v>
      </c>
      <c r="C33" s="5" t="s">
        <v>12</v>
      </c>
      <c r="D33" s="8" t="s">
        <v>20</v>
      </c>
    </row>
    <row r="34" spans="1:4" hidden="1" x14ac:dyDescent="0.25">
      <c r="A34" s="2">
        <v>42859</v>
      </c>
      <c r="B34" s="3">
        <v>9</v>
      </c>
      <c r="C34" s="5" t="s">
        <v>12</v>
      </c>
      <c r="D34" s="8" t="s">
        <v>20</v>
      </c>
    </row>
    <row r="35" spans="1:4" hidden="1" x14ac:dyDescent="0.25">
      <c r="A35" s="2">
        <v>42860</v>
      </c>
      <c r="B35" s="3">
        <v>9</v>
      </c>
      <c r="C35" s="5" t="s">
        <v>21</v>
      </c>
      <c r="D35" s="8" t="s">
        <v>20</v>
      </c>
    </row>
    <row r="36" spans="1:4" hidden="1" x14ac:dyDescent="0.25">
      <c r="A36" s="2">
        <v>42863</v>
      </c>
      <c r="B36" s="3">
        <v>9</v>
      </c>
      <c r="C36" s="5" t="s">
        <v>21</v>
      </c>
      <c r="D36" s="8" t="s">
        <v>20</v>
      </c>
    </row>
    <row r="37" spans="1:4" hidden="1" x14ac:dyDescent="0.25">
      <c r="A37" s="2">
        <v>42864</v>
      </c>
      <c r="B37" s="3">
        <v>9</v>
      </c>
      <c r="C37" s="5" t="s">
        <v>21</v>
      </c>
      <c r="D37" s="8" t="s">
        <v>35</v>
      </c>
    </row>
    <row r="38" spans="1:4" hidden="1" x14ac:dyDescent="0.25">
      <c r="A38" s="2">
        <v>42865</v>
      </c>
      <c r="B38" s="3">
        <v>9</v>
      </c>
      <c r="C38" s="5" t="s">
        <v>21</v>
      </c>
      <c r="D38" s="8" t="s">
        <v>35</v>
      </c>
    </row>
    <row r="39" spans="1:4" hidden="1" x14ac:dyDescent="0.25">
      <c r="A39" s="2">
        <v>42866</v>
      </c>
      <c r="B39" s="3">
        <v>9</v>
      </c>
      <c r="C39" s="5" t="s">
        <v>21</v>
      </c>
      <c r="D39" s="8" t="s">
        <v>35</v>
      </c>
    </row>
    <row r="40" spans="1:4" hidden="1" x14ac:dyDescent="0.25">
      <c r="A40" s="2">
        <v>42867</v>
      </c>
      <c r="B40" s="3">
        <v>9</v>
      </c>
      <c r="C40" s="5" t="s">
        <v>21</v>
      </c>
      <c r="D40" s="8" t="s">
        <v>35</v>
      </c>
    </row>
    <row r="41" spans="1:4" hidden="1" x14ac:dyDescent="0.25">
      <c r="A41" s="2">
        <v>42870</v>
      </c>
      <c r="B41" s="3">
        <v>9</v>
      </c>
      <c r="C41" s="14" t="s">
        <v>12</v>
      </c>
      <c r="D41" s="8" t="s">
        <v>20</v>
      </c>
    </row>
    <row r="42" spans="1:4" hidden="1" x14ac:dyDescent="0.25">
      <c r="A42" s="2">
        <v>42871</v>
      </c>
      <c r="B42" s="3">
        <v>9</v>
      </c>
      <c r="C42" s="14" t="s">
        <v>12</v>
      </c>
      <c r="D42" s="8" t="s">
        <v>20</v>
      </c>
    </row>
    <row r="43" spans="1:4" hidden="1" x14ac:dyDescent="0.25">
      <c r="A43" s="2">
        <v>42872</v>
      </c>
      <c r="B43" s="3">
        <v>9</v>
      </c>
      <c r="C43" s="14" t="s">
        <v>12</v>
      </c>
      <c r="D43" s="8" t="s">
        <v>20</v>
      </c>
    </row>
    <row r="44" spans="1:4" hidden="1" x14ac:dyDescent="0.25">
      <c r="A44" s="2">
        <v>42873</v>
      </c>
      <c r="B44" s="3">
        <v>9</v>
      </c>
      <c r="C44" s="14" t="s">
        <v>12</v>
      </c>
      <c r="D44" s="8" t="s">
        <v>20</v>
      </c>
    </row>
    <row r="45" spans="1:4" hidden="1" x14ac:dyDescent="0.25">
      <c r="A45" s="2">
        <v>42874</v>
      </c>
      <c r="B45" s="3">
        <v>9</v>
      </c>
      <c r="C45" s="14" t="s">
        <v>12</v>
      </c>
      <c r="D45" s="8" t="s">
        <v>35</v>
      </c>
    </row>
    <row r="46" spans="1:4" hidden="1" x14ac:dyDescent="0.25">
      <c r="A46" s="2">
        <v>42877</v>
      </c>
      <c r="B46" s="3">
        <v>9</v>
      </c>
      <c r="C46" s="14" t="s">
        <v>12</v>
      </c>
      <c r="D46" s="8" t="s">
        <v>35</v>
      </c>
    </row>
    <row r="47" spans="1:4" hidden="1" x14ac:dyDescent="0.25">
      <c r="A47" s="2">
        <v>42878</v>
      </c>
      <c r="B47" s="3">
        <v>9</v>
      </c>
      <c r="C47" s="14" t="s">
        <v>12</v>
      </c>
      <c r="D47" s="8" t="s">
        <v>35</v>
      </c>
    </row>
    <row r="48" spans="1:4" hidden="1" x14ac:dyDescent="0.25">
      <c r="A48" s="2">
        <v>42879</v>
      </c>
      <c r="B48" s="3">
        <v>9</v>
      </c>
      <c r="C48" s="14" t="s">
        <v>12</v>
      </c>
      <c r="D48" s="8" t="s">
        <v>35</v>
      </c>
    </row>
    <row r="49" spans="1:4" hidden="1" x14ac:dyDescent="0.25">
      <c r="A49" s="2">
        <v>42880</v>
      </c>
      <c r="B49" s="3">
        <v>9</v>
      </c>
      <c r="C49" s="14" t="s">
        <v>12</v>
      </c>
      <c r="D49" s="8" t="s">
        <v>35</v>
      </c>
    </row>
    <row r="50" spans="1:4" hidden="1" x14ac:dyDescent="0.25">
      <c r="A50" s="2">
        <v>42881</v>
      </c>
      <c r="B50" s="3">
        <v>9</v>
      </c>
      <c r="C50" s="14" t="s">
        <v>12</v>
      </c>
      <c r="D50" s="8" t="s">
        <v>35</v>
      </c>
    </row>
    <row r="51" spans="1:4" hidden="1" x14ac:dyDescent="0.25">
      <c r="A51" s="2">
        <v>42884</v>
      </c>
      <c r="B51" s="3">
        <v>9</v>
      </c>
      <c r="C51" s="14" t="s">
        <v>12</v>
      </c>
      <c r="D51" s="8" t="s">
        <v>35</v>
      </c>
    </row>
    <row r="52" spans="1:4" hidden="1" x14ac:dyDescent="0.25">
      <c r="A52" s="2">
        <v>42885</v>
      </c>
      <c r="B52" s="3">
        <v>9</v>
      </c>
      <c r="C52" s="14" t="s">
        <v>12</v>
      </c>
      <c r="D52" s="8" t="s">
        <v>35</v>
      </c>
    </row>
    <row r="53" spans="1:4" hidden="1" x14ac:dyDescent="0.25">
      <c r="A53" s="2">
        <v>42886</v>
      </c>
      <c r="B53" s="3">
        <v>9</v>
      </c>
      <c r="C53" s="14" t="s">
        <v>36</v>
      </c>
      <c r="D53" s="8" t="s">
        <v>37</v>
      </c>
    </row>
    <row r="54" spans="1:4" hidden="1" x14ac:dyDescent="0.25">
      <c r="A54" s="2">
        <v>42887</v>
      </c>
      <c r="B54" s="3">
        <v>5</v>
      </c>
      <c r="C54" s="14" t="s">
        <v>36</v>
      </c>
      <c r="D54" s="8" t="s">
        <v>37</v>
      </c>
    </row>
    <row r="55" spans="1:4" hidden="1" x14ac:dyDescent="0.25">
      <c r="A55" s="2">
        <v>42887</v>
      </c>
      <c r="B55" s="3">
        <v>4</v>
      </c>
      <c r="C55" s="14" t="s">
        <v>12</v>
      </c>
      <c r="D55" s="8" t="s">
        <v>35</v>
      </c>
    </row>
    <row r="56" spans="1:4" hidden="1" x14ac:dyDescent="0.25">
      <c r="A56" s="2">
        <v>42888</v>
      </c>
      <c r="B56" s="15">
        <v>9</v>
      </c>
      <c r="C56" s="14" t="s">
        <v>12</v>
      </c>
      <c r="D56" s="8" t="s">
        <v>35</v>
      </c>
    </row>
    <row r="57" spans="1:4" hidden="1" x14ac:dyDescent="0.25">
      <c r="A57" s="2">
        <v>42889</v>
      </c>
      <c r="B57" s="3">
        <v>8.18</v>
      </c>
      <c r="C57" s="5" t="s">
        <v>38</v>
      </c>
      <c r="D57" s="8" t="s">
        <v>39</v>
      </c>
    </row>
    <row r="58" spans="1:4" hidden="1" x14ac:dyDescent="0.25">
      <c r="A58" s="2">
        <v>42891</v>
      </c>
      <c r="B58" s="16">
        <v>12.49</v>
      </c>
      <c r="C58" s="5" t="s">
        <v>38</v>
      </c>
      <c r="D58" s="8" t="s">
        <v>39</v>
      </c>
    </row>
    <row r="59" spans="1:4" hidden="1" x14ac:dyDescent="0.25">
      <c r="A59" s="17">
        <v>42892</v>
      </c>
      <c r="B59" s="16">
        <v>11.31</v>
      </c>
      <c r="C59" s="5" t="s">
        <v>38</v>
      </c>
      <c r="D59" s="8" t="s">
        <v>40</v>
      </c>
    </row>
    <row r="60" spans="1:4" hidden="1" x14ac:dyDescent="0.25">
      <c r="A60" s="2">
        <v>42893</v>
      </c>
      <c r="B60" s="3">
        <v>9</v>
      </c>
      <c r="C60" s="14" t="s">
        <v>45</v>
      </c>
      <c r="D60" s="8" t="s">
        <v>35</v>
      </c>
    </row>
    <row r="61" spans="1:4" hidden="1" x14ac:dyDescent="0.25">
      <c r="A61" s="2">
        <v>42894</v>
      </c>
      <c r="B61" s="15">
        <v>5</v>
      </c>
      <c r="C61" s="14" t="s">
        <v>45</v>
      </c>
      <c r="D61" s="8" t="s">
        <v>35</v>
      </c>
    </row>
    <row r="62" spans="1:4" hidden="1" x14ac:dyDescent="0.25">
      <c r="A62" s="2">
        <v>42894</v>
      </c>
      <c r="B62" s="15">
        <v>4</v>
      </c>
      <c r="C62" s="14" t="s">
        <v>36</v>
      </c>
      <c r="D62" s="8" t="s">
        <v>37</v>
      </c>
    </row>
    <row r="63" spans="1:4" hidden="1" x14ac:dyDescent="0.25">
      <c r="A63" s="2">
        <v>42895</v>
      </c>
      <c r="B63" s="3">
        <v>8.8800000000000008</v>
      </c>
      <c r="C63" s="14" t="s">
        <v>45</v>
      </c>
      <c r="D63" s="8" t="s">
        <v>35</v>
      </c>
    </row>
    <row r="64" spans="1:4" hidden="1" x14ac:dyDescent="0.25">
      <c r="A64" s="18">
        <v>42898</v>
      </c>
      <c r="B64" s="19">
        <v>9</v>
      </c>
      <c r="C64" s="20" t="s">
        <v>36</v>
      </c>
      <c r="D64" s="21" t="s">
        <v>37</v>
      </c>
    </row>
    <row r="65" spans="1:4" hidden="1" x14ac:dyDescent="0.25">
      <c r="A65" s="18">
        <v>42899</v>
      </c>
      <c r="B65" s="19">
        <v>9</v>
      </c>
      <c r="C65" s="20" t="s">
        <v>36</v>
      </c>
      <c r="D65" s="21" t="s">
        <v>37</v>
      </c>
    </row>
    <row r="66" spans="1:4" hidden="1" x14ac:dyDescent="0.25">
      <c r="A66" s="18">
        <v>42900</v>
      </c>
      <c r="B66" s="22">
        <v>4.9000000000000004</v>
      </c>
      <c r="C66" s="20" t="s">
        <v>36</v>
      </c>
      <c r="D66" s="21" t="s">
        <v>37</v>
      </c>
    </row>
    <row r="67" spans="1:4" hidden="1" x14ac:dyDescent="0.25">
      <c r="A67" s="18">
        <v>42900</v>
      </c>
      <c r="B67" s="22">
        <v>4.5</v>
      </c>
      <c r="C67" s="23" t="s">
        <v>41</v>
      </c>
      <c r="D67" s="21" t="s">
        <v>42</v>
      </c>
    </row>
    <row r="68" spans="1:4" hidden="1" x14ac:dyDescent="0.25">
      <c r="A68" s="18">
        <v>42905</v>
      </c>
      <c r="B68" s="19">
        <v>8.85</v>
      </c>
      <c r="C68" s="20" t="s">
        <v>41</v>
      </c>
      <c r="D68" s="21" t="s">
        <v>42</v>
      </c>
    </row>
    <row r="69" spans="1:4" hidden="1" x14ac:dyDescent="0.25">
      <c r="A69" s="18">
        <v>42906</v>
      </c>
      <c r="B69" s="19">
        <v>9</v>
      </c>
      <c r="C69" s="20" t="s">
        <v>41</v>
      </c>
      <c r="D69" s="21" t="s">
        <v>42</v>
      </c>
    </row>
    <row r="70" spans="1:4" hidden="1" x14ac:dyDescent="0.25">
      <c r="A70" s="18">
        <v>42907</v>
      </c>
      <c r="B70" s="19">
        <v>9</v>
      </c>
      <c r="C70" s="20" t="s">
        <v>41</v>
      </c>
      <c r="D70" s="21" t="s">
        <v>42</v>
      </c>
    </row>
    <row r="71" spans="1:4" hidden="1" x14ac:dyDescent="0.25">
      <c r="A71" s="18">
        <v>42908</v>
      </c>
      <c r="B71" s="19">
        <v>9</v>
      </c>
      <c r="C71" s="20" t="s">
        <v>41</v>
      </c>
      <c r="D71" s="21" t="s">
        <v>42</v>
      </c>
    </row>
    <row r="72" spans="1:4" hidden="1" x14ac:dyDescent="0.25">
      <c r="A72" s="18">
        <v>42909</v>
      </c>
      <c r="B72" s="24">
        <v>9</v>
      </c>
      <c r="C72" s="23" t="s">
        <v>43</v>
      </c>
      <c r="D72" s="21" t="s">
        <v>44</v>
      </c>
    </row>
    <row r="73" spans="1:4" hidden="1" x14ac:dyDescent="0.25">
      <c r="A73" s="18">
        <v>42912</v>
      </c>
      <c r="B73" s="24">
        <v>9</v>
      </c>
      <c r="C73" s="23" t="s">
        <v>43</v>
      </c>
      <c r="D73" s="21" t="s">
        <v>44</v>
      </c>
    </row>
    <row r="74" spans="1:4" hidden="1" x14ac:dyDescent="0.25">
      <c r="A74" s="18">
        <v>42913</v>
      </c>
      <c r="B74" s="24">
        <v>9</v>
      </c>
      <c r="C74" s="23" t="s">
        <v>43</v>
      </c>
      <c r="D74" s="21" t="s">
        <v>44</v>
      </c>
    </row>
    <row r="75" spans="1:4" hidden="1" x14ac:dyDescent="0.25">
      <c r="A75" s="18">
        <v>42914</v>
      </c>
      <c r="B75" s="22">
        <v>3</v>
      </c>
      <c r="C75" s="20" t="s">
        <v>36</v>
      </c>
      <c r="D75" s="21" t="s">
        <v>37</v>
      </c>
    </row>
    <row r="76" spans="1:4" hidden="1" x14ac:dyDescent="0.25">
      <c r="A76" s="18">
        <v>42914</v>
      </c>
      <c r="B76" s="22">
        <v>6.57</v>
      </c>
      <c r="C76" s="23" t="s">
        <v>43</v>
      </c>
      <c r="D76" s="21" t="s">
        <v>44</v>
      </c>
    </row>
    <row r="77" spans="1:4" hidden="1" x14ac:dyDescent="0.25">
      <c r="A77" s="25">
        <v>42915</v>
      </c>
      <c r="B77" s="19">
        <v>5</v>
      </c>
      <c r="C77" s="20" t="s">
        <v>36</v>
      </c>
      <c r="D77" s="21" t="s">
        <v>37</v>
      </c>
    </row>
    <row r="78" spans="1:4" hidden="1" x14ac:dyDescent="0.25">
      <c r="A78" s="25">
        <v>42915</v>
      </c>
      <c r="B78" s="19">
        <v>4</v>
      </c>
      <c r="C78" s="23" t="s">
        <v>43</v>
      </c>
      <c r="D78" s="21" t="s">
        <v>44</v>
      </c>
    </row>
    <row r="79" spans="1:4" hidden="1" x14ac:dyDescent="0.25">
      <c r="A79" s="25">
        <v>42916</v>
      </c>
      <c r="B79" s="19">
        <v>9</v>
      </c>
      <c r="C79" s="23" t="s">
        <v>43</v>
      </c>
      <c r="D79" s="21" t="s">
        <v>46</v>
      </c>
    </row>
    <row r="80" spans="1:4" hidden="1" x14ac:dyDescent="0.25">
      <c r="A80" s="30">
        <v>42919</v>
      </c>
      <c r="B80" s="31">
        <v>9.4700000000000006</v>
      </c>
      <c r="C80" s="32" t="s">
        <v>43</v>
      </c>
      <c r="D80" s="33" t="s">
        <v>46</v>
      </c>
    </row>
    <row r="81" spans="1:4" hidden="1" x14ac:dyDescent="0.25">
      <c r="A81" s="34">
        <v>42920</v>
      </c>
      <c r="B81" s="35">
        <v>6</v>
      </c>
      <c r="C81" s="36" t="s">
        <v>43</v>
      </c>
      <c r="D81" s="37" t="s">
        <v>46</v>
      </c>
    </row>
    <row r="82" spans="1:4" hidden="1" x14ac:dyDescent="0.25">
      <c r="A82" s="34">
        <v>42920</v>
      </c>
      <c r="B82" s="35">
        <v>3</v>
      </c>
      <c r="C82" s="36" t="s">
        <v>41</v>
      </c>
      <c r="D82" s="38" t="s">
        <v>47</v>
      </c>
    </row>
    <row r="83" spans="1:4" ht="30" hidden="1" x14ac:dyDescent="0.25">
      <c r="A83" s="34">
        <v>42921</v>
      </c>
      <c r="B83" s="35">
        <v>9</v>
      </c>
      <c r="C83" s="36" t="s">
        <v>41</v>
      </c>
      <c r="D83" s="39" t="s">
        <v>49</v>
      </c>
    </row>
    <row r="84" spans="1:4" hidden="1" x14ac:dyDescent="0.25">
      <c r="A84" s="34">
        <v>42921</v>
      </c>
      <c r="B84" s="40">
        <v>0.65</v>
      </c>
      <c r="C84" s="36" t="s">
        <v>48</v>
      </c>
      <c r="D84" s="33" t="s">
        <v>56</v>
      </c>
    </row>
    <row r="85" spans="1:4" hidden="1" x14ac:dyDescent="0.25">
      <c r="A85" s="34">
        <v>42922</v>
      </c>
      <c r="B85" s="35">
        <v>9</v>
      </c>
      <c r="C85" s="36" t="s">
        <v>41</v>
      </c>
      <c r="D85" s="38" t="s">
        <v>50</v>
      </c>
    </row>
    <row r="86" spans="1:4" hidden="1" x14ac:dyDescent="0.25">
      <c r="A86" s="34">
        <v>42923</v>
      </c>
      <c r="B86" s="35">
        <v>9</v>
      </c>
      <c r="C86" s="36" t="s">
        <v>41</v>
      </c>
      <c r="D86" s="38" t="s">
        <v>51</v>
      </c>
    </row>
    <row r="87" spans="1:4" hidden="1" x14ac:dyDescent="0.25">
      <c r="A87" s="34">
        <v>42923</v>
      </c>
      <c r="B87" s="35">
        <v>2.2400000000000002</v>
      </c>
      <c r="C87" s="36" t="s">
        <v>48</v>
      </c>
      <c r="D87" s="38" t="s">
        <v>52</v>
      </c>
    </row>
    <row r="88" spans="1:4" hidden="1" x14ac:dyDescent="0.25">
      <c r="A88" s="34">
        <v>42926</v>
      </c>
      <c r="B88" s="35">
        <v>6</v>
      </c>
      <c r="C88" s="36" t="s">
        <v>41</v>
      </c>
      <c r="D88" s="38" t="s">
        <v>51</v>
      </c>
    </row>
    <row r="89" spans="1:4" hidden="1" x14ac:dyDescent="0.25">
      <c r="A89" s="34">
        <v>42926</v>
      </c>
      <c r="B89" s="31">
        <v>3</v>
      </c>
      <c r="C89" s="36" t="s">
        <v>48</v>
      </c>
      <c r="D89" s="38" t="s">
        <v>52</v>
      </c>
    </row>
    <row r="90" spans="1:4" hidden="1" x14ac:dyDescent="0.25">
      <c r="A90" s="34">
        <v>42927</v>
      </c>
      <c r="B90" s="35">
        <v>9</v>
      </c>
      <c r="C90" s="36" t="s">
        <v>41</v>
      </c>
      <c r="D90" s="38" t="s">
        <v>51</v>
      </c>
    </row>
    <row r="91" spans="1:4" hidden="1" x14ac:dyDescent="0.25">
      <c r="A91" s="34">
        <v>42927</v>
      </c>
      <c r="B91" s="35">
        <v>2.4</v>
      </c>
      <c r="C91" s="36" t="s">
        <v>53</v>
      </c>
      <c r="D91" s="38" t="s">
        <v>54</v>
      </c>
    </row>
    <row r="92" spans="1:4" hidden="1" x14ac:dyDescent="0.25">
      <c r="A92" s="41">
        <v>42928</v>
      </c>
      <c r="B92" s="35">
        <v>7</v>
      </c>
      <c r="C92" s="42" t="s">
        <v>41</v>
      </c>
      <c r="D92" s="38" t="s">
        <v>51</v>
      </c>
    </row>
    <row r="93" spans="1:4" hidden="1" x14ac:dyDescent="0.25">
      <c r="A93" s="41">
        <v>42928</v>
      </c>
      <c r="B93" s="35">
        <v>3.88</v>
      </c>
      <c r="C93" s="36" t="s">
        <v>53</v>
      </c>
      <c r="D93" s="38" t="s">
        <v>55</v>
      </c>
    </row>
    <row r="94" spans="1:4" hidden="1" x14ac:dyDescent="0.25">
      <c r="A94" s="34">
        <v>42929</v>
      </c>
      <c r="B94" s="35">
        <v>8</v>
      </c>
      <c r="C94" s="42" t="s">
        <v>41</v>
      </c>
      <c r="D94" s="38" t="s">
        <v>51</v>
      </c>
    </row>
    <row r="95" spans="1:4" hidden="1" x14ac:dyDescent="0.25">
      <c r="A95" s="34">
        <v>42929</v>
      </c>
      <c r="B95" s="35">
        <v>3.38</v>
      </c>
      <c r="C95" s="36" t="s">
        <v>53</v>
      </c>
      <c r="D95" s="38" t="s">
        <v>57</v>
      </c>
    </row>
    <row r="96" spans="1:4" hidden="1" x14ac:dyDescent="0.25">
      <c r="A96" s="34">
        <v>42930</v>
      </c>
      <c r="B96" s="35">
        <v>8</v>
      </c>
      <c r="C96" s="42" t="s">
        <v>41</v>
      </c>
      <c r="D96" s="38" t="s">
        <v>51</v>
      </c>
    </row>
    <row r="97" spans="1:4" hidden="1" x14ac:dyDescent="0.25">
      <c r="A97" s="34">
        <v>42930</v>
      </c>
      <c r="B97" s="35">
        <v>3.03</v>
      </c>
      <c r="C97" s="36" t="s">
        <v>58</v>
      </c>
      <c r="D97" s="38" t="s">
        <v>61</v>
      </c>
    </row>
    <row r="98" spans="1:4" hidden="1" x14ac:dyDescent="0.25">
      <c r="A98" s="34">
        <v>42933</v>
      </c>
      <c r="B98" s="35">
        <v>2.5</v>
      </c>
      <c r="C98" s="36" t="s">
        <v>58</v>
      </c>
      <c r="D98" s="38" t="s">
        <v>61</v>
      </c>
    </row>
    <row r="99" spans="1:4" hidden="1" x14ac:dyDescent="0.25">
      <c r="A99" s="34">
        <v>42933</v>
      </c>
      <c r="B99" s="35">
        <v>7.8</v>
      </c>
      <c r="C99" s="36" t="s">
        <v>59</v>
      </c>
      <c r="D99" s="38" t="s">
        <v>60</v>
      </c>
    </row>
    <row r="100" spans="1:4" hidden="1" x14ac:dyDescent="0.25">
      <c r="A100" s="34">
        <v>42934</v>
      </c>
      <c r="B100" s="35">
        <v>4.8</v>
      </c>
      <c r="C100" s="42" t="s">
        <v>59</v>
      </c>
      <c r="D100" s="37" t="s">
        <v>60</v>
      </c>
    </row>
    <row r="101" spans="1:4" hidden="1" x14ac:dyDescent="0.25">
      <c r="A101" s="34">
        <v>42935</v>
      </c>
      <c r="B101" s="35">
        <v>9.9499999999999993</v>
      </c>
      <c r="C101" s="36" t="s">
        <v>59</v>
      </c>
      <c r="D101" s="38" t="s">
        <v>60</v>
      </c>
    </row>
    <row r="102" spans="1:4" hidden="1" x14ac:dyDescent="0.25">
      <c r="A102" s="34">
        <v>42936</v>
      </c>
      <c r="B102" s="35">
        <v>10.32</v>
      </c>
      <c r="C102" s="36" t="s">
        <v>59</v>
      </c>
      <c r="D102" s="38" t="s">
        <v>60</v>
      </c>
    </row>
    <row r="103" spans="1:4" hidden="1" x14ac:dyDescent="0.25">
      <c r="A103" s="34">
        <v>42937</v>
      </c>
      <c r="B103" s="35">
        <v>10.32</v>
      </c>
      <c r="C103" s="36" t="s">
        <v>59</v>
      </c>
      <c r="D103" s="38" t="s">
        <v>60</v>
      </c>
    </row>
    <row r="104" spans="1:4" hidden="1" x14ac:dyDescent="0.25">
      <c r="A104" s="34">
        <v>42940</v>
      </c>
      <c r="B104" s="35">
        <v>9</v>
      </c>
      <c r="C104" s="36" t="s">
        <v>59</v>
      </c>
      <c r="D104" s="38" t="s">
        <v>60</v>
      </c>
    </row>
    <row r="105" spans="1:4" hidden="1" x14ac:dyDescent="0.25">
      <c r="A105" s="34">
        <v>42941</v>
      </c>
      <c r="B105" s="35">
        <v>9</v>
      </c>
      <c r="C105" s="36" t="s">
        <v>59</v>
      </c>
      <c r="D105" s="38" t="s">
        <v>60</v>
      </c>
    </row>
    <row r="106" spans="1:4" hidden="1" x14ac:dyDescent="0.25">
      <c r="A106" s="34">
        <v>42942</v>
      </c>
      <c r="B106" s="35">
        <v>9</v>
      </c>
      <c r="C106" s="36" t="s">
        <v>59</v>
      </c>
      <c r="D106" s="38" t="s">
        <v>60</v>
      </c>
    </row>
    <row r="107" spans="1:4" ht="30" hidden="1" x14ac:dyDescent="0.25">
      <c r="A107" s="34">
        <v>42943</v>
      </c>
      <c r="B107" s="35">
        <v>6</v>
      </c>
      <c r="C107" s="36" t="s">
        <v>53</v>
      </c>
      <c r="D107" s="43" t="s">
        <v>62</v>
      </c>
    </row>
    <row r="108" spans="1:4" hidden="1" x14ac:dyDescent="0.25">
      <c r="A108" s="34">
        <v>42943</v>
      </c>
      <c r="B108" s="35">
        <v>3</v>
      </c>
      <c r="C108" s="36" t="s">
        <v>53</v>
      </c>
      <c r="D108" s="38" t="s">
        <v>63</v>
      </c>
    </row>
    <row r="109" spans="1:4" hidden="1" x14ac:dyDescent="0.25">
      <c r="A109" s="34">
        <v>42944</v>
      </c>
      <c r="B109" s="35">
        <v>9</v>
      </c>
      <c r="C109" s="36" t="s">
        <v>59</v>
      </c>
      <c r="D109" s="38" t="s">
        <v>64</v>
      </c>
    </row>
    <row r="110" spans="1:4" hidden="1" x14ac:dyDescent="0.25">
      <c r="A110" s="34">
        <v>42947</v>
      </c>
      <c r="B110" s="35">
        <v>9</v>
      </c>
      <c r="C110" s="36" t="s">
        <v>53</v>
      </c>
      <c r="D110" s="38" t="s">
        <v>65</v>
      </c>
    </row>
    <row r="111" spans="1:4" hidden="1" x14ac:dyDescent="0.25">
      <c r="A111" s="34">
        <v>42948</v>
      </c>
      <c r="B111" s="35">
        <v>9</v>
      </c>
      <c r="C111" s="42" t="s">
        <v>59</v>
      </c>
      <c r="D111" s="38" t="s">
        <v>66</v>
      </c>
    </row>
    <row r="112" spans="1:4" s="48" customFormat="1" hidden="1" x14ac:dyDescent="0.25">
      <c r="A112" s="34">
        <v>42949</v>
      </c>
      <c r="B112" s="35">
        <v>8.9499999999999993</v>
      </c>
      <c r="C112" s="36" t="s">
        <v>67</v>
      </c>
      <c r="D112" s="38" t="s">
        <v>68</v>
      </c>
    </row>
    <row r="113" spans="1:4" hidden="1" x14ac:dyDescent="0.25">
      <c r="A113" s="34">
        <v>42950</v>
      </c>
      <c r="B113" s="40">
        <v>9</v>
      </c>
      <c r="C113" s="36" t="s">
        <v>67</v>
      </c>
      <c r="D113" s="37" t="s">
        <v>72</v>
      </c>
    </row>
    <row r="114" spans="1:4" hidden="1" x14ac:dyDescent="0.25">
      <c r="A114" s="34">
        <v>42951</v>
      </c>
      <c r="B114" s="35">
        <v>2.85</v>
      </c>
      <c r="C114" s="42" t="s">
        <v>53</v>
      </c>
      <c r="D114" s="37" t="s">
        <v>73</v>
      </c>
    </row>
    <row r="115" spans="1:4" hidden="1" x14ac:dyDescent="0.25">
      <c r="A115" s="46">
        <v>42951</v>
      </c>
      <c r="B115" s="35">
        <v>2</v>
      </c>
      <c r="C115" s="36" t="s">
        <v>53</v>
      </c>
      <c r="D115" s="47" t="s">
        <v>74</v>
      </c>
    </row>
    <row r="116" spans="1:4" hidden="1" x14ac:dyDescent="0.25">
      <c r="A116" s="34">
        <v>42951</v>
      </c>
      <c r="B116" s="40">
        <v>3</v>
      </c>
      <c r="C116" s="36" t="s">
        <v>67</v>
      </c>
      <c r="D116" s="37" t="s">
        <v>72</v>
      </c>
    </row>
    <row r="117" spans="1:4" hidden="1" x14ac:dyDescent="0.25">
      <c r="A117" s="34">
        <v>42952</v>
      </c>
      <c r="B117" s="35">
        <v>1.28</v>
      </c>
      <c r="C117" s="36" t="s">
        <v>53</v>
      </c>
      <c r="D117" s="37" t="s">
        <v>75</v>
      </c>
    </row>
    <row r="118" spans="1:4" hidden="1" x14ac:dyDescent="0.25">
      <c r="A118" s="34">
        <v>42952</v>
      </c>
      <c r="B118" s="35">
        <v>1</v>
      </c>
      <c r="C118" s="36" t="s">
        <v>53</v>
      </c>
      <c r="D118" s="37" t="s">
        <v>76</v>
      </c>
    </row>
    <row r="119" spans="1:4" hidden="1" x14ac:dyDescent="0.25">
      <c r="A119" s="34">
        <v>42952</v>
      </c>
      <c r="B119" s="35">
        <v>1</v>
      </c>
      <c r="C119" s="36" t="s">
        <v>58</v>
      </c>
      <c r="D119" s="37" t="s">
        <v>77</v>
      </c>
    </row>
    <row r="120" spans="1:4" s="48" customFormat="1" hidden="1" x14ac:dyDescent="0.25">
      <c r="A120" s="34">
        <v>42954</v>
      </c>
      <c r="B120" s="35">
        <v>9</v>
      </c>
      <c r="C120" s="36" t="s">
        <v>67</v>
      </c>
      <c r="D120" s="37" t="s">
        <v>72</v>
      </c>
    </row>
    <row r="121" spans="1:4" hidden="1" x14ac:dyDescent="0.25">
      <c r="A121" s="34">
        <v>42955</v>
      </c>
      <c r="B121" s="35">
        <v>5.14</v>
      </c>
      <c r="C121" s="36" t="s">
        <v>67</v>
      </c>
      <c r="D121" s="37" t="s">
        <v>83</v>
      </c>
    </row>
    <row r="122" spans="1:4" hidden="1" x14ac:dyDescent="0.25">
      <c r="A122" s="34">
        <v>42955</v>
      </c>
      <c r="B122" s="35">
        <v>2</v>
      </c>
      <c r="C122" s="36" t="s">
        <v>53</v>
      </c>
      <c r="D122" s="37" t="s">
        <v>78</v>
      </c>
    </row>
    <row r="123" spans="1:4" hidden="1" x14ac:dyDescent="0.25">
      <c r="A123" s="34">
        <v>42955</v>
      </c>
      <c r="B123" s="35">
        <v>1.83</v>
      </c>
      <c r="C123" s="36" t="s">
        <v>53</v>
      </c>
      <c r="D123" s="37" t="s">
        <v>79</v>
      </c>
    </row>
    <row r="124" spans="1:4" hidden="1" x14ac:dyDescent="0.25">
      <c r="A124" s="34">
        <v>42956</v>
      </c>
      <c r="B124" s="35">
        <v>3</v>
      </c>
      <c r="C124" s="36" t="s">
        <v>53</v>
      </c>
      <c r="D124" s="37" t="s">
        <v>80</v>
      </c>
    </row>
    <row r="125" spans="1:4" hidden="1" x14ac:dyDescent="0.25">
      <c r="A125" s="34">
        <v>42956</v>
      </c>
      <c r="B125" s="35">
        <v>3</v>
      </c>
      <c r="C125" s="36" t="s">
        <v>53</v>
      </c>
      <c r="D125" s="37" t="s">
        <v>81</v>
      </c>
    </row>
    <row r="126" spans="1:4" hidden="1" x14ac:dyDescent="0.25">
      <c r="A126" s="34">
        <v>42956</v>
      </c>
      <c r="B126" s="35">
        <v>3</v>
      </c>
      <c r="C126" s="36" t="s">
        <v>53</v>
      </c>
      <c r="D126" s="37" t="s">
        <v>82</v>
      </c>
    </row>
    <row r="127" spans="1:4" ht="30" hidden="1" x14ac:dyDescent="0.25">
      <c r="A127" s="34">
        <v>42957</v>
      </c>
      <c r="B127" s="35">
        <v>2</v>
      </c>
      <c r="C127" s="36" t="s">
        <v>53</v>
      </c>
      <c r="D127" s="43" t="s">
        <v>84</v>
      </c>
    </row>
    <row r="128" spans="1:4" ht="30" hidden="1" x14ac:dyDescent="0.25">
      <c r="A128" s="34">
        <v>42957</v>
      </c>
      <c r="B128" s="35">
        <v>7</v>
      </c>
      <c r="C128" s="36" t="s">
        <v>53</v>
      </c>
      <c r="D128" s="43" t="s">
        <v>85</v>
      </c>
    </row>
    <row r="129" spans="1:4" s="48" customFormat="1" hidden="1" x14ac:dyDescent="0.25">
      <c r="A129" s="34">
        <v>42958</v>
      </c>
      <c r="B129" s="35">
        <v>9</v>
      </c>
      <c r="C129" s="36" t="s">
        <v>67</v>
      </c>
      <c r="D129" s="37" t="s">
        <v>83</v>
      </c>
    </row>
    <row r="130" spans="1:4" s="48" customFormat="1" hidden="1" x14ac:dyDescent="0.25">
      <c r="A130" s="34">
        <v>42961</v>
      </c>
      <c r="B130" s="35">
        <v>9</v>
      </c>
      <c r="C130" s="36" t="s">
        <v>67</v>
      </c>
      <c r="D130" s="37" t="s">
        <v>83</v>
      </c>
    </row>
    <row r="131" spans="1:4" hidden="1" x14ac:dyDescent="0.25">
      <c r="A131" s="34">
        <v>42962</v>
      </c>
      <c r="B131" s="40">
        <v>6</v>
      </c>
      <c r="C131" s="36" t="s">
        <v>86</v>
      </c>
      <c r="D131" s="38" t="s">
        <v>87</v>
      </c>
    </row>
    <row r="132" spans="1:4" hidden="1" x14ac:dyDescent="0.25">
      <c r="A132" s="34">
        <v>42962</v>
      </c>
      <c r="B132" s="40">
        <v>3</v>
      </c>
      <c r="C132" s="36" t="s">
        <v>53</v>
      </c>
      <c r="D132" s="38" t="s">
        <v>88</v>
      </c>
    </row>
    <row r="133" spans="1:4" hidden="1" x14ac:dyDescent="0.25">
      <c r="A133" s="34">
        <v>42963</v>
      </c>
      <c r="B133" s="40">
        <v>8.91</v>
      </c>
      <c r="C133" s="36" t="s">
        <v>86</v>
      </c>
      <c r="D133" s="38" t="s">
        <v>87</v>
      </c>
    </row>
    <row r="134" spans="1:4" hidden="1" x14ac:dyDescent="0.25">
      <c r="A134" s="34">
        <v>42964</v>
      </c>
      <c r="B134" s="40">
        <v>9</v>
      </c>
      <c r="C134" s="36" t="s">
        <v>86</v>
      </c>
      <c r="D134" s="38" t="s">
        <v>87</v>
      </c>
    </row>
    <row r="135" spans="1:4" hidden="1" x14ac:dyDescent="0.25">
      <c r="A135" s="34">
        <v>42965</v>
      </c>
      <c r="B135" s="35">
        <v>9</v>
      </c>
      <c r="C135" s="36" t="s">
        <v>67</v>
      </c>
      <c r="D135" s="38" t="s">
        <v>89</v>
      </c>
    </row>
    <row r="136" spans="1:4" hidden="1" x14ac:dyDescent="0.25">
      <c r="A136" s="34">
        <v>42966</v>
      </c>
      <c r="B136" s="35">
        <v>6.5</v>
      </c>
      <c r="C136" s="36" t="s">
        <v>67</v>
      </c>
      <c r="D136" s="38" t="s">
        <v>89</v>
      </c>
    </row>
    <row r="137" spans="1:4" hidden="1" x14ac:dyDescent="0.25">
      <c r="A137" s="34">
        <v>42968</v>
      </c>
      <c r="B137" s="35">
        <v>2</v>
      </c>
      <c r="C137" s="36" t="s">
        <v>90</v>
      </c>
      <c r="D137" s="38" t="s">
        <v>91</v>
      </c>
    </row>
    <row r="138" spans="1:4" hidden="1" x14ac:dyDescent="0.25">
      <c r="A138" s="34">
        <v>42968</v>
      </c>
      <c r="B138" s="35">
        <v>7</v>
      </c>
      <c r="C138" s="36" t="s">
        <v>67</v>
      </c>
      <c r="D138" s="38" t="s">
        <v>89</v>
      </c>
    </row>
    <row r="139" spans="1:4" hidden="1" x14ac:dyDescent="0.25">
      <c r="A139" s="34">
        <v>42969</v>
      </c>
      <c r="B139" s="35">
        <v>9</v>
      </c>
      <c r="C139" s="36" t="s">
        <v>67</v>
      </c>
      <c r="D139" s="38" t="s">
        <v>92</v>
      </c>
    </row>
    <row r="140" spans="1:4" hidden="1" x14ac:dyDescent="0.25">
      <c r="A140" s="34">
        <v>42970</v>
      </c>
      <c r="B140" s="35">
        <v>3</v>
      </c>
      <c r="C140" s="36" t="s">
        <v>53</v>
      </c>
      <c r="D140" s="38" t="s">
        <v>94</v>
      </c>
    </row>
    <row r="141" spans="1:4" hidden="1" x14ac:dyDescent="0.25">
      <c r="A141" s="34">
        <v>42970</v>
      </c>
      <c r="B141" s="35">
        <v>1</v>
      </c>
      <c r="C141" s="36" t="s">
        <v>53</v>
      </c>
      <c r="D141" s="38" t="s">
        <v>95</v>
      </c>
    </row>
    <row r="142" spans="1:4" hidden="1" x14ac:dyDescent="0.25">
      <c r="A142" s="34">
        <v>42970</v>
      </c>
      <c r="B142" s="35">
        <v>5</v>
      </c>
      <c r="C142" s="36" t="s">
        <v>58</v>
      </c>
      <c r="D142" s="38" t="s">
        <v>93</v>
      </c>
    </row>
    <row r="143" spans="1:4" hidden="1" x14ac:dyDescent="0.25">
      <c r="A143" s="34">
        <v>42971</v>
      </c>
      <c r="B143" s="35">
        <v>2.5</v>
      </c>
      <c r="C143" s="42" t="s">
        <v>58</v>
      </c>
      <c r="D143" s="38" t="s">
        <v>96</v>
      </c>
    </row>
    <row r="144" spans="1:4" hidden="1" x14ac:dyDescent="0.25">
      <c r="A144" s="34">
        <v>42971</v>
      </c>
      <c r="B144" s="35">
        <v>2.54</v>
      </c>
      <c r="C144" s="36" t="s">
        <v>58</v>
      </c>
      <c r="D144" s="38" t="s">
        <v>97</v>
      </c>
    </row>
    <row r="145" spans="1:4" hidden="1" x14ac:dyDescent="0.25">
      <c r="A145" s="34">
        <v>42972</v>
      </c>
      <c r="B145" s="35">
        <v>2.5</v>
      </c>
      <c r="C145" s="36" t="s">
        <v>53</v>
      </c>
      <c r="D145" s="38" t="s">
        <v>98</v>
      </c>
    </row>
    <row r="146" spans="1:4" ht="30" hidden="1" x14ac:dyDescent="0.25">
      <c r="A146" s="34">
        <v>42972</v>
      </c>
      <c r="B146" s="35">
        <v>6.74</v>
      </c>
      <c r="C146" s="36" t="s">
        <v>53</v>
      </c>
      <c r="D146" s="39" t="s">
        <v>99</v>
      </c>
    </row>
    <row r="147" spans="1:4" hidden="1" x14ac:dyDescent="0.25">
      <c r="A147" s="34">
        <v>42972</v>
      </c>
      <c r="B147" s="35">
        <v>3</v>
      </c>
      <c r="C147" s="36" t="s">
        <v>58</v>
      </c>
      <c r="D147" s="38" t="s">
        <v>102</v>
      </c>
    </row>
    <row r="148" spans="1:4" hidden="1" x14ac:dyDescent="0.25">
      <c r="A148" s="34">
        <v>42973</v>
      </c>
      <c r="B148" s="35">
        <v>3.5</v>
      </c>
      <c r="C148" s="36" t="s">
        <v>53</v>
      </c>
      <c r="D148" s="38" t="s">
        <v>100</v>
      </c>
    </row>
    <row r="149" spans="1:4" ht="30" hidden="1" x14ac:dyDescent="0.25">
      <c r="A149" s="34">
        <v>42973</v>
      </c>
      <c r="B149" s="40">
        <v>2.57</v>
      </c>
      <c r="C149" s="36" t="s">
        <v>58</v>
      </c>
      <c r="D149" s="39" t="s">
        <v>101</v>
      </c>
    </row>
    <row r="150" spans="1:4" hidden="1" x14ac:dyDescent="0.25">
      <c r="A150" s="34">
        <v>42975</v>
      </c>
      <c r="B150" s="35">
        <v>3</v>
      </c>
      <c r="C150" s="36" t="s">
        <v>58</v>
      </c>
      <c r="D150" s="38" t="s">
        <v>103</v>
      </c>
    </row>
    <row r="151" spans="1:4" ht="30" hidden="1" x14ac:dyDescent="0.25">
      <c r="A151" s="34">
        <v>42975</v>
      </c>
      <c r="B151" s="35">
        <v>5.13</v>
      </c>
      <c r="C151" s="36" t="s">
        <v>53</v>
      </c>
      <c r="D151" s="39" t="s">
        <v>104</v>
      </c>
    </row>
    <row r="152" spans="1:4" hidden="1" x14ac:dyDescent="0.25">
      <c r="A152" s="34">
        <v>42976</v>
      </c>
      <c r="B152" s="35">
        <v>9</v>
      </c>
      <c r="C152" s="36" t="s">
        <v>105</v>
      </c>
      <c r="D152" s="38" t="s">
        <v>106</v>
      </c>
    </row>
    <row r="153" spans="1:4" hidden="1" x14ac:dyDescent="0.25">
      <c r="A153" s="34">
        <v>42977</v>
      </c>
      <c r="B153" s="35">
        <v>9</v>
      </c>
      <c r="C153" s="36" t="s">
        <v>105</v>
      </c>
      <c r="D153" s="37" t="s">
        <v>106</v>
      </c>
    </row>
    <row r="154" spans="1:4" hidden="1" x14ac:dyDescent="0.25">
      <c r="A154" s="34">
        <v>42978</v>
      </c>
      <c r="B154" s="35">
        <v>9</v>
      </c>
      <c r="C154" s="36" t="s">
        <v>105</v>
      </c>
      <c r="D154" s="37" t="s">
        <v>106</v>
      </c>
    </row>
    <row r="155" spans="1:4" hidden="1" x14ac:dyDescent="0.25">
      <c r="A155" s="34">
        <v>42979</v>
      </c>
      <c r="B155" s="35">
        <v>3</v>
      </c>
      <c r="C155" s="36" t="s">
        <v>67</v>
      </c>
      <c r="D155" s="37" t="s">
        <v>107</v>
      </c>
    </row>
    <row r="156" spans="1:4" hidden="1" x14ac:dyDescent="0.25">
      <c r="A156" s="34">
        <v>42979</v>
      </c>
      <c r="B156" s="35">
        <v>6</v>
      </c>
      <c r="C156" s="36" t="s">
        <v>105</v>
      </c>
      <c r="D156" s="38" t="s">
        <v>108</v>
      </c>
    </row>
    <row r="157" spans="1:4" hidden="1" x14ac:dyDescent="0.25">
      <c r="A157" s="41">
        <v>42982</v>
      </c>
      <c r="B157" s="35">
        <v>9</v>
      </c>
      <c r="C157" s="42" t="s">
        <v>105</v>
      </c>
      <c r="D157" s="37" t="s">
        <v>108</v>
      </c>
    </row>
    <row r="158" spans="1:4" hidden="1" x14ac:dyDescent="0.25">
      <c r="A158" s="34">
        <v>42983</v>
      </c>
      <c r="B158" s="35">
        <v>1</v>
      </c>
      <c r="C158" s="36" t="s">
        <v>53</v>
      </c>
      <c r="D158" s="37" t="s">
        <v>109</v>
      </c>
    </row>
    <row r="159" spans="1:4" hidden="1" x14ac:dyDescent="0.25">
      <c r="A159" s="34">
        <v>42983</v>
      </c>
      <c r="B159" s="35">
        <v>1</v>
      </c>
      <c r="C159" s="36" t="s">
        <v>67</v>
      </c>
      <c r="D159" s="37" t="s">
        <v>110</v>
      </c>
    </row>
    <row r="160" spans="1:4" hidden="1" x14ac:dyDescent="0.25">
      <c r="A160" s="34">
        <v>42983</v>
      </c>
      <c r="B160" s="40">
        <v>7</v>
      </c>
      <c r="C160" s="36" t="s">
        <v>105</v>
      </c>
      <c r="D160" s="37" t="s">
        <v>111</v>
      </c>
    </row>
    <row r="161" spans="1:5" hidden="1" x14ac:dyDescent="0.25">
      <c r="A161" s="34">
        <v>42984</v>
      </c>
      <c r="B161" s="35">
        <v>5</v>
      </c>
      <c r="C161" s="36" t="s">
        <v>105</v>
      </c>
      <c r="D161" s="37" t="s">
        <v>111</v>
      </c>
    </row>
    <row r="162" spans="1:5" hidden="1" x14ac:dyDescent="0.25">
      <c r="A162" s="34">
        <v>42984</v>
      </c>
      <c r="B162" s="35">
        <v>4</v>
      </c>
      <c r="C162" s="36" t="s">
        <v>67</v>
      </c>
      <c r="D162" s="37" t="s">
        <v>112</v>
      </c>
    </row>
    <row r="163" spans="1:5" ht="30" hidden="1" x14ac:dyDescent="0.25">
      <c r="A163" s="34">
        <v>42989</v>
      </c>
      <c r="B163" s="35">
        <v>5</v>
      </c>
      <c r="C163" s="36" t="s">
        <v>67</v>
      </c>
      <c r="D163" s="43" t="s">
        <v>113</v>
      </c>
    </row>
    <row r="164" spans="1:5" hidden="1" x14ac:dyDescent="0.25">
      <c r="A164" s="34">
        <v>42989</v>
      </c>
      <c r="B164" s="35">
        <v>4</v>
      </c>
      <c r="C164" s="36" t="s">
        <v>67</v>
      </c>
      <c r="D164" s="37" t="s">
        <v>114</v>
      </c>
    </row>
    <row r="165" spans="1:5" ht="30" hidden="1" x14ac:dyDescent="0.25">
      <c r="A165" s="34">
        <v>42990</v>
      </c>
      <c r="B165" s="35">
        <v>5</v>
      </c>
      <c r="C165" s="42" t="s">
        <v>67</v>
      </c>
      <c r="D165" s="43" t="s">
        <v>113</v>
      </c>
    </row>
    <row r="166" spans="1:5" hidden="1" x14ac:dyDescent="0.25">
      <c r="A166" s="34">
        <v>42990</v>
      </c>
      <c r="B166" s="35">
        <v>4</v>
      </c>
      <c r="C166" s="42" t="s">
        <v>105</v>
      </c>
      <c r="D166" s="37" t="s">
        <v>108</v>
      </c>
    </row>
    <row r="167" spans="1:5" hidden="1" x14ac:dyDescent="0.25">
      <c r="A167" s="34">
        <v>42991</v>
      </c>
      <c r="B167" s="40">
        <v>8</v>
      </c>
      <c r="C167" s="42" t="s">
        <v>105</v>
      </c>
      <c r="D167" s="37" t="s">
        <v>108</v>
      </c>
    </row>
    <row r="168" spans="1:5" hidden="1" x14ac:dyDescent="0.25">
      <c r="A168" s="34">
        <v>42991</v>
      </c>
      <c r="B168" s="40">
        <v>1</v>
      </c>
      <c r="C168" s="42" t="s">
        <v>58</v>
      </c>
      <c r="D168" s="37" t="s">
        <v>115</v>
      </c>
      <c r="E168" s="49"/>
    </row>
    <row r="169" spans="1:5" hidden="1" x14ac:dyDescent="0.25">
      <c r="A169" s="34">
        <v>42992</v>
      </c>
      <c r="B169" s="35">
        <v>5</v>
      </c>
      <c r="C169" s="36" t="s">
        <v>53</v>
      </c>
      <c r="D169" s="37" t="s">
        <v>116</v>
      </c>
    </row>
    <row r="170" spans="1:5" hidden="1" x14ac:dyDescent="0.25">
      <c r="A170" s="34">
        <v>42992</v>
      </c>
      <c r="B170" s="35">
        <v>4</v>
      </c>
      <c r="C170" s="36" t="s">
        <v>105</v>
      </c>
      <c r="D170" s="37" t="s">
        <v>108</v>
      </c>
    </row>
    <row r="171" spans="1:5" hidden="1" x14ac:dyDescent="0.25">
      <c r="A171" s="34">
        <v>42993</v>
      </c>
      <c r="B171" s="35">
        <v>6</v>
      </c>
      <c r="C171" s="42" t="s">
        <v>105</v>
      </c>
      <c r="D171" s="37" t="s">
        <v>117</v>
      </c>
    </row>
    <row r="172" spans="1:5" hidden="1" x14ac:dyDescent="0.25">
      <c r="A172" s="34">
        <v>42993</v>
      </c>
      <c r="B172" s="35">
        <v>3</v>
      </c>
      <c r="C172" s="36" t="s">
        <v>67</v>
      </c>
      <c r="D172" s="37" t="s">
        <v>118</v>
      </c>
    </row>
    <row r="173" spans="1:5" hidden="1" x14ac:dyDescent="0.25">
      <c r="A173" s="34">
        <v>42996</v>
      </c>
      <c r="B173" s="35">
        <v>7</v>
      </c>
      <c r="C173" s="42" t="s">
        <v>105</v>
      </c>
      <c r="D173" s="37" t="s">
        <v>117</v>
      </c>
    </row>
    <row r="174" spans="1:5" hidden="1" x14ac:dyDescent="0.25">
      <c r="A174" s="34">
        <v>42996</v>
      </c>
      <c r="B174" s="35">
        <v>2</v>
      </c>
      <c r="C174" s="36" t="s">
        <v>67</v>
      </c>
      <c r="D174" s="37" t="s">
        <v>118</v>
      </c>
    </row>
    <row r="175" spans="1:5" hidden="1" x14ac:dyDescent="0.25">
      <c r="A175" s="34">
        <v>42997</v>
      </c>
      <c r="B175" s="35">
        <v>7</v>
      </c>
      <c r="C175" s="42" t="s">
        <v>105</v>
      </c>
      <c r="D175" s="37" t="s">
        <v>117</v>
      </c>
    </row>
    <row r="176" spans="1:5" hidden="1" x14ac:dyDescent="0.25">
      <c r="A176" s="34">
        <v>42997</v>
      </c>
      <c r="B176" s="35">
        <v>2</v>
      </c>
      <c r="C176" s="36" t="s">
        <v>67</v>
      </c>
      <c r="D176" s="37" t="s">
        <v>119</v>
      </c>
    </row>
    <row r="177" spans="1:4" hidden="1" x14ac:dyDescent="0.25">
      <c r="A177" s="34">
        <v>42998</v>
      </c>
      <c r="B177" s="35">
        <v>9</v>
      </c>
      <c r="C177" s="42" t="s">
        <v>105</v>
      </c>
      <c r="D177" s="37" t="s">
        <v>117</v>
      </c>
    </row>
    <row r="178" spans="1:4" hidden="1" x14ac:dyDescent="0.25">
      <c r="A178" s="34">
        <v>42999</v>
      </c>
      <c r="B178" s="35">
        <v>9</v>
      </c>
      <c r="C178" s="36" t="s">
        <v>105</v>
      </c>
      <c r="D178" s="37" t="s">
        <v>117</v>
      </c>
    </row>
    <row r="179" spans="1:4" hidden="1" x14ac:dyDescent="0.25">
      <c r="A179" s="34">
        <v>43000</v>
      </c>
      <c r="B179" s="35">
        <v>9</v>
      </c>
      <c r="C179" s="36" t="s">
        <v>105</v>
      </c>
      <c r="D179" s="37" t="s">
        <v>117</v>
      </c>
    </row>
    <row r="180" spans="1:4" hidden="1" x14ac:dyDescent="0.25">
      <c r="A180" s="34">
        <v>43003</v>
      </c>
      <c r="B180" s="35">
        <v>9</v>
      </c>
      <c r="C180" s="36" t="s">
        <v>105</v>
      </c>
      <c r="D180" s="37" t="s">
        <v>120</v>
      </c>
    </row>
    <row r="181" spans="1:4" hidden="1" x14ac:dyDescent="0.25">
      <c r="A181" s="34">
        <v>43004</v>
      </c>
      <c r="B181" s="35">
        <v>9</v>
      </c>
      <c r="C181" s="36" t="s">
        <v>105</v>
      </c>
      <c r="D181" s="37" t="s">
        <v>120</v>
      </c>
    </row>
    <row r="182" spans="1:4" hidden="1" x14ac:dyDescent="0.25">
      <c r="A182" s="34">
        <v>43005</v>
      </c>
      <c r="B182" s="35">
        <v>6.5</v>
      </c>
      <c r="C182" s="36" t="s">
        <v>105</v>
      </c>
      <c r="D182" s="37" t="s">
        <v>121</v>
      </c>
    </row>
    <row r="183" spans="1:4" ht="30" hidden="1" x14ac:dyDescent="0.25">
      <c r="A183" s="34">
        <v>43005</v>
      </c>
      <c r="B183" s="35">
        <v>1</v>
      </c>
      <c r="C183" s="36" t="s">
        <v>122</v>
      </c>
      <c r="D183" s="43" t="s">
        <v>123</v>
      </c>
    </row>
    <row r="184" spans="1:4" ht="30" hidden="1" x14ac:dyDescent="0.25">
      <c r="A184" s="34">
        <v>43005</v>
      </c>
      <c r="B184" s="35">
        <v>1.5</v>
      </c>
      <c r="C184" s="36" t="s">
        <v>48</v>
      </c>
      <c r="D184" s="50" t="s">
        <v>124</v>
      </c>
    </row>
    <row r="185" spans="1:4" hidden="1" x14ac:dyDescent="0.25">
      <c r="A185" s="34">
        <v>43006</v>
      </c>
      <c r="B185" s="35">
        <v>5</v>
      </c>
      <c r="C185" s="36" t="s">
        <v>105</v>
      </c>
      <c r="D185" s="38" t="s">
        <v>125</v>
      </c>
    </row>
    <row r="186" spans="1:4" ht="45" hidden="1" x14ac:dyDescent="0.25">
      <c r="A186" s="51">
        <v>43006</v>
      </c>
      <c r="B186" s="52">
        <v>2</v>
      </c>
      <c r="C186" s="53" t="s">
        <v>48</v>
      </c>
      <c r="D186" s="39" t="s">
        <v>126</v>
      </c>
    </row>
    <row r="187" spans="1:4" ht="45" hidden="1" x14ac:dyDescent="0.25">
      <c r="A187" s="34">
        <v>43006</v>
      </c>
      <c r="B187" s="35">
        <v>2</v>
      </c>
      <c r="C187" s="36" t="s">
        <v>122</v>
      </c>
      <c r="D187" s="39" t="s">
        <v>127</v>
      </c>
    </row>
    <row r="188" spans="1:4" ht="30" hidden="1" x14ac:dyDescent="0.25">
      <c r="A188" s="34">
        <v>43007</v>
      </c>
      <c r="B188" s="35">
        <v>2</v>
      </c>
      <c r="C188" s="36" t="s">
        <v>122</v>
      </c>
      <c r="D188" s="39" t="s">
        <v>128</v>
      </c>
    </row>
    <row r="189" spans="1:4" hidden="1" x14ac:dyDescent="0.25">
      <c r="A189" s="34">
        <v>43007</v>
      </c>
      <c r="B189" s="35">
        <v>1</v>
      </c>
      <c r="C189" s="36" t="s">
        <v>105</v>
      </c>
      <c r="D189" s="38" t="s">
        <v>129</v>
      </c>
    </row>
    <row r="190" spans="1:4" hidden="1" x14ac:dyDescent="0.25">
      <c r="A190" s="34">
        <v>43007</v>
      </c>
      <c r="B190" s="35">
        <v>6</v>
      </c>
      <c r="C190" s="36" t="s">
        <v>105</v>
      </c>
      <c r="D190" s="38" t="s">
        <v>130</v>
      </c>
    </row>
    <row r="191" spans="1:4" x14ac:dyDescent="0.25">
      <c r="A191" s="34">
        <v>43009</v>
      </c>
      <c r="B191" s="35">
        <v>2.42</v>
      </c>
      <c r="C191" s="36" t="s">
        <v>131</v>
      </c>
      <c r="D191" s="39" t="s">
        <v>132</v>
      </c>
    </row>
    <row r="192" spans="1:4" x14ac:dyDescent="0.25">
      <c r="A192" s="34">
        <v>43010</v>
      </c>
      <c r="B192" s="35">
        <v>1</v>
      </c>
      <c r="C192" s="36" t="s">
        <v>48</v>
      </c>
      <c r="D192" s="39" t="s">
        <v>133</v>
      </c>
    </row>
    <row r="193" spans="1:4" x14ac:dyDescent="0.25">
      <c r="A193" s="34">
        <v>43010</v>
      </c>
      <c r="B193" s="35">
        <v>1</v>
      </c>
      <c r="C193" s="36" t="s">
        <v>67</v>
      </c>
      <c r="D193" s="39" t="s">
        <v>134</v>
      </c>
    </row>
    <row r="194" spans="1:4" ht="30" x14ac:dyDescent="0.25">
      <c r="A194" s="34">
        <v>43010</v>
      </c>
      <c r="B194" s="35">
        <v>7.38</v>
      </c>
      <c r="C194" s="36" t="s">
        <v>135</v>
      </c>
      <c r="D194" s="39" t="s">
        <v>136</v>
      </c>
    </row>
    <row r="195" spans="1:4" ht="30" x14ac:dyDescent="0.25">
      <c r="A195" s="34">
        <v>43011</v>
      </c>
      <c r="B195" s="35">
        <v>9</v>
      </c>
      <c r="C195" s="36" t="s">
        <v>67</v>
      </c>
      <c r="D195" s="39" t="s">
        <v>137</v>
      </c>
    </row>
    <row r="196" spans="1:4" x14ac:dyDescent="0.25">
      <c r="A196" s="34">
        <v>43012</v>
      </c>
      <c r="B196" s="35">
        <v>6</v>
      </c>
      <c r="C196" s="36" t="s">
        <v>131</v>
      </c>
      <c r="D196" s="39" t="s">
        <v>138</v>
      </c>
    </row>
    <row r="197" spans="1:4" ht="30" x14ac:dyDescent="0.25">
      <c r="A197" s="34">
        <v>43012</v>
      </c>
      <c r="B197" s="35">
        <v>3</v>
      </c>
      <c r="C197" s="36" t="s">
        <v>135</v>
      </c>
      <c r="D197" s="39" t="s">
        <v>136</v>
      </c>
    </row>
    <row r="198" spans="1:4" ht="30" x14ac:dyDescent="0.25">
      <c r="A198" s="34">
        <v>43013</v>
      </c>
      <c r="B198" s="35">
        <v>9</v>
      </c>
      <c r="C198" s="36" t="s">
        <v>135</v>
      </c>
      <c r="D198" s="39" t="s">
        <v>136</v>
      </c>
    </row>
    <row r="199" spans="1:4" x14ac:dyDescent="0.25">
      <c r="A199" s="34">
        <v>43014</v>
      </c>
      <c r="B199" s="35">
        <v>9</v>
      </c>
      <c r="C199" s="36" t="s">
        <v>135</v>
      </c>
      <c r="D199" s="39" t="s">
        <v>139</v>
      </c>
    </row>
    <row r="200" spans="1:4" x14ac:dyDescent="0.25">
      <c r="A200" s="34">
        <v>43016</v>
      </c>
      <c r="B200" s="35">
        <v>2.54</v>
      </c>
      <c r="C200" s="36" t="s">
        <v>131</v>
      </c>
      <c r="D200" s="39" t="s">
        <v>132</v>
      </c>
    </row>
    <row r="201" spans="1:4" x14ac:dyDescent="0.25">
      <c r="A201" s="34">
        <v>43017</v>
      </c>
      <c r="B201" s="35">
        <v>9</v>
      </c>
      <c r="C201" s="36" t="s">
        <v>67</v>
      </c>
      <c r="D201" s="39" t="s">
        <v>140</v>
      </c>
    </row>
    <row r="202" spans="1:4" x14ac:dyDescent="0.25">
      <c r="A202" s="34">
        <v>43018</v>
      </c>
      <c r="B202" s="35">
        <v>4</v>
      </c>
      <c r="C202" s="36" t="s">
        <v>67</v>
      </c>
      <c r="D202" s="39" t="s">
        <v>141</v>
      </c>
    </row>
    <row r="203" spans="1:4" x14ac:dyDescent="0.25">
      <c r="A203" s="34">
        <v>43018</v>
      </c>
      <c r="B203" s="35">
        <v>5</v>
      </c>
      <c r="C203" s="36" t="s">
        <v>135</v>
      </c>
      <c r="D203" s="39" t="s">
        <v>142</v>
      </c>
    </row>
    <row r="204" spans="1:4" x14ac:dyDescent="0.25">
      <c r="A204" s="34">
        <v>43019</v>
      </c>
      <c r="B204" s="35">
        <v>9</v>
      </c>
      <c r="C204" s="36" t="s">
        <v>135</v>
      </c>
      <c r="D204" s="39" t="s">
        <v>142</v>
      </c>
    </row>
    <row r="205" spans="1:4" x14ac:dyDescent="0.25">
      <c r="A205" s="34">
        <v>43024</v>
      </c>
      <c r="B205" s="35">
        <v>3</v>
      </c>
      <c r="C205" s="36" t="s">
        <v>122</v>
      </c>
      <c r="D205" s="39" t="s">
        <v>143</v>
      </c>
    </row>
    <row r="206" spans="1:4" x14ac:dyDescent="0.25">
      <c r="A206" s="34">
        <v>43024</v>
      </c>
      <c r="B206" s="35">
        <v>6</v>
      </c>
      <c r="C206" s="36" t="s">
        <v>135</v>
      </c>
      <c r="D206" s="39" t="s">
        <v>144</v>
      </c>
    </row>
    <row r="207" spans="1:4" x14ac:dyDescent="0.25">
      <c r="A207" s="34">
        <v>43025</v>
      </c>
      <c r="B207" s="35">
        <v>9</v>
      </c>
      <c r="C207" s="36" t="s">
        <v>135</v>
      </c>
      <c r="D207" s="39" t="s">
        <v>144</v>
      </c>
    </row>
    <row r="208" spans="1:4" x14ac:dyDescent="0.25">
      <c r="A208" s="34">
        <v>43026</v>
      </c>
      <c r="B208" s="35">
        <v>9</v>
      </c>
      <c r="C208" s="36" t="s">
        <v>135</v>
      </c>
      <c r="D208" s="39" t="s">
        <v>145</v>
      </c>
    </row>
    <row r="209" spans="1:4" x14ac:dyDescent="0.25">
      <c r="A209" s="34">
        <v>43027</v>
      </c>
      <c r="B209" s="35">
        <v>9</v>
      </c>
      <c r="C209" s="36" t="s">
        <v>135</v>
      </c>
      <c r="D209" s="39" t="s">
        <v>145</v>
      </c>
    </row>
    <row r="210" spans="1:4" x14ac:dyDescent="0.25">
      <c r="A210" s="34">
        <v>43028</v>
      </c>
      <c r="B210" s="35">
        <v>2</v>
      </c>
      <c r="C210" s="36" t="s">
        <v>67</v>
      </c>
      <c r="D210" s="39" t="s">
        <v>146</v>
      </c>
    </row>
    <row r="211" spans="1:4" x14ac:dyDescent="0.25">
      <c r="A211" s="34">
        <v>43028</v>
      </c>
      <c r="B211" s="35">
        <v>7</v>
      </c>
      <c r="C211" s="36" t="s">
        <v>135</v>
      </c>
      <c r="D211" s="39" t="s">
        <v>145</v>
      </c>
    </row>
    <row r="212" spans="1:4" x14ac:dyDescent="0.25">
      <c r="A212" s="55">
        <v>43030</v>
      </c>
      <c r="B212" s="56">
        <v>2.59</v>
      </c>
      <c r="C212" s="57" t="s">
        <v>131</v>
      </c>
      <c r="D212" s="58" t="s">
        <v>132</v>
      </c>
    </row>
    <row r="213" spans="1:4" x14ac:dyDescent="0.25">
      <c r="A213" s="55">
        <v>43031</v>
      </c>
      <c r="B213" s="56">
        <v>9</v>
      </c>
      <c r="C213" s="57" t="s">
        <v>135</v>
      </c>
      <c r="D213" s="58" t="s">
        <v>147</v>
      </c>
    </row>
    <row r="214" spans="1:4" x14ac:dyDescent="0.25">
      <c r="A214" s="55">
        <v>43032</v>
      </c>
      <c r="B214" s="56">
        <v>1</v>
      </c>
      <c r="C214" s="57" t="s">
        <v>148</v>
      </c>
      <c r="D214" s="58" t="s">
        <v>149</v>
      </c>
    </row>
    <row r="215" spans="1:4" x14ac:dyDescent="0.25">
      <c r="A215" s="55">
        <v>43032</v>
      </c>
      <c r="B215" s="56">
        <v>8</v>
      </c>
      <c r="C215" s="57" t="s">
        <v>135</v>
      </c>
      <c r="D215" s="58" t="s">
        <v>150</v>
      </c>
    </row>
    <row r="216" spans="1:4" x14ac:dyDescent="0.25">
      <c r="A216" s="44"/>
      <c r="B216" s="19"/>
      <c r="C216" s="23"/>
      <c r="D216" s="54"/>
    </row>
    <row r="217" spans="1:4" x14ac:dyDescent="0.25">
      <c r="A217" s="44"/>
      <c r="B217" s="19"/>
      <c r="C217" s="23"/>
      <c r="D217" s="54"/>
    </row>
    <row r="218" spans="1:4" x14ac:dyDescent="0.25">
      <c r="A218" s="44"/>
      <c r="B218" s="19"/>
      <c r="C218" s="23"/>
      <c r="D218" s="54"/>
    </row>
    <row r="219" spans="1:4" x14ac:dyDescent="0.25">
      <c r="A219" s="44"/>
      <c r="B219" s="19"/>
      <c r="C219" s="23"/>
      <c r="D219" s="54"/>
    </row>
  </sheetData>
  <autoFilter ref="A1:D207">
    <filterColumn colId="0">
      <filters>
        <dateGroupItem year="2017" month="10" dateTimeGrouping="month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H23"/>
  <sheetViews>
    <sheetView topLeftCell="A3" workbookViewId="0">
      <selection activeCell="C2" sqref="C2:C22"/>
    </sheetView>
  </sheetViews>
  <sheetFormatPr defaultRowHeight="15" x14ac:dyDescent="0.25"/>
  <cols>
    <col min="1" max="1" width="10.7109375" bestFit="1" customWidth="1"/>
    <col min="3" max="3" width="16.7109375" bestFit="1" customWidth="1"/>
    <col min="4" max="4" width="14.42578125" bestFit="1" customWidth="1"/>
  </cols>
  <sheetData>
    <row r="1" spans="1:8" x14ac:dyDescent="0.25">
      <c r="A1" s="26" t="s">
        <v>0</v>
      </c>
      <c r="B1" t="s">
        <v>71</v>
      </c>
      <c r="C1" t="s">
        <v>70</v>
      </c>
      <c r="D1" t="s">
        <v>69</v>
      </c>
    </row>
    <row r="2" spans="1:8" x14ac:dyDescent="0.25">
      <c r="A2" s="30">
        <v>42919</v>
      </c>
      <c r="B2">
        <f>SUMIF(Planilha1!$A$1:A$999999,A2,Planilha1!$B$1:$B$999999)</f>
        <v>9.4700000000000006</v>
      </c>
      <c r="C2">
        <f>IF(B2&gt;=9,9,B2)</f>
        <v>9</v>
      </c>
      <c r="D2">
        <f>IF(B2&gt;9,B2-9,0)</f>
        <v>0.47000000000000064</v>
      </c>
      <c r="H2" s="45"/>
    </row>
    <row r="3" spans="1:8" x14ac:dyDescent="0.25">
      <c r="A3" s="34">
        <v>42920</v>
      </c>
      <c r="B3">
        <f>SUMIF(Planilha1!$A$1:A$999999,A3,Planilha1!$B$1:$B$999999)</f>
        <v>9</v>
      </c>
      <c r="C3">
        <f t="shared" ref="C3:C22" si="0">IF(B3&gt;=9,9,B3)</f>
        <v>9</v>
      </c>
      <c r="D3">
        <f t="shared" ref="D3:D22" si="1">IF(B3&gt;9,B3-9,0)</f>
        <v>0</v>
      </c>
    </row>
    <row r="4" spans="1:8" x14ac:dyDescent="0.25">
      <c r="A4" s="34">
        <v>42921</v>
      </c>
      <c r="B4">
        <f>SUMIF(Planilha1!$A$1:A$999999,A4,Planilha1!$B$1:$B$999999)</f>
        <v>9.65</v>
      </c>
      <c r="C4">
        <f t="shared" si="0"/>
        <v>9</v>
      </c>
      <c r="D4">
        <f t="shared" si="1"/>
        <v>0.65000000000000036</v>
      </c>
    </row>
    <row r="5" spans="1:8" x14ac:dyDescent="0.25">
      <c r="A5" s="34">
        <v>42922</v>
      </c>
      <c r="B5">
        <f>SUMIF(Planilha1!$A$1:A$999999,A5,Planilha1!$B$1:$B$999999)</f>
        <v>9</v>
      </c>
      <c r="C5">
        <f t="shared" si="0"/>
        <v>9</v>
      </c>
      <c r="D5">
        <f t="shared" si="1"/>
        <v>0</v>
      </c>
    </row>
    <row r="6" spans="1:8" x14ac:dyDescent="0.25">
      <c r="A6" s="34">
        <v>42923</v>
      </c>
      <c r="B6">
        <f>SUMIF(Planilha1!$A$1:A$999999,A6,Planilha1!$B$1:$B$999999)</f>
        <v>11.24</v>
      </c>
      <c r="C6">
        <f t="shared" si="0"/>
        <v>9</v>
      </c>
      <c r="D6">
        <f t="shared" si="1"/>
        <v>2.2400000000000002</v>
      </c>
    </row>
    <row r="7" spans="1:8" x14ac:dyDescent="0.25">
      <c r="A7" s="34">
        <v>42926</v>
      </c>
      <c r="B7">
        <f>SUMIF(Planilha1!$A$1:A$999999,A7,Planilha1!$B$1:$B$999999)</f>
        <v>9</v>
      </c>
      <c r="C7">
        <f t="shared" si="0"/>
        <v>9</v>
      </c>
      <c r="D7">
        <f t="shared" si="1"/>
        <v>0</v>
      </c>
    </row>
    <row r="8" spans="1:8" x14ac:dyDescent="0.25">
      <c r="A8" s="34">
        <v>42927</v>
      </c>
      <c r="B8">
        <f>SUMIF(Planilha1!$A$1:A$999999,A8,Planilha1!$B$1:$B$999999)</f>
        <v>11.4</v>
      </c>
      <c r="C8">
        <f t="shared" si="0"/>
        <v>9</v>
      </c>
      <c r="D8">
        <f t="shared" si="1"/>
        <v>2.4000000000000004</v>
      </c>
    </row>
    <row r="9" spans="1:8" x14ac:dyDescent="0.25">
      <c r="A9" s="41">
        <v>42928</v>
      </c>
      <c r="B9">
        <f>SUMIF(Planilha1!$A$1:A$999999,A9,Planilha1!$B$1:$B$999999)</f>
        <v>10.879999999999999</v>
      </c>
      <c r="C9">
        <f t="shared" si="0"/>
        <v>9</v>
      </c>
      <c r="D9">
        <f t="shared" si="1"/>
        <v>1.879999999999999</v>
      </c>
    </row>
    <row r="10" spans="1:8" x14ac:dyDescent="0.25">
      <c r="A10" s="34">
        <v>42929</v>
      </c>
      <c r="B10">
        <f>SUMIF(Planilha1!$A$1:A$999999,A10,Planilha1!$B$1:$B$999999)</f>
        <v>11.379999999999999</v>
      </c>
      <c r="C10">
        <f t="shared" si="0"/>
        <v>9</v>
      </c>
      <c r="D10">
        <f t="shared" si="1"/>
        <v>2.379999999999999</v>
      </c>
    </row>
    <row r="11" spans="1:8" x14ac:dyDescent="0.25">
      <c r="A11" s="34">
        <v>42930</v>
      </c>
      <c r="B11">
        <f>SUMIF(Planilha1!$A$1:A$999999,A11,Planilha1!$B$1:$B$999999)</f>
        <v>11.03</v>
      </c>
      <c r="C11">
        <f t="shared" si="0"/>
        <v>9</v>
      </c>
      <c r="D11">
        <f t="shared" si="1"/>
        <v>2.0299999999999994</v>
      </c>
    </row>
    <row r="12" spans="1:8" x14ac:dyDescent="0.25">
      <c r="A12" s="34">
        <v>42933</v>
      </c>
      <c r="B12">
        <f>SUMIF(Planilha1!$A$1:A$999999,A12,Planilha1!$B$1:$B$999999)</f>
        <v>10.3</v>
      </c>
      <c r="C12">
        <f t="shared" si="0"/>
        <v>9</v>
      </c>
      <c r="D12">
        <f t="shared" si="1"/>
        <v>1.3000000000000007</v>
      </c>
    </row>
    <row r="13" spans="1:8" x14ac:dyDescent="0.25">
      <c r="A13" s="34">
        <v>42934</v>
      </c>
      <c r="B13">
        <f>SUMIF(Planilha1!$A$1:A$999999,A13,Planilha1!$B$1:$B$999999)</f>
        <v>4.8</v>
      </c>
      <c r="C13">
        <f t="shared" si="0"/>
        <v>4.8</v>
      </c>
      <c r="D13">
        <f t="shared" si="1"/>
        <v>0</v>
      </c>
    </row>
    <row r="14" spans="1:8" x14ac:dyDescent="0.25">
      <c r="A14" s="34">
        <v>42935</v>
      </c>
      <c r="B14">
        <f>SUMIF(Planilha1!$A$1:A$999999,A14,Planilha1!$B$1:$B$999999)</f>
        <v>9.9499999999999993</v>
      </c>
      <c r="C14">
        <f t="shared" si="0"/>
        <v>9</v>
      </c>
      <c r="D14">
        <f t="shared" si="1"/>
        <v>0.94999999999999929</v>
      </c>
    </row>
    <row r="15" spans="1:8" x14ac:dyDescent="0.25">
      <c r="A15" s="34">
        <v>42936</v>
      </c>
      <c r="B15">
        <f>SUMIF(Planilha1!$A$1:A$999999,A15,Planilha1!$B$1:$B$999999)</f>
        <v>10.32</v>
      </c>
      <c r="C15">
        <f t="shared" si="0"/>
        <v>9</v>
      </c>
      <c r="D15">
        <f t="shared" si="1"/>
        <v>1.3200000000000003</v>
      </c>
    </row>
    <row r="16" spans="1:8" x14ac:dyDescent="0.25">
      <c r="A16" s="34">
        <v>42937</v>
      </c>
      <c r="B16">
        <f>SUMIF(Planilha1!$A$1:A$999999,A16,Planilha1!$B$1:$B$999999)</f>
        <v>10.32</v>
      </c>
      <c r="C16">
        <f t="shared" si="0"/>
        <v>9</v>
      </c>
      <c r="D16">
        <f t="shared" si="1"/>
        <v>1.3200000000000003</v>
      </c>
    </row>
    <row r="17" spans="1:4" x14ac:dyDescent="0.25">
      <c r="A17" s="34">
        <v>42940</v>
      </c>
      <c r="B17">
        <f>SUMIF(Planilha1!$A$1:A$999999,A17,Planilha1!$B$1:$B$999999)</f>
        <v>9</v>
      </c>
      <c r="C17">
        <f t="shared" si="0"/>
        <v>9</v>
      </c>
      <c r="D17">
        <f t="shared" si="1"/>
        <v>0</v>
      </c>
    </row>
    <row r="18" spans="1:4" x14ac:dyDescent="0.25">
      <c r="A18" s="34">
        <v>42941</v>
      </c>
      <c r="B18">
        <f>SUMIF(Planilha1!$A$1:A$999999,A18,Planilha1!$B$1:$B$999999)</f>
        <v>9</v>
      </c>
      <c r="C18">
        <f t="shared" si="0"/>
        <v>9</v>
      </c>
      <c r="D18">
        <f t="shared" si="1"/>
        <v>0</v>
      </c>
    </row>
    <row r="19" spans="1:4" x14ac:dyDescent="0.25">
      <c r="A19" s="34">
        <v>42942</v>
      </c>
      <c r="B19">
        <f>SUMIF(Planilha1!$A$1:A$999999,A19,Planilha1!$B$1:$B$999999)</f>
        <v>9</v>
      </c>
      <c r="C19">
        <f t="shared" si="0"/>
        <v>9</v>
      </c>
      <c r="D19">
        <f t="shared" si="1"/>
        <v>0</v>
      </c>
    </row>
    <row r="20" spans="1:4" x14ac:dyDescent="0.25">
      <c r="A20" s="34">
        <v>42943</v>
      </c>
      <c r="B20">
        <f>SUMIF(Planilha1!$A$1:A$999999,A20,Planilha1!$B$1:$B$999999)</f>
        <v>9</v>
      </c>
      <c r="C20">
        <f t="shared" si="0"/>
        <v>9</v>
      </c>
      <c r="D20">
        <f t="shared" si="1"/>
        <v>0</v>
      </c>
    </row>
    <row r="21" spans="1:4" x14ac:dyDescent="0.25">
      <c r="A21" s="34">
        <v>42944</v>
      </c>
      <c r="B21">
        <f>SUMIF(Planilha1!$A$1:A$999999,A21,Planilha1!$B$1:$B$999999)</f>
        <v>9</v>
      </c>
      <c r="C21">
        <f t="shared" si="0"/>
        <v>9</v>
      </c>
      <c r="D21">
        <f t="shared" si="1"/>
        <v>0</v>
      </c>
    </row>
    <row r="22" spans="1:4" x14ac:dyDescent="0.25">
      <c r="A22" s="34">
        <v>42947</v>
      </c>
      <c r="B22">
        <f>SUMIF(Planilha1!$A$1:A$999999,A22,Planilha1!$B$1:$B$999999)</f>
        <v>9</v>
      </c>
      <c r="C22">
        <f t="shared" si="0"/>
        <v>9</v>
      </c>
      <c r="D22">
        <f t="shared" si="1"/>
        <v>0</v>
      </c>
    </row>
    <row r="23" spans="1:4" x14ac:dyDescent="0.25">
      <c r="A23" s="4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2017-03-20T19:54:48Z</dcterms:created>
  <dcterms:modified xsi:type="dcterms:W3CDTF">2017-10-25T09:41:21Z</dcterms:modified>
</cp:coreProperties>
</file>