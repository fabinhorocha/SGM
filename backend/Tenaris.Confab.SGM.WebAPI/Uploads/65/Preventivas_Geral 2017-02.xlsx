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2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fbcff\Documents\Indicadores\Preventivas\08 - Fevereiro 2017\"/>
    </mc:Choice>
  </mc:AlternateContent>
  <bookViews>
    <workbookView xWindow="-15" yWindow="225" windowWidth="12120" windowHeight="8565" tabRatio="887"/>
  </bookViews>
  <sheets>
    <sheet name="Grafico" sheetId="9" r:id="rId1"/>
    <sheet name="Dados" sheetId="5" state="hidden" r:id="rId2"/>
    <sheet name="Grafico NEXE" sheetId="11" r:id="rId3"/>
    <sheet name="Base Execução Preventivas" sheetId="13" r:id="rId4"/>
    <sheet name="Dados NEXe" sheetId="10" r:id="rId5"/>
    <sheet name="Base NEXE " sheetId="12" r:id="rId6"/>
    <sheet name="Observações" sheetId="15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\0">#REF!</definedName>
    <definedName name="\a">#REF!</definedName>
    <definedName name="\b">#REF!</definedName>
    <definedName name="\m">[1]Laco1!#REF!</definedName>
    <definedName name="\q">[1]Laco1!#REF!</definedName>
    <definedName name="\s">#REF!</definedName>
    <definedName name="_1_0o">#REF!</definedName>
    <definedName name="_10_0m">#REF!</definedName>
    <definedName name="_11_0s">#REF!</definedName>
    <definedName name="_12f">#REF!</definedName>
    <definedName name="_13l">#REF!</definedName>
    <definedName name="_14m">#REF!</definedName>
    <definedName name="_15m">#REF!</definedName>
    <definedName name="_16s">#REF!</definedName>
    <definedName name="_2o">#REF!</definedName>
    <definedName name="_3_0n">#REF!</definedName>
    <definedName name="_4n">#REF!</definedName>
    <definedName name="_5_0g">#REF!</definedName>
    <definedName name="_6g">#REF!</definedName>
    <definedName name="_7_0f">#REF!</definedName>
    <definedName name="_8_0l">#REF!</definedName>
    <definedName name="_9_0m">#REF!</definedName>
    <definedName name="_apr1">#REF!</definedName>
    <definedName name="_AQP45">#REF!</definedName>
    <definedName name="_B559000" localSheetId="6">[2]MARcomFEV01!$B$5925:$IV$10908</definedName>
    <definedName name="_B559000">[3]MARcomFEV01!$B$5925:$IV$10908</definedName>
    <definedName name="_Cil48">#REF!</definedName>
    <definedName name="_DAT1">#REF!</definedName>
    <definedName name="_DAT10">#REF!</definedName>
    <definedName name="_DAT11" localSheetId="6">#REF!</definedName>
    <definedName name="_DAT11">'[4]BASE PFC'!#REF!</definedName>
    <definedName name="_DAT12" localSheetId="6">#REF!</definedName>
    <definedName name="_DAT12">'[4]BASE PFC'!#REF!</definedName>
    <definedName name="_DAT13">#REF!</definedName>
    <definedName name="_DAT14" localSheetId="6">#REF!</definedName>
    <definedName name="_DAT14">'[4]BASE PFC'!#REF!</definedName>
    <definedName name="_DAT15" localSheetId="6">#REF!</definedName>
    <definedName name="_DAT15">'[4]BASE PFC'!#REF!</definedName>
    <definedName name="_DAT16" localSheetId="6">#REF!</definedName>
    <definedName name="_DAT16">'[4]BASE PFC'!#REF!</definedName>
    <definedName name="_DAT17" localSheetId="6">#REF!</definedName>
    <definedName name="_DAT17">'[4]BASE PFC'!#REF!</definedName>
    <definedName name="_DAT18">#REF!</definedName>
    <definedName name="_DAT19">'[4]BASE PFC'!#REF!</definedName>
    <definedName name="_DAT2">#REF!</definedName>
    <definedName name="_DAT3">#REF!</definedName>
    <definedName name="_DAT4">#REF!</definedName>
    <definedName name="_DAT5" localSheetId="6">#REF!</definedName>
    <definedName name="_DAT5">'[4]BASE PFC'!#REF!</definedName>
    <definedName name="_DAT6">#REF!</definedName>
    <definedName name="_DAT7">#REF!</definedName>
    <definedName name="_DAT8">#REF!</definedName>
    <definedName name="_DAT9">#REF!</definedName>
    <definedName name="_dic1">#REF!</definedName>
    <definedName name="_feb1">#REF!</definedName>
    <definedName name="_xlnm._FilterDatabase" localSheetId="3" hidden="1">'Base Execução Preventivas'!$A$2:$K$1448</definedName>
    <definedName name="_xlnm._FilterDatabase" localSheetId="5" hidden="1">'Base NEXE '!$A$2:$K$2334</definedName>
    <definedName name="_xlnm._FilterDatabase" localSheetId="6" hidden="1">Observações!$A$2:$F$78</definedName>
    <definedName name="_gen1">#REF!</definedName>
    <definedName name="_giu1">#REF!</definedName>
    <definedName name="_int01">[0]!_int01</definedName>
    <definedName name="_LAC11">#REF!</definedName>
    <definedName name="_LAC12">#REF!</definedName>
    <definedName name="_LAC22">[5]bdg1°!#REF!</definedName>
    <definedName name="_lug1">#REF!</definedName>
    <definedName name="_mag1">#REF!</definedName>
    <definedName name="_mar1">#REF!</definedName>
    <definedName name="_nov1">#REF!</definedName>
    <definedName name="_ott1">#REF!</definedName>
    <definedName name="_PAG1">#REF!</definedName>
    <definedName name="_PAG11">#REF!</definedName>
    <definedName name="_PAG12">#REF!</definedName>
    <definedName name="_PAG2">#REF!</definedName>
    <definedName name="_REV3">#REF!</definedName>
    <definedName name="_set1">#REF!</definedName>
    <definedName name="_USD1">#REF!</definedName>
    <definedName name="_USD2">#REF!</definedName>
    <definedName name="A" localSheetId="6">#REF!</definedName>
    <definedName name="a">[0]!a</definedName>
    <definedName name="A_impresión_IM">#REF!</definedName>
    <definedName name="a100000000000000000000" localSheetId="6">#REF!</definedName>
    <definedName name="a100000000000000000000">#REF!</definedName>
    <definedName name="aaa">#REF!</definedName>
    <definedName name="abc">[0]!abc</definedName>
    <definedName name="ACER1">#REF!</definedName>
    <definedName name="ACER2">#REF!</definedName>
    <definedName name="ACERIA">#REF!</definedName>
    <definedName name="AGO">#REF!</definedName>
    <definedName name="agr1voz">#REF!</definedName>
    <definedName name="AGR2VOZ">[6]Datos1!$D$4:$D$65536</definedName>
    <definedName name="Agr5C_Agr3V">[7]Datos1!$K$4:$K$65536</definedName>
    <definedName name="Agr6C_Agr3V">[7]Datos1!$M$4:$M$65536</definedName>
    <definedName name="Agr7C_Agr3V">[8]Datos1!$N$4:$N$15000</definedName>
    <definedName name="analise" hidden="1">{"Avaliação de Cargos (Class Mens Todas)",#N/A,FALSE,"BANCO DE DADOS MENSALISTAS";"Avaliação de Cargos (Class Mens Todas)",#N/A,FALSE,"BANCO DE DADOS MENSALISTAS"}</definedName>
    <definedName name="APR">#REF!</definedName>
    <definedName name="Arcore_caldo">#REF!</definedName>
    <definedName name="Area_a_caldo">#REF!</definedName>
    <definedName name="Area_a_freddo">#REF!</definedName>
    <definedName name="_xlnm.Extract">[9]MATCONSU.XLS!#REF!</definedName>
    <definedName name="_xlnm.Print_Area" localSheetId="0">Grafico!$B$3:$O$128</definedName>
    <definedName name="auxi">#REF!</definedName>
    <definedName name="B">[10]IGO!#REF!</definedName>
    <definedName name="_xlnm.Database">'[11]Costo Fijo'!#REF!</definedName>
    <definedName name="Bdg">[12]Datos1!$O$4:$O$65536</definedName>
    <definedName name="BdgAct">[12]Datos1!$P$4:$P$100</definedName>
    <definedName name="BORRAR">#N/A</definedName>
    <definedName name="CANCELAMENTOS">#REF!</definedName>
    <definedName name="CAPTRAB">#REF!</definedName>
    <definedName name="Clasif1">#REF!</definedName>
    <definedName name="Clasif2">#REF!</definedName>
    <definedName name="costlav">[0]!costlav</definedName>
    <definedName name="COSTOS">#REF!</definedName>
    <definedName name="CR" localSheetId="6">#REF!</definedName>
    <definedName name="CR">#REF!</definedName>
    <definedName name="_xlnm.Criteria">[9]MATCONSU.XLS!#REF!</definedName>
    <definedName name="CUENECON">#REF!</definedName>
    <definedName name="DATA4">'Base Execução Preventivas'!$D$3:$D$1574</definedName>
    <definedName name="dd">[0]!dd</definedName>
    <definedName name="ddd">#REF!</definedName>
    <definedName name="dddd">#REF!</definedName>
    <definedName name="de" hidden="1">{"Avaliação de Cargos (Class Mens Todas)",#N/A,FALSE,"BANCO DE DADOS MENSALISTAS";"Avaliação de Cargos (Class Mens Todas)",#N/A,FALSE,"BANCO DE DADOS MENSALISTAS"}</definedName>
    <definedName name="DESCT">[1]Laco1!#REF!</definedName>
    <definedName name="df">[0]!df</definedName>
    <definedName name="DIC">#REF!</definedName>
    <definedName name="DOTAC">#REF!</definedName>
    <definedName name="E">[10]IGO!#REF!</definedName>
    <definedName name="ECC" localSheetId="6" hidden="1">{"Avaliação de Cargos (Class Mens Todas)",#N/A,FALSE,"BANCO DE DADOS MENSALISTAS";"Avaliação de Cargos (Class Mens Todas)",#N/A,FALSE,"BANCO DE DADOS MENSALISTAS"}</definedName>
    <definedName name="ECC" hidden="1">{"Avaliação de Cargos (Class Mens Todas)",#N/A,FALSE,"BANCO DE DADOS MENSALISTAS";"Avaliação de Cargos (Class Mens Todas)",#N/A,FALSE,"BANCO DE DADOS MENSALISTAS"}</definedName>
    <definedName name="efe">#REF!</definedName>
    <definedName name="EMPRESA" localSheetId="6">#REF!</definedName>
    <definedName name="EMPRESA">#REF!</definedName>
    <definedName name="Escala">'[13]escala salarial'!$A$9:$F$25</definedName>
    <definedName name="ESCOLARIDADE" localSheetId="6">#REF!</definedName>
    <definedName name="ESCOLARIDADE">#REF!</definedName>
    <definedName name="estre2">#REF!</definedName>
    <definedName name="Etna">#REF!</definedName>
    <definedName name="Fabbrica">#REF!</definedName>
    <definedName name="Fabbrica___Mat">[5]bdg1°!$A$3:$B$38</definedName>
    <definedName name="Familia">#REF!</definedName>
    <definedName name="FEB">#REF!</definedName>
    <definedName name="ff">[0]!ff</definedName>
    <definedName name="flex">#REF!</definedName>
    <definedName name="FORM">#REF!,#REF!,#REF!,#REF!,#REF!,#REF!,#REF!,#REF!,#REF!,#REF!,#REF!,#REF!,#REF!,#REF!,#REF!,#REF!</definedName>
    <definedName name="g">[0]!g</definedName>
    <definedName name="GEN">#REF!</definedName>
    <definedName name="Geral" localSheetId="6">#REF!</definedName>
    <definedName name="Geral">#REF!</definedName>
    <definedName name="gggg">[5]bdg1°!#REF!</definedName>
    <definedName name="gi">[0]!gi</definedName>
    <definedName name="GIU">#REF!</definedName>
    <definedName name="graficos">[0]!graficos</definedName>
    <definedName name="GRUPOS" localSheetId="6">#REF!</definedName>
    <definedName name="GRUPOS">#REF!</definedName>
    <definedName name="gtr" hidden="1">{"Avaliação de Cargos (Class Mens Todas)",#N/A,FALSE,"BANCO DE DADOS MENSALISTAS";"Avaliação de Cargos (Class Mens Todas)",#N/A,FALSE,"BANCO DE DADOS MENSALISTAS"}</definedName>
    <definedName name="gtt" hidden="1">{"Avaliação de Cargos (Class Mens Todas)",#N/A,FALSE,"BANCO DE DADOS MENSALISTAS";"Avaliação de Cargos (Class Mens Todas)",#N/A,FALSE,"BANCO DE DADOS MENSALISTAS"}</definedName>
    <definedName name="Helico">#REF!</definedName>
    <definedName name="HISTO" localSheetId="6">#REF!</definedName>
    <definedName name="HISTO">#REF!</definedName>
    <definedName name="HOJA2">#REF!</definedName>
    <definedName name="INSUMOS">#REF!</definedName>
    <definedName name="INVERS1">#REF!</definedName>
    <definedName name="INVERS2">#REF!</definedName>
    <definedName name="LACOS">#REF!</definedName>
    <definedName name="LL">[10]IGO!#REF!</definedName>
    <definedName name="LUG">#REF!</definedName>
    <definedName name="MAG">#REF!</definedName>
    <definedName name="Magazzino_prodotti_finiti">#REF!</definedName>
    <definedName name="Man_ord_caldo">#REF!</definedName>
    <definedName name="Manutenzione">#REF!</definedName>
    <definedName name="Manutenzione_ordinaria">#REF!</definedName>
    <definedName name="Manutenzione_ordinaria_area_caldo">#REF!</definedName>
    <definedName name="Manutenzione_ordinaria_area_freddo">#REF!</definedName>
    <definedName name="Manutenzione_ordinaria_magazzino">#REF!</definedName>
    <definedName name="Manutenzione_straordinaria">#REF!</definedName>
    <definedName name="Manutenzione_straordinaria_area_caldo">#REF!</definedName>
    <definedName name="Manutenzione_straordinaria_area_freddo">#REF!</definedName>
    <definedName name="MAR">#REF!</definedName>
    <definedName name="MARCOS">#REF!</definedName>
    <definedName name="MENU">[1]Laco1!#REF!</definedName>
    <definedName name="MENUS">#REF!</definedName>
    <definedName name="MES">#REF!</definedName>
    <definedName name="MOD" hidden="1">{"Avaliação de Cargos (Class Mens Todas)",#N/A,FALSE,"BANCO DE DADOS MENSALISTAS";"Avaliação de Cargos (Class Mens Todas)",#N/A,FALSE,"BANCO DE DADOS MENSALISTAS"}</definedName>
    <definedName name="NEGOCIO" localSheetId="6">#REF!</definedName>
    <definedName name="NEGOCIO">#REF!</definedName>
    <definedName name="NOREC">#N/A</definedName>
    <definedName name="NOV">#REF!</definedName>
    <definedName name="OO">[10]IGO!#REF!</definedName>
    <definedName name="OOI">[10]IGO!#REF!</definedName>
    <definedName name="Ordine_nuova">[14]!Ordine_nuova</definedName>
    <definedName name="OTT">#REF!</definedName>
    <definedName name="ottobre_Query">#REF!</definedName>
    <definedName name="PAG">#N/A</definedName>
    <definedName name="PAG2.1">#REF!</definedName>
    <definedName name="PATRIM">#REF!</definedName>
    <definedName name="PESSOAL" localSheetId="6">#REF!</definedName>
    <definedName name="PESSOAL">#REF!</definedName>
    <definedName name="PFL">#REF!</definedName>
    <definedName name="PIPPO">[0]!PIPPO</definedName>
    <definedName name="prest">[0]!prest</definedName>
    <definedName name="PRESU">#REF!</definedName>
    <definedName name="Print_Area_MI">#REF!</definedName>
    <definedName name="prod">[0]!prod</definedName>
    <definedName name="PRODESC">#REF!</definedName>
    <definedName name="PRODUT">#REF!</definedName>
    <definedName name="Q">[10]IGO!#REF!</definedName>
    <definedName name="qw" hidden="1">{"Avaliação de Cargos (Class Mens Todas)",#N/A,FALSE,"BANCO DE DADOS MENSALISTAS";"Avaliação de Cargos (Class Mens Todas)",#N/A,FALSE,"BANCO DE DADOS MENSALISTAS"}</definedName>
    <definedName name="qwe" hidden="1">{"Avaliação de Cargos (Class Mens Todas)",#N/A,FALSE,"BANCO DE DADOS MENSALISTAS";"Avaliação de Cargos (Class Mens Todas)",#N/A,FALSE,"BANCO DE DADOS MENSALISTAS"}</definedName>
    <definedName name="Real">[12]Datos1!$N$4:$N$65536</definedName>
    <definedName name="REC">#N/A</definedName>
    <definedName name="redi">#REF!</definedName>
    <definedName name="REDI2">[5]bdg1°!#REF!</definedName>
    <definedName name="RELATÓRIO" localSheetId="6">#REF!</definedName>
    <definedName name="RELATÓRIO">#REF!</definedName>
    <definedName name="RESPONSÁVEL" localSheetId="6">#REF!</definedName>
    <definedName name="RESPONSÁVEL">#REF!</definedName>
    <definedName name="RESULTADOS">#REF!,#REF!</definedName>
    <definedName name="s">[0]!s</definedName>
    <definedName name="sand">#REF!</definedName>
    <definedName name="SCOST">[0]!SCOST</definedName>
    <definedName name="sdd" hidden="1">{"Avaliação de Cargos (Class Mens Todas)",#N/A,FALSE,"BANCO DE DADOS MENSALISTAS";"Avaliação de Cargos (Class Mens Todas)",#N/A,FALSE,"BANCO DE DADOS MENSALISTAS"}</definedName>
    <definedName name="Servizio_qualità">#REF!</definedName>
    <definedName name="SET">#REF!</definedName>
    <definedName name="SPOSTA">[0]!SPOSTA</definedName>
    <definedName name="STAMPA">[0]!STAMPA</definedName>
    <definedName name="STAMPA1">[0]!STAMPA1</definedName>
    <definedName name="STAMPA2">[0]!STAMPA2</definedName>
    <definedName name="TEFECT">[1]Laco1!#REF!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 localSheetId="6">#REF!</definedName>
    <definedName name="TESTHKEY">'[4]BASE PFC'!#REF!</definedName>
    <definedName name="TESTKEYS">#REF!</definedName>
    <definedName name="TESTVKEY" localSheetId="6">#REF!</definedName>
    <definedName name="TESTVKEY">'[4]BASE PFC'!#REF!</definedName>
    <definedName name="TIPOMO" localSheetId="6">#REF!</definedName>
    <definedName name="TIPOMO">#REF!</definedName>
    <definedName name="tit">[0]!tit</definedName>
    <definedName name="Títulos_a_imprimir_IM">#REF!</definedName>
    <definedName name="_xlnm.Print_Titles" localSheetId="0">Grafico!$1:$2</definedName>
    <definedName name="Tn">#REF!</definedName>
    <definedName name="TNOREC">#N/A</definedName>
    <definedName name="todas">#REF!,#REF!</definedName>
    <definedName name="TOT">#N/A</definedName>
    <definedName name="Total">[12]Datos1!$Q$4:$Q$100</definedName>
    <definedName name="TREC">#N/A</definedName>
    <definedName name="TT">[10]IGO!#REF!</definedName>
    <definedName name="UNIDADE" localSheetId="6">#REF!</definedName>
    <definedName name="UNIDADE">#REF!</definedName>
    <definedName name="VARIACIONES">#REF!,#REF!</definedName>
    <definedName name="Voces">[15]Voces!$A$1:$C$164</definedName>
    <definedName name="wrn.Avaliação._.de._.Cargos." localSheetId="6" hidden="1">{"Avaliação de Cargos (Class Mens Todas)",#N/A,FALSE,"BANCO DE DADOS MENSALISTAS";"Avaliação de Cargos (Class Mens Todas)",#N/A,FALSE,"BANCO DE DADOS MENSALISTAS"}</definedName>
    <definedName name="wrn.Avaliação._.de._.Cargos." hidden="1">{"Avaliação de Cargos (Class Mens Todas)",#N/A,FALSE,"BANCO DE DADOS MENSALISTAS";"Avaliação de Cargos (Class Mens Todas)",#N/A,FALSE,"BANCO DE DADOS MENSALISTAS"}</definedName>
    <definedName name="wrn.CuentaEconomica." hidden="1">{#N/A,#N/A,FALSE,"Costo Vendido";#N/A,#N/A,FALSE,"Precio";#N/A,#N/A,FALSE,"Consumo";#N/A,#N/A,FALSE,"GDV";#N/A,#N/A,FALSE,"expestru";#N/A,#N/A,FALSE,"Graficos";#N/A,#N/A,FALSE,"Resumen "}</definedName>
    <definedName name="XDHXHSA">#REF!</definedName>
    <definedName name="XX">[0]!XX</definedName>
    <definedName name="YN">[10]IGO!#REF!</definedName>
    <definedName name="Yoder">#REF!</definedName>
  </definedNames>
  <calcPr calcId="152511"/>
</workbook>
</file>

<file path=xl/calcChain.xml><?xml version="1.0" encoding="utf-8"?>
<calcChain xmlns="http://schemas.openxmlformats.org/spreadsheetml/2006/main">
  <c r="I103" i="10" l="1"/>
  <c r="I102" i="10"/>
  <c r="I94" i="10"/>
  <c r="I93" i="10"/>
  <c r="I85" i="10"/>
  <c r="I84" i="10"/>
  <c r="I77" i="10"/>
  <c r="I76" i="10"/>
  <c r="I69" i="10"/>
  <c r="I68" i="10"/>
  <c r="I62" i="10"/>
  <c r="I61" i="10"/>
  <c r="I55" i="10"/>
  <c r="I54" i="10"/>
  <c r="I48" i="10"/>
  <c r="I47" i="10"/>
  <c r="I41" i="10"/>
  <c r="I40" i="10"/>
  <c r="I34" i="10"/>
  <c r="I33" i="10"/>
  <c r="I27" i="10"/>
  <c r="I26" i="10"/>
  <c r="I20" i="10"/>
  <c r="I19" i="10"/>
  <c r="I13" i="10"/>
  <c r="I12" i="10"/>
  <c r="I6" i="10"/>
  <c r="I5" i="10"/>
  <c r="O104" i="10" l="1"/>
  <c r="N104" i="10"/>
  <c r="O95" i="10" l="1"/>
  <c r="N95" i="10"/>
  <c r="D1" i="12" l="1"/>
  <c r="O70" i="10" l="1"/>
  <c r="N70" i="10"/>
  <c r="O63" i="10"/>
  <c r="N63" i="10"/>
  <c r="D1" i="13" l="1"/>
  <c r="O86" i="10" l="1"/>
  <c r="N86" i="10"/>
  <c r="O78" i="10"/>
  <c r="N78" i="10"/>
  <c r="O56" i="10" l="1"/>
  <c r="N56" i="10"/>
  <c r="O49" i="10"/>
  <c r="N49" i="10"/>
  <c r="O42" i="10"/>
  <c r="N42" i="10"/>
  <c r="O35" i="10"/>
  <c r="N35" i="10"/>
  <c r="O28" i="10"/>
  <c r="N28" i="10"/>
  <c r="O21" i="10"/>
  <c r="N21" i="10"/>
  <c r="O14" i="10" l="1"/>
  <c r="N14" i="10"/>
  <c r="O7" i="10"/>
  <c r="N7" i="10"/>
</calcChain>
</file>

<file path=xl/sharedStrings.xml><?xml version="1.0" encoding="utf-8"?>
<sst xmlns="http://schemas.openxmlformats.org/spreadsheetml/2006/main" count="14335" uniqueCount="1460">
  <si>
    <t>MESES</t>
  </si>
  <si>
    <t>Acumulado</t>
  </si>
  <si>
    <t>Acum Meta</t>
  </si>
  <si>
    <t>Geral - Manutenção</t>
  </si>
  <si>
    <t>Índice Execução Preventivas - Fab. 04</t>
  </si>
  <si>
    <t>Índice Execução Preventivas - Fab. 01</t>
  </si>
  <si>
    <t>Índice Execução Preventivas - Fab. 03/10</t>
  </si>
  <si>
    <t>Índice Execução Preventivas - Fab. 06</t>
  </si>
  <si>
    <t>Índice Execução Preventivas - Toto</t>
  </si>
  <si>
    <t>Índice Execução Preventivas - Rev. 03</t>
  </si>
  <si>
    <t>Índice Execução Preventivas - Rev. 04</t>
  </si>
  <si>
    <t>Índice Execução Preventivas - Pontes</t>
  </si>
  <si>
    <t>Índice Execução Preventivas - Total Manutenção</t>
  </si>
  <si>
    <t>Índice Execução Preventivas - Total MOCT</t>
  </si>
  <si>
    <t>Índice Execução Preventivas - Total MEHE</t>
  </si>
  <si>
    <t>Bdg 04/05</t>
  </si>
  <si>
    <t>Bdg 05/06</t>
  </si>
  <si>
    <t>Bdg 06/07</t>
  </si>
  <si>
    <t>Bdg 08/09</t>
  </si>
  <si>
    <t>Bdg 07/08</t>
  </si>
  <si>
    <t>Bdg 09/10</t>
  </si>
  <si>
    <t>Índice Execução Preventivas - END</t>
  </si>
  <si>
    <t>Índice Execução Preventivas - Oficina de Veiculos</t>
  </si>
  <si>
    <t>Bdg 10/11</t>
  </si>
  <si>
    <t>Bdg 11/12</t>
  </si>
  <si>
    <t>Índice Execução Preventivas - Solda Conectores</t>
  </si>
  <si>
    <t>Bdg 12/13</t>
  </si>
  <si>
    <t xml:space="preserve"> Bdg 05/06</t>
  </si>
  <si>
    <t>Índice Execução Preventivas - Total SEIN - ELCE</t>
  </si>
  <si>
    <t>Bdg 13/14</t>
  </si>
  <si>
    <t>Índice Execução Preventivas - Total COAT</t>
  </si>
  <si>
    <t>Total PM01 / PM02</t>
  </si>
  <si>
    <t>Encerradaas NEXE - Fab 04</t>
  </si>
  <si>
    <t>Acum.  
PM01 / PM02</t>
  </si>
  <si>
    <t>Acum.  
Nexe</t>
  </si>
  <si>
    <t>% Acumulada</t>
  </si>
  <si>
    <t>TotaL Encerrada NEXE (Não Executar)</t>
  </si>
  <si>
    <t>Encerradaas NEXE - Fab 01</t>
  </si>
  <si>
    <t>Encerradaas NEXE - Fab 10</t>
  </si>
  <si>
    <t>Encerradaas NEXE - SCON</t>
  </si>
  <si>
    <t>Encerradaas NEXE - Fab 06</t>
  </si>
  <si>
    <t>Encerradaas NEXE - Toto</t>
  </si>
  <si>
    <t>Encerradaas NEXE - Rev 03</t>
  </si>
  <si>
    <t>Encerradaas NEXE - Rev 04</t>
  </si>
  <si>
    <t>Encerradaas NEXE - Pontes</t>
  </si>
  <si>
    <t>Encerradaas NEXE - NDT</t>
  </si>
  <si>
    <t>Índice Execução Preventivas - Total Rev Externo</t>
  </si>
  <si>
    <t>Índice Execução Preventivas - Total Rev Interno</t>
  </si>
  <si>
    <t>Grp.plnj.PM</t>
  </si>
  <si>
    <t>CenTrab respon.</t>
  </si>
  <si>
    <t>Tipo de ordem</t>
  </si>
  <si>
    <t>Ordem</t>
  </si>
  <si>
    <t>Texto breve</t>
  </si>
  <si>
    <t>Status sistema</t>
  </si>
  <si>
    <t>Loc.instalação</t>
  </si>
  <si>
    <t>Tipo ativid.PM</t>
  </si>
  <si>
    <t>Data-base fim</t>
  </si>
  <si>
    <t>Dt.referência</t>
  </si>
  <si>
    <t>Dt.real fim</t>
  </si>
  <si>
    <t>Especialidade</t>
  </si>
  <si>
    <t xml:space="preserve">Responsável </t>
  </si>
  <si>
    <t>Mês</t>
  </si>
  <si>
    <t>Area</t>
  </si>
  <si>
    <t>Motivo da Variação (Indice de Preventivas)</t>
  </si>
  <si>
    <t>Ação</t>
  </si>
  <si>
    <t>Indice de Execução de Preventivas</t>
  </si>
  <si>
    <t>Indice %</t>
  </si>
  <si>
    <t>Bdg 14/15</t>
  </si>
  <si>
    <t>Índice Execução Preventivas - Conector</t>
  </si>
  <si>
    <t>Encerradaas NEXE - Rev Externo</t>
  </si>
  <si>
    <t>Encerradaas NEXE - Rev Interno</t>
  </si>
  <si>
    <t>CF4</t>
  </si>
  <si>
    <t>CFCOGM06</t>
  </si>
  <si>
    <t>PM01</t>
  </si>
  <si>
    <t>NIM</t>
  </si>
  <si>
    <t>ENTE CONF CAPC NOLQ SCDM</t>
  </si>
  <si>
    <t>NIE</t>
  </si>
  <si>
    <t>FIP - ELÉTRICA PLATAF ENTRADA JATO</t>
  </si>
  <si>
    <t>COIN-REVS-REV4-ENTR-P01</t>
  </si>
  <si>
    <t>FIP - ELÉTRICA APLIC CROMATO (MENSAL)</t>
  </si>
  <si>
    <t>COIN-REVS-REV4-PROC-AC1</t>
  </si>
  <si>
    <t>FIP - ELÉTRICA CABINE PRIMER (MENSAL)</t>
  </si>
  <si>
    <t>COIN-REVS-REV4-PROC-CB3</t>
  </si>
  <si>
    <t>COIN-REVS-REV4-PROC-CP2</t>
  </si>
  <si>
    <t>FIP - ELÉT COLETOR PÓ PRIMER (MENSAL)</t>
  </si>
  <si>
    <t>COIN-REVS-REV4-PROC-CP3</t>
  </si>
  <si>
    <t>FIP - ELÉTRICA DESMAGNETIZADOR (MENSAL)</t>
  </si>
  <si>
    <t>COIN-REVS-REV4-PROC-DE1</t>
  </si>
  <si>
    <t>FIP - ELÉTRICA DO COLARINHO 02 (MENSAL)</t>
  </si>
  <si>
    <t>COIN-REVS-REV4-PROC-EC2</t>
  </si>
  <si>
    <t>FIP - ELÉTRICA DO DINAMOMETRO (MENSAL)</t>
  </si>
  <si>
    <t>COIN-REVS-REV4-PROC-ED1</t>
  </si>
  <si>
    <t>COIN-REVS-REV4-PROC-ET1</t>
  </si>
  <si>
    <t>FIP - ELÉTRICA EXTRUS ADESIVO (MENSAL)</t>
  </si>
  <si>
    <t>COIN-REVS-REV4-PROC-ET2</t>
  </si>
  <si>
    <t>FIP - ELÉT EXTRUSORA NOVAMEC (MENSAL)</t>
  </si>
  <si>
    <t>COIN-REVS-REV4-PROC-ET3</t>
  </si>
  <si>
    <t>FIP - ELÉTRICA FORNO AQUECEDOR (MENSAL)</t>
  </si>
  <si>
    <t>COIN-REVS-REV4-PROC-FO1</t>
  </si>
  <si>
    <t>FIP -MECÂNICA FORNO AQUEC TUBOS (MENSAL)</t>
  </si>
  <si>
    <t>FIP - ELÉTRICA FORNO CONFAB (QUINZENAL)</t>
  </si>
  <si>
    <t>COIN-REVS-REV4-PROC-FO2</t>
  </si>
  <si>
    <t>FIP - INSP/LIMP FORNO COMBUSTOL (MENSAL)</t>
  </si>
  <si>
    <t>COIN-REVS-REV4-PROC-FO3</t>
  </si>
  <si>
    <t>FIP - ELÉTRICA DO JATO 01 ( MENSAL )</t>
  </si>
  <si>
    <t>COIN-REVS-REV4-PROC-JA1</t>
  </si>
  <si>
    <t>COIN-REVS-REV4-PROC-JA2</t>
  </si>
  <si>
    <t>FIP - ELÉTRICA PLATAF SAIDA JATO</t>
  </si>
  <si>
    <t>COIN-REVS-REV4-PROC-P02</t>
  </si>
  <si>
    <t>FIP - CKT PNEUMATICO PINTURA FBE(MENSAL)</t>
  </si>
  <si>
    <t>COIN-REVS-REV4-PROC-PI1</t>
  </si>
  <si>
    <t>FIP - ELÉTRICA CABINE FBE ( MENSAL )</t>
  </si>
  <si>
    <t>FIP - ELÉTRICA DO ROLO PRESSOR (MENSAL)</t>
  </si>
  <si>
    <t>COIN-REVS-REV4-PROC-RP1</t>
  </si>
  <si>
    <t>COIN-REVS-REV4-PROC-SR2</t>
  </si>
  <si>
    <t>COIN-REVS-REV4-SAID-CS1</t>
  </si>
  <si>
    <t>FIP - ELÉTRICA CARRO SUPORTE (MENSAL)</t>
  </si>
  <si>
    <t>COIN-REVS-REV4-SAID-L06</t>
  </si>
  <si>
    <t>COIN-REVS-REV4-SAID-P03</t>
  </si>
  <si>
    <t>COIN-REVS-REV4-SAID-P04</t>
  </si>
  <si>
    <t>PM02</t>
  </si>
  <si>
    <t>COIN-REVS-REV3</t>
  </si>
  <si>
    <t>NLG</t>
  </si>
  <si>
    <t>PLANO DE LUBRICICAÇÃO - R4 - (ROTA 01)</t>
  </si>
  <si>
    <t>ENCE CAPC NEXE SCDM</t>
  </si>
  <si>
    <t>COIN-REVS-REV4</t>
  </si>
  <si>
    <t>PLANO DE LUBRICICAÇÃO - R4 - (ROTA 04)</t>
  </si>
  <si>
    <t>PLANO DE LUBRICICAÇÃO - R4 - (ROTA 03)</t>
  </si>
  <si>
    <t>PLANO DE LUBRICICAÇÃO - R4 - (ROTA 02)</t>
  </si>
  <si>
    <t>OIM</t>
  </si>
  <si>
    <t>OIE</t>
  </si>
  <si>
    <t>NIS</t>
  </si>
  <si>
    <t>FMP - ELÉTRICA CABINE PRIMER (MENSAL)</t>
  </si>
  <si>
    <t>FMP - ELÉTRICA ESTRUSORA UNION (MENSAL)</t>
  </si>
  <si>
    <t>FMP -ELÉTRICA EXTRUSORA ADESIVO (MENSAL)</t>
  </si>
  <si>
    <t>FMP - ELÉT EXTRUSORA NOVAMEC (MENSAL)</t>
  </si>
  <si>
    <t>FMP - ELÉT. PISTOLAS PINTURA FBE(MENSAL)</t>
  </si>
  <si>
    <t>FMP - ELÉTRICA DO ROLO PRESSOR (MENSAL)</t>
  </si>
  <si>
    <t>CF5</t>
  </si>
  <si>
    <t>CFCOF4C1</t>
  </si>
  <si>
    <t>COPI-MAUO-CEL1-FB01</t>
  </si>
  <si>
    <t>FI-MEC. FRESADORA (1M)</t>
  </si>
  <si>
    <t>FI-MEC.MESA ALIMENTADORA FB (1M)</t>
  </si>
  <si>
    <t>COPI-MAUO-CEL1-FB01-MA1</t>
  </si>
  <si>
    <t>CFCOF4C3</t>
  </si>
  <si>
    <t>FI-MEC.MESA DE CHAPINHA (1M)</t>
  </si>
  <si>
    <t>ENTE CAPC NOLQ SCDM</t>
  </si>
  <si>
    <t>COPI-MAUO-CEL1-HE02-ME1</t>
  </si>
  <si>
    <t>CFCOF4C2</t>
  </si>
  <si>
    <t>COPI-MAUO-CEL1-HE03</t>
  </si>
  <si>
    <t>COPI-MAUO-CEL1-HE04</t>
  </si>
  <si>
    <t>COPI-MAUO-CEL1-HS01</t>
  </si>
  <si>
    <t>FI-MEC.LAVADOR INTERNE/EXTERO (1M)</t>
  </si>
  <si>
    <t>COPI-MAUO-CEL1-LV01</t>
  </si>
  <si>
    <t>COPI-MAUO-CEL1-ME02</t>
  </si>
  <si>
    <t>FI-PRENSA DE BORDAS  - SEMANAL</t>
  </si>
  <si>
    <t>COPI-MAUO-CEL1-PB01</t>
  </si>
  <si>
    <t>FI-MEC.PRENSA DE BORDAS (1 M)</t>
  </si>
  <si>
    <t>COPI-MAUO-CEL1-PM01</t>
  </si>
  <si>
    <t>COPI-MAUO-CEL1-PO02</t>
  </si>
  <si>
    <t>COPI-MAUO-CEL1-PU02</t>
  </si>
  <si>
    <t>COPI-MAUO-CEL1-SC01</t>
  </si>
  <si>
    <t>FI-MEC.SELADORA (1M)</t>
  </si>
  <si>
    <t>CFCOF4C4</t>
  </si>
  <si>
    <t>COPI-MAUO-CEL2-IV01</t>
  </si>
  <si>
    <t>COPI-MAUO-CEL2-SE01</t>
  </si>
  <si>
    <t>COPI-MAUO-CEL2-SE02</t>
  </si>
  <si>
    <t>COPI-MAUO-CEL2-SE03</t>
  </si>
  <si>
    <t>COPI-MAUO-CEL2-SE04</t>
  </si>
  <si>
    <t>FI-ELÉTRICA DA MAQ. SOLDA EXTERNA D (1M)</t>
  </si>
  <si>
    <t>COPI-MAUO-CEL2-SI01</t>
  </si>
  <si>
    <t>FI-MECANICA SOLDA INTERNA A (1M)</t>
  </si>
  <si>
    <t>COPI-MAUO-CEL2-SI02</t>
  </si>
  <si>
    <t>COPI-MAUO-CEL2-SI03</t>
  </si>
  <si>
    <t>FI-MECANICA SOLDA INTERNA D (1M)</t>
  </si>
  <si>
    <t>COPI-MAUO-CEL2-SI04</t>
  </si>
  <si>
    <t>FI-MECANICA SOLDA INTERNA E (1M)</t>
  </si>
  <si>
    <t>COPI-MAUO-CEL2-SI05</t>
  </si>
  <si>
    <t>COPI-MAUO-CEL2-US01</t>
  </si>
  <si>
    <t>CFCOF4C5</t>
  </si>
  <si>
    <t>ENTE CONF IMPR CAPC NOLQ SCDM</t>
  </si>
  <si>
    <t>COPI-MAUO-CEL3-CP01</t>
  </si>
  <si>
    <t>COPI-MAUO-CEL3-EG01</t>
  </si>
  <si>
    <t>FI - INSP. ELE HANDLING SAÍDA FINAL (1M)</t>
  </si>
  <si>
    <t>COPI-MAUO-CEL3-HL01</t>
  </si>
  <si>
    <t>FI-INSP.ELE HANDLING DE SAÍDA DO RX (1M)</t>
  </si>
  <si>
    <t>COPI-MAUO-CEL3-HS03</t>
  </si>
  <si>
    <t>COPI-MAUO-CEL3-LX01</t>
  </si>
  <si>
    <t>FI-INSPEÇÃO ELET. LIXAM. AUTOMÁT. (1M)</t>
  </si>
  <si>
    <t>FI - INSPEÇÃO ELÉTRICA DA MESA 1 (2M)</t>
  </si>
  <si>
    <t>COPI-MAUO-CEL3-ME01</t>
  </si>
  <si>
    <t>COPI-MAUO-CEL3-ME02</t>
  </si>
  <si>
    <t>FI - INSPEÇÃO ELÉTRICA DA MESA 2 (1M)</t>
  </si>
  <si>
    <t>FI - ELETRICA ROBOS DE MEDIÇÃO (1M)</t>
  </si>
  <si>
    <t>COPI-MAUO-CEL3-ME02-RB1</t>
  </si>
  <si>
    <t>COPI-MAUO-CEL3-PL01</t>
  </si>
  <si>
    <t>FI-INSP.ELE PULMÃO SAÍDA DO PROVE UP(1M)</t>
  </si>
  <si>
    <t>COPI-MAUO-CEL3-PS01</t>
  </si>
  <si>
    <t>COPI-MAUO-CEL3-PV01</t>
  </si>
  <si>
    <t>COPI-MAUO-CEL3-RX01</t>
  </si>
  <si>
    <t>FI-MEC HANDLING_RX (1M)</t>
  </si>
  <si>
    <t>FI-INSPEÇÃO MECÂNICA DO RAIO X (1M)</t>
  </si>
  <si>
    <t>FI - INSPEÇÃO ELÉTRICA DO TH (1M)</t>
  </si>
  <si>
    <t>COPI-MAUO-CEL3-TH01</t>
  </si>
  <si>
    <t>FI - INSPEÇÃO ELÉTRICA DO TORNO 3 (2M)</t>
  </si>
  <si>
    <t>COPI-MAUO-CEL3-TO03</t>
  </si>
  <si>
    <t>FI - INSPEÇÃO MECÂNICA DO TORNO 4 (2M)</t>
  </si>
  <si>
    <t>COPI-MAUO-CEL3-TO04</t>
  </si>
  <si>
    <t>FI - INSPEÇÃO ELÉTRICA DO TORNO 4 (2M)</t>
  </si>
  <si>
    <t>COPI-MAUO-CEL3-UE01</t>
  </si>
  <si>
    <t>FI - INSPEÇÃO ELÉTRICA DO US 2 (2M)</t>
  </si>
  <si>
    <t>COPI-MAUO-CEL3-US02</t>
  </si>
  <si>
    <t>FI - INSPEÇÃO MECÂNICA DO US 2 (1M)</t>
  </si>
  <si>
    <t>ENTE CONF IMPR CAPC CAPF NOLQ SCDM</t>
  </si>
  <si>
    <t>FP- LUB- LUBRIFICAÇÃO MESA CHAPAS  (1M)</t>
  </si>
  <si>
    <t>FP- LUB- LUBRIFICAÇÃO NOVA MESA UO  (1M)</t>
  </si>
  <si>
    <t>ABER CAPC DMNV SCDM</t>
  </si>
  <si>
    <t>ENCE IMPR CAPC NEXE SCDM</t>
  </si>
  <si>
    <t>FL - LUB-LUBRIFICAÇÃO NOVA PRENSA O  (1M</t>
  </si>
  <si>
    <t>ENTE IMPR CAPC NOLQ SCDM</t>
  </si>
  <si>
    <t>FL - LUBRIFICAÇÃO NOVA PRENSA U (1M)</t>
  </si>
  <si>
    <t>NGM</t>
  </si>
  <si>
    <t>ENTE CONF IMPR CAPC DNAT NOLQ SCDM</t>
  </si>
  <si>
    <t>NIX</t>
  </si>
  <si>
    <t>FP- INSPEÇÃO MEC. CORTE/REPARO CEL.4(1M)</t>
  </si>
  <si>
    <t>COPI-MAUO-CEL2-AR01</t>
  </si>
  <si>
    <t>COPI-MAUO-CEL2-FL01</t>
  </si>
  <si>
    <t>FP - LIMPEZA DA LUBRIFICAÇÃO DO EG (1M)</t>
  </si>
  <si>
    <t>OAM</t>
  </si>
  <si>
    <t>FP - ACUMULADOR PRESSÃO GRAMPO - EG (1M)</t>
  </si>
  <si>
    <t>FP - MEC - HANDLING FINAL SAÍDA (1)M)</t>
  </si>
  <si>
    <t>FP - MEC. SIST. MED. COMPRIM. US 2 (1M)</t>
  </si>
  <si>
    <t>CF6</t>
  </si>
  <si>
    <t>CFCOGM02</t>
  </si>
  <si>
    <t>FI-VAZAMENTOS DE AR FAB 1- CELULA 1(1M)</t>
  </si>
  <si>
    <t>COPI-MAER-CEL1</t>
  </si>
  <si>
    <t>FI-MECÂNICA DO PRÉ-FORMADOR 2 (1M)</t>
  </si>
  <si>
    <t>COPI-MAER-CEL1-BD02</t>
  </si>
  <si>
    <t>FI-MECÂNICA CARRO ALIMENTADOR(1M)</t>
  </si>
  <si>
    <t>COPI-MAER-CEL1-CA01</t>
  </si>
  <si>
    <t>FI-INSPEÇÃO ELÉTRICA DO CORT. CI. (1M)</t>
  </si>
  <si>
    <t>COPI-MAER-CEL1-CC01</t>
  </si>
  <si>
    <t>FI-MECÂNICA DO CORTADOR/PICOTADOR (1M)</t>
  </si>
  <si>
    <t>FI-MECÂNICA CORT ESTACIONÁRIO (1M)</t>
  </si>
  <si>
    <t>COPI-MAER-CEL1-CE01</t>
  </si>
  <si>
    <t>FI-MECÂNICA CORTADOR MÓVEL (1M)</t>
  </si>
  <si>
    <t>COPI-MAER-CEL1-CM01</t>
  </si>
  <si>
    <t>FI-MECÂNICA DO CAGE ROLLER (1M)</t>
  </si>
  <si>
    <t>COPI-MAER-CEL1-CR01</t>
  </si>
  <si>
    <t>COPI-MAER-CEL1-CV01</t>
  </si>
  <si>
    <t>NIN</t>
  </si>
  <si>
    <t>FI-MECÂNICA DESBOBINADEIRA (1M)</t>
  </si>
  <si>
    <t>COPI-MAER-CEL1-DB01</t>
  </si>
  <si>
    <t>COPI-MAER-CEL1-EF01</t>
  </si>
  <si>
    <t>COPI-MAER-CEL1-ET01</t>
  </si>
  <si>
    <t>COPI-MAER-CEL1-ET02</t>
  </si>
  <si>
    <t>FI-MECÂNICA DA GUIA TIPO 1 (1M)</t>
  </si>
  <si>
    <t>COPI-MAER-CEL1-GT01</t>
  </si>
  <si>
    <t>COPI-MAER-CEL1-GT02</t>
  </si>
  <si>
    <t>FI-MECÂNICA DA GUIA TIPO 3 (1M)</t>
  </si>
  <si>
    <t>COPI-MAER-CEL1-GT03</t>
  </si>
  <si>
    <t>FI-MECÂNICA DA UH DA GUIA TIPO 3 (1M)</t>
  </si>
  <si>
    <t>COPI-MAER-CEL1-HS01</t>
  </si>
  <si>
    <t>FI-MEC-LINHA TRANSPORT.CRM-02(2S)</t>
  </si>
  <si>
    <t>COPI-MAER-CEL1-HS02</t>
  </si>
  <si>
    <t>FI-MECÂNICA LINHA RESFRIAMENTO(1M)</t>
  </si>
  <si>
    <t>COPI-MAER-CEL1-LI01</t>
  </si>
  <si>
    <t>FI-MECÂNICA DA MESA PIVOTANTE 1 (1M)</t>
  </si>
  <si>
    <t>COPI-MAER-CEL1-MV01</t>
  </si>
  <si>
    <t>FI-MECÂNICA DA MESA PIVOTANTE 2 (1M)</t>
  </si>
  <si>
    <t>COPI-MAER-CEL1-MV02</t>
  </si>
  <si>
    <t>FI-MECÂNICA DA PRENSA 50 TON (1M)</t>
  </si>
  <si>
    <t>COPI-MAER-CEL1-PA01</t>
  </si>
  <si>
    <t>FI-MECÂNICA DO MOTOR DO PUXADOR 2  (1M)</t>
  </si>
  <si>
    <t>COPI-MAER-CEL1-PL02</t>
  </si>
  <si>
    <t>FI-MECANICA RASP.INTER.(2S)</t>
  </si>
  <si>
    <t>COPI-MAER-CEL1-RI01</t>
  </si>
  <si>
    <t>COPI-MAER-CEL1-SC01-CH4</t>
  </si>
  <si>
    <t>FIP-MEC-SISTEMA DE ENCODER  DO  PULL-OUT</t>
  </si>
  <si>
    <t>COPI-MAER-CEL1-SC01-SC1</t>
  </si>
  <si>
    <t>FI-ELÉTRICA DA SOLDA ELOTHERM (2S)</t>
  </si>
  <si>
    <t>COPI-MAER-CEL1-SO01</t>
  </si>
  <si>
    <t>FI-MECÂNICA DA  SOLDA  (1M)</t>
  </si>
  <si>
    <t>FI-MEC.SEAM TRACKING PINTURA FAIXA (7D)</t>
  </si>
  <si>
    <t>COPI-MAER-CEL1-ST01</t>
  </si>
  <si>
    <t>FI-ELÉTRICA T.T.THERMATOOL (2S)</t>
  </si>
  <si>
    <t>COPI-MAER-CEL1-TT01</t>
  </si>
  <si>
    <t>FI-ELÉTRICA DO T.T.CONFAB (2S)</t>
  </si>
  <si>
    <t>COPI-MAER-CEL1-TT02</t>
  </si>
  <si>
    <t>FI-INSPEÇÃO  ELÉTRICA T.T. AEG(2S)</t>
  </si>
  <si>
    <t>COPI-MAER-CEL1-TT03</t>
  </si>
  <si>
    <t>FI-VAZAMENTOS DE AR FAB 1-CEL 2 (1M)</t>
  </si>
  <si>
    <t>COPI-MAER-CEL2</t>
  </si>
  <si>
    <t>FI - HANDLING DA BALANÇA (1M)</t>
  </si>
  <si>
    <t>COPI-MAER-CEL2-BL01</t>
  </si>
  <si>
    <t>FI-MECÂNICA DA CRM-22 (1M)</t>
  </si>
  <si>
    <t>COPI-MAER-CEL2-EN01-VR1</t>
  </si>
  <si>
    <t>COPI-MAER-CEL2-EV01</t>
  </si>
  <si>
    <t>FIP - MEC - HANDLING DE ENTRADA EVS 1</t>
  </si>
  <si>
    <t>COPI-MAER-CEL2-HE08</t>
  </si>
  <si>
    <t>FIP–MEC HANDLING ENTRE EVS / US DE CORPO</t>
  </si>
  <si>
    <t>COPI-MAER-CEL2-HE11</t>
  </si>
  <si>
    <t>FIP – MEC LINHAS TRANS. 23/23A/18</t>
  </si>
  <si>
    <t>COPI-MAER-CEL2-HE13</t>
  </si>
  <si>
    <t>COPI-MAER-CEL2-HS03</t>
  </si>
  <si>
    <t>COPI-MAER-CEL2-PV01</t>
  </si>
  <si>
    <t>FIP - MEC PROVE-UP (MENSAL)</t>
  </si>
  <si>
    <t>FI-MECÂNICA DO TH  (1M)</t>
  </si>
  <si>
    <t>COPI-MAER-CEL2-TH01</t>
  </si>
  <si>
    <t>FI-MECÂNICA DO TH (7D)</t>
  </si>
  <si>
    <t>FI-MEC.DO TORNO 01 (1M)</t>
  </si>
  <si>
    <t>COPI-MAER-CEL2-TO01</t>
  </si>
  <si>
    <t>FI-MECÂNICA DO TORNO 02 (1M)</t>
  </si>
  <si>
    <t>COPI-MAER-CEL2-TO02</t>
  </si>
  <si>
    <t>FI-MEC.ULTRA SOM DE CORPO HANDLING (1M)</t>
  </si>
  <si>
    <t>COPI-MAER-CEL2-US06</t>
  </si>
  <si>
    <t>FI -MECANICA UH CARRO AUTONOMO (1M)</t>
  </si>
  <si>
    <t>COPI-SCON-SECE-CA01</t>
  </si>
  <si>
    <t>FI-HANDLING DE ENTRADA (1M)</t>
  </si>
  <si>
    <t>COPI-SCON-SOLD-HE01</t>
  </si>
  <si>
    <t>FI - MEC - SOLDA PONTA 1 (1M)</t>
  </si>
  <si>
    <t>COPI-SCON-SOLD-SO01</t>
  </si>
  <si>
    <t>FI - MEC - SOLDA PONTA 2 (1M)</t>
  </si>
  <si>
    <t>COPI-SCON-SOLD-SO02</t>
  </si>
  <si>
    <t>FP-PLANO LUBRIFICAÇÃO - F1(Rota 02) (1M)</t>
  </si>
  <si>
    <t>COPI-MAER</t>
  </si>
  <si>
    <t>FP-PLANO LUBRIFICAÇÃO - F1(Rota 03) (1M)</t>
  </si>
  <si>
    <t>FP-PLANO LUBRIFICAÇÃO - F1(Rota 01) (1M)</t>
  </si>
  <si>
    <t>FP-PLANO LUBRIFICAÇÃO - F1(Rota 04) (1M)</t>
  </si>
  <si>
    <t>FP-MEC. DO CORTADOR MÓVEL  (1M)</t>
  </si>
  <si>
    <t>FE-ESPOLETA LOOPING ROLL (1M)</t>
  </si>
  <si>
    <t>COPI-MAER-CEL1-LR01</t>
  </si>
  <si>
    <t>NGE</t>
  </si>
  <si>
    <t>FP-ELÉTRICA SOLDA ELOTHERM(7D)</t>
  </si>
  <si>
    <t>FE-ESPOLETA SEAM TRACKING (1M)</t>
  </si>
  <si>
    <t>FP-MECÂNICA DO TRATAMENTO TERMICO 01(1M)</t>
  </si>
  <si>
    <t>FP-MEC.DO TRATAMENTO TÉRMICO AEG (1M)</t>
  </si>
  <si>
    <t>FP - MECANICA DA BALANÇA (1M)</t>
  </si>
  <si>
    <t>FP-MEC.TESTE HIDROSTÁTICO (1M)</t>
  </si>
  <si>
    <t>FE-ESPOLETA LIMITE DA PORTA DO TO 1(1M)</t>
  </si>
  <si>
    <t>FE-ESP.DO LIMITE DA PORTA DO TO 2 (1M)</t>
  </si>
  <si>
    <t>FE-MEC-ESPOLETA  ANTI-QUEDA CABEÇOTE(1M)</t>
  </si>
  <si>
    <t>FE-MEC-ESPOLETA ANTI-QUEDA CABEÇOTE (1M)</t>
  </si>
  <si>
    <t>CF7</t>
  </si>
  <si>
    <t>CFCOGM03</t>
  </si>
  <si>
    <t>COPI-CONE-ARFO-FO01</t>
  </si>
  <si>
    <t>ENCE CAPC DNAT NEXE SCDM</t>
  </si>
  <si>
    <t>COPI-ROSC-FLUT-US01</t>
  </si>
  <si>
    <t>CF8</t>
  </si>
  <si>
    <t>CFCOPO01</t>
  </si>
  <si>
    <t>FS-INSP ELE PONTES CLASSE B(BIMESTRAL)</t>
  </si>
  <si>
    <t>COPI-CONE-TRAN-PR01</t>
  </si>
  <si>
    <t>COPI-MAER-TRAN-PR03</t>
  </si>
  <si>
    <t>COPI-MAER-TRAN-PR04</t>
  </si>
  <si>
    <t>COPI-MAER-TRAN-PR05</t>
  </si>
  <si>
    <t>COPI-MAER-TRAN-PR07</t>
  </si>
  <si>
    <t>COPI-MAER-TRAN-PR08</t>
  </si>
  <si>
    <t>COPI-MAHE-TRAN-PR02</t>
  </si>
  <si>
    <t>COPI-MAUO-TRAN-PR01</t>
  </si>
  <si>
    <t>FS-INSP MEC PONTES CLASSE A (MENSAL)</t>
  </si>
  <si>
    <t>FI-INSP ELE PONTES CLASSE A (BIMESTRAL)</t>
  </si>
  <si>
    <t>COPI-MAUO-TRAN-PR02</t>
  </si>
  <si>
    <t>COPI-MAUO-TRAN-PR03</t>
  </si>
  <si>
    <t>COPI-MAUO-TRAN-PR05</t>
  </si>
  <si>
    <t>FI  -INS MEC  PONTE ROL ANSELMI  (MENS.)</t>
  </si>
  <si>
    <t>COPI-ROSC-TRAN-PR01</t>
  </si>
  <si>
    <t>FS-PREV MEC PONTES CLASSE B (SEMESTRAL)</t>
  </si>
  <si>
    <t>COPI-MAER-TRAN-PR02</t>
  </si>
  <si>
    <t>FP-PREV ELE PONTES ANSELMI 40T (MENSAL)</t>
  </si>
  <si>
    <t>FS - PREVENTIVA DA TALHA - EG (1M)</t>
  </si>
  <si>
    <t>FS-PREV ELE PONTES CLASSE A (MENSAL)</t>
  </si>
  <si>
    <t>FS-PREVENTIVA NOBREAK (MENSAL)</t>
  </si>
  <si>
    <t>FS-PREV.NOBREACK DO ELETROIMÁ (MENSAL)</t>
  </si>
  <si>
    <t>FS-PREV ELE PONTES CLASSE A (SEMESTRAL)</t>
  </si>
  <si>
    <t>FS-PREV MEC PONTES CLASSE A (BIMESTRAL)</t>
  </si>
  <si>
    <t>COPI-MAUO-TRAN-PR04</t>
  </si>
  <si>
    <t>FFS-PREV ELE PR 05 ANSELMI CLA A (MENSAL</t>
  </si>
  <si>
    <t>CFE</t>
  </si>
  <si>
    <t>CFCORE01</t>
  </si>
  <si>
    <t>CFCOEN01</t>
  </si>
  <si>
    <t>CFCOUT01</t>
  </si>
  <si>
    <t>FI-GERADOR DE EMERGÊNCIA (1M)</t>
  </si>
  <si>
    <t>COPI-MAUO-SECE-SB02-GE1</t>
  </si>
  <si>
    <t>COPI-MAUO-SECE-SB03-GE1</t>
  </si>
  <si>
    <t>COPI-MAUO-SECE-SV05-AR1</t>
  </si>
  <si>
    <t>CFELEC01</t>
  </si>
  <si>
    <t>FI-MÁQUINA DE TESTE CTOD MTS-810</t>
  </si>
  <si>
    <t>COPI-QUAL-LAFI-MA01</t>
  </si>
  <si>
    <t>COPI-QUAL-LAFI-MI02</t>
  </si>
  <si>
    <t>COPI-QUAL-LAFI-MT01</t>
  </si>
  <si>
    <t>COPI-QUAL-LAFI-MT02</t>
  </si>
  <si>
    <t>FI-INSP TORNO CNC OKUMA (1S)</t>
  </si>
  <si>
    <t>COPI-QUAL-LAUS-CE01</t>
  </si>
  <si>
    <t>COPI-QUAL-LAUS-FR05</t>
  </si>
  <si>
    <t>COPI-QUAL-LAUS-PH01</t>
  </si>
  <si>
    <t>COPI-QUAL-LAUS-RE01</t>
  </si>
  <si>
    <t>FI-MEC. TORNO ROMI ID-20 (1S)</t>
  </si>
  <si>
    <t>COPI-QUAL-LAUS-TO01</t>
  </si>
  <si>
    <t>COPI-REVS-SECE-IF02-SA1</t>
  </si>
  <si>
    <t>COPI-ROSC-SECE-SB01-CM1</t>
  </si>
  <si>
    <t>FI-COMPRESSORES DE AR ETE(1S)</t>
  </si>
  <si>
    <t>COPI-SEIN-AGID-IF01-SA1</t>
  </si>
  <si>
    <t>FI-PURGAD.VSOS PRESSÃO ETE (1S)</t>
  </si>
  <si>
    <t>COPI-SEIN-AGID-IF01-SE1</t>
  </si>
  <si>
    <t>COPI-SEIN-ARCO-CO15</t>
  </si>
  <si>
    <t>FI-COMPRESSORES DE AR 15(1S)</t>
  </si>
  <si>
    <t>COPI-SEIN-ARCO-CO17</t>
  </si>
  <si>
    <t>FI-COMPRESSORES DE AR 17(1S)</t>
  </si>
  <si>
    <t>FI-COMPRESSORES DE AR 18(1S)</t>
  </si>
  <si>
    <t>COPI-SEIN-ARCO-CO18</t>
  </si>
  <si>
    <t>COPI-SEIN-ARCO-CO19</t>
  </si>
  <si>
    <t>FI-COMPRESSORES DE AR 19(1S)</t>
  </si>
  <si>
    <t>FI-COMPRESSORES DE AR 20(1S)</t>
  </si>
  <si>
    <t>COPI-SEIN-ARCO-CO20</t>
  </si>
  <si>
    <t>FI-COMPRESSORES DE AR 21(1S)</t>
  </si>
  <si>
    <t>COPI-SEIN-ARCO-CO21</t>
  </si>
  <si>
    <t>FI-COMPRESSORE D AR DM123(1S)</t>
  </si>
  <si>
    <t>COPI-SEIN-ARCO-CO22</t>
  </si>
  <si>
    <t>FI-COMPRESSORES DE AR ToTo(1S)</t>
  </si>
  <si>
    <t>FI-COMPRESSORES D AR DM127(1S)</t>
  </si>
  <si>
    <t>COPI-SEIN-ARCO-CO23</t>
  </si>
  <si>
    <t>FI-PURGAD VSOS PSS.COMP.RV4(1S)</t>
  </si>
  <si>
    <t>COPI-SEIN-ARCO-SC01-RA1</t>
  </si>
  <si>
    <t>COPI-SEIN-ARCO-SC01-SE1</t>
  </si>
  <si>
    <t>COPI-SEIN-CALD-AQ01-SB1</t>
  </si>
  <si>
    <t>COPI-SEIN-READ-CH01</t>
  </si>
  <si>
    <t>COPI-SEIN-READ-CH02</t>
  </si>
  <si>
    <t>COPI-SEIN-READ-FC01</t>
  </si>
  <si>
    <t>COPI-SEIN-READ-FC02</t>
  </si>
  <si>
    <t>COPI-SEIN-SUBS-IF01-CV1</t>
  </si>
  <si>
    <t>COPI-SEIN-SUBS-IF02</t>
  </si>
  <si>
    <t>COPI-TOTO-SERV-CO01-SC1</t>
  </si>
  <si>
    <t>FI-PURGAD.VSO PSS.COMP.TOTO(1S)</t>
  </si>
  <si>
    <t>COPI-MAER-CEL2-US06-SE1</t>
  </si>
  <si>
    <t>COPI-MAER-SERV-IF02-AC1</t>
  </si>
  <si>
    <t>COPI-MAER-SERV-IF02-AC2</t>
  </si>
  <si>
    <t>COPI-MAER-SERV-IF02-SA1</t>
  </si>
  <si>
    <t>COPI-MAHE-SECE-IF02-SA1</t>
  </si>
  <si>
    <t>FP-MAN.D MINICHILLER TOCHA SI04(1M)</t>
  </si>
  <si>
    <t>COPI-MAUO-CEL2-SI04-SR1</t>
  </si>
  <si>
    <t>COPI-MAUO-SECE-IF01-CV1</t>
  </si>
  <si>
    <t>COPI-MAUO-SECE-IF02-AC1</t>
  </si>
  <si>
    <t>COPI-MAUO-SECE-IF02-AC2</t>
  </si>
  <si>
    <t>COPI-MAUO-SECE-IF02-AC3</t>
  </si>
  <si>
    <t>FP-MEC. MAQ. DE IMPACTO ZWICK (1M)</t>
  </si>
  <si>
    <t>FP- MEC. RETIFICA RAPG-40 RE01 (1M)</t>
  </si>
  <si>
    <t>COPI-QUAL-LAUS-RE03</t>
  </si>
  <si>
    <t>FP- MEC. RETIFICA RAPG-40 RE03 (1M)</t>
  </si>
  <si>
    <t>COPI-RHSG-SECE-IF03-AC1</t>
  </si>
  <si>
    <t>COPI-ROSC-SECE-IF02-SA1</t>
  </si>
  <si>
    <t>CFN</t>
  </si>
  <si>
    <t>CFCONDT1</t>
  </si>
  <si>
    <t>COPI-MAHE-FORM-US01</t>
  </si>
  <si>
    <t>SR2</t>
  </si>
  <si>
    <t>SBCOR102</t>
  </si>
  <si>
    <t>FI-ELE | EXTRUSORA ADH (M)</t>
  </si>
  <si>
    <t>COAT-RES1-CEL3-EA01</t>
  </si>
  <si>
    <t>FI-ELE | EXTRUSORA PHT (M)</t>
  </si>
  <si>
    <t>COAT-RES1-CEL3-EP01</t>
  </si>
  <si>
    <t>SBCOR101</t>
  </si>
  <si>
    <t>COAT-RES1-CEL2-HE01</t>
  </si>
  <si>
    <t>FP-ELE | EXTRUSORA ADH (M)</t>
  </si>
  <si>
    <t>FP-ELE | EXTRUSORA PHT (M)</t>
  </si>
  <si>
    <t>FP-ELE | FORNO DE INDUÇÃO I (M)</t>
  </si>
  <si>
    <t>COAT-RES1-CEL3-FI01</t>
  </si>
  <si>
    <t>COAT-RES1-CEL3-FI02</t>
  </si>
  <si>
    <t>COAT-RES1-CEL4-MI01</t>
  </si>
  <si>
    <t>SR3</t>
  </si>
  <si>
    <t>SBCOR201</t>
  </si>
  <si>
    <t>FI - ELE - HANDLING DE ENTRADA (M)</t>
  </si>
  <si>
    <t>COAT-RES2-CEL1-HE01</t>
  </si>
  <si>
    <t>FI - ELE - INSPEÇÃO PÓS-JATO (M)</t>
  </si>
  <si>
    <t>COAT-RES2-CEL2-IJ01</t>
  </si>
  <si>
    <t>FP - ELE - HANDLING DE ENTRADA (M)</t>
  </si>
  <si>
    <t>FP - ELE - INSPEÇÃO PÓS-JATO (M)</t>
  </si>
  <si>
    <t>FP - ELE - JATO DE GRANALHA INTERNO (M)</t>
  </si>
  <si>
    <t>COAT-RES2-CEL2-JG01</t>
  </si>
  <si>
    <t>FP -ELE- CENTRO DE PINTURA AIR-LESS (M)</t>
  </si>
  <si>
    <t>COAT-RES2-CEL3-AL01</t>
  </si>
  <si>
    <t>FP - ELE - HANDLING DE SAÍDA (M)</t>
  </si>
  <si>
    <t>COAT-RES2-CEL4-HS01</t>
  </si>
  <si>
    <t>Mecanica</t>
  </si>
  <si>
    <t>Eletrica</t>
  </si>
  <si>
    <t>Lubrificação</t>
  </si>
  <si>
    <t>FI-INSPEÇÃO ELET.  TALHA  DA FB (1M)</t>
  </si>
  <si>
    <t>FI-ELE-HANDLING DA ESTEIRA DE CHAPAS(1M)</t>
  </si>
  <si>
    <t>FI-ELE-HANDLING ESTEIRA DE TUBOS (1M)</t>
  </si>
  <si>
    <t>FI-MEC.DA MESA UO (1M)</t>
  </si>
  <si>
    <t>COPI-MAUO-CEL1-ME01</t>
  </si>
  <si>
    <t>FI- INSPEÇÃO MECANICA NOVA MESA UO (1M)</t>
  </si>
  <si>
    <t>FI-MECANICA SOLDA EXTERNA A (1M)</t>
  </si>
  <si>
    <t>FI -MEC. SOLDA EXTERNA B(1M)</t>
  </si>
  <si>
    <t>FI-MECANICA SOLDA EXTERNA C (1M)</t>
  </si>
  <si>
    <t>FI-MECANICA SOLDA EXTERNA D(1M)</t>
  </si>
  <si>
    <t>FI - INSP. MEC HANDLING SAÍDA FINAL (1M)</t>
  </si>
  <si>
    <t>FI - INSPEÇÃO MECÂNICA  DA MESA 1 (1M)</t>
  </si>
  <si>
    <t>COPI-MAUO-CEL3-PM01</t>
  </si>
  <si>
    <t>FI - INSPEÇÃO MEC.  PART. MAGNÉT. (1M)</t>
  </si>
  <si>
    <t>FI - INSPEÇÃO MECÂNICA DO TORNO 3 (2M)</t>
  </si>
  <si>
    <t>FI-MECÂNICA PRÉ-FORMADOR BORDAS (1M)</t>
  </si>
  <si>
    <t>LIB  IMPR CAPC NOLQ SCDM</t>
  </si>
  <si>
    <t>FI-SALAS SUB PRINCIPAL (2S)</t>
  </si>
  <si>
    <t>FI- PATIO 138 KV - GAIOLA (2S)</t>
  </si>
  <si>
    <t>FP-MECÂNICA RAIO X  (1M)</t>
  </si>
  <si>
    <t>Pontes</t>
  </si>
  <si>
    <t>Veiculos</t>
  </si>
  <si>
    <t>FIP - MESA INSP APÓS SELADORA - MEC (1M)</t>
  </si>
  <si>
    <t>COPI-MAUO-CEL1-ME03</t>
  </si>
  <si>
    <t>FI - INSP. ELÉTRICA  EXPANSOR SMS (1M)</t>
  </si>
  <si>
    <t>COPI-MAUO-CEL3-ES01</t>
  </si>
  <si>
    <t>FI - INSPEÇÃO MECÂNICA DO TH (1M)</t>
  </si>
  <si>
    <t>FL-LUB - MESA INSPEÇÃO APÓS SELADORA(1M)</t>
  </si>
  <si>
    <t>FI-MECÂNICA DA ESTEIRA DE APARAS 2 (1M)</t>
  </si>
  <si>
    <t>FIP – MEC SAIDA DO US4/US5 ( MENSAL)</t>
  </si>
  <si>
    <t>FI-CUBICULO MT CLUBE-PN (1M)</t>
  </si>
  <si>
    <t>FP-MANU DE ESTRU S/E  4/6 (1M)</t>
  </si>
  <si>
    <t>FI-BOMBAS/MOTOR SIS COMBATE INCENDI (1M)</t>
  </si>
  <si>
    <t>COPI-SEIN-SDCI-SC01</t>
  </si>
  <si>
    <t>FP-ELE | FORNO DE INDUÇÃO II (M)</t>
  </si>
  <si>
    <t>ABER CAPC DMNV ERRD SCDM</t>
  </si>
  <si>
    <t>Rev 03</t>
  </si>
  <si>
    <t>Rev Ext.</t>
  </si>
  <si>
    <t>FP - PREVENTIVA MECÂNICA DO EG (1M)</t>
  </si>
  <si>
    <t>FP-MEC-INSP. MECANICA DO SMS (1M)</t>
  </si>
  <si>
    <t>FP - PREVENTIVA MECÂNICA DO TH (1M)</t>
  </si>
  <si>
    <t>FI-ELÉTRICA DA TESOURA FERMASA (1M)</t>
  </si>
  <si>
    <t>COPI-MAER-CEL1-TF01</t>
  </si>
  <si>
    <t>FI-ELETRICA FOSFATO CONECTORES (MENSAL)</t>
  </si>
  <si>
    <t>COPI-SEIN-CALD-CA01-SB1</t>
  </si>
  <si>
    <t>COPI-SEIN-CALD-CA02-SB2</t>
  </si>
  <si>
    <t>FI - ELE ULTRA SOM 02 DE LINHA (SEMANAL)</t>
  </si>
  <si>
    <t>COPI-MAER-CEL1-US02</t>
  </si>
  <si>
    <t>FI-ULTRA SOM CORPO/SOLDA ELET.(Semanal))</t>
  </si>
  <si>
    <t>FI-US.CORPO / SOLDA MECÂNICA  (Semanal)</t>
  </si>
  <si>
    <t>FI_ELE_ULTRA SOM  (Semanal)</t>
  </si>
  <si>
    <t>FI-NDT-MEC- ULTRA SOM 1 - (Semanal)</t>
  </si>
  <si>
    <t>FI-ELE PARTICULA MAGNETICA (Semanal)</t>
  </si>
  <si>
    <t>FI-MEC-PARTICULA MAGNETICA (Semanal)</t>
  </si>
  <si>
    <t>FI-MEC U.S DE EXTREMIDADES (SEMANAL) NDT</t>
  </si>
  <si>
    <t>FI-NDT-MEC- ULTRA SOM 2- (Semanal)</t>
  </si>
  <si>
    <t>FI-ELE ULTRA SOM 01 - RDTECH  (Semanal)</t>
  </si>
  <si>
    <t>FI-MEC ULTRA SOM FLUT (RDTECH) SEMANAL</t>
  </si>
  <si>
    <t>COAT-RES1-CEL1-FG01</t>
  </si>
  <si>
    <t>COAT-RES1-CEL1-FG02</t>
  </si>
  <si>
    <t>COAT-RES1-CEL1-HE01</t>
  </si>
  <si>
    <t>COAT-RES1-CEL1-HS01</t>
  </si>
  <si>
    <t>COAT-RES1-CEL2-CH01</t>
  </si>
  <si>
    <t>COAT-RES1-CEL2-HR01</t>
  </si>
  <si>
    <t>COAT-RES1-CEL2-HS01</t>
  </si>
  <si>
    <t>COAT-RES1-CEL2-SL01</t>
  </si>
  <si>
    <t>COAT-RES1-CEL3-PT01</t>
  </si>
  <si>
    <t>FP-ELE | HANDLING DE RESFRIAMENTO (M)</t>
  </si>
  <si>
    <t>COAT-RES1-CEL3-RF01</t>
  </si>
  <si>
    <t>COAT-RES1-CEL3-SP01</t>
  </si>
  <si>
    <t>COAT-RES1-CEL3-UR01</t>
  </si>
  <si>
    <t>COAT-RES1-CEL4-CH01</t>
  </si>
  <si>
    <t>COAT-RES1-CEL4-EC01</t>
  </si>
  <si>
    <t>COAT-RES1-CEL4-HH01</t>
  </si>
  <si>
    <t>COAT-RES1-CEL4-HL01</t>
  </si>
  <si>
    <t>COAT-RES1-CEL4-HT01</t>
  </si>
  <si>
    <t>FP-MECANICA DESBOBINADEIRA (1M)</t>
  </si>
  <si>
    <t>FI-MEC.PONTEAMENTO MANUAL (1M)</t>
  </si>
  <si>
    <t>COPI-MAUO-CEL2</t>
  </si>
  <si>
    <t>FI - INSP. MECÂNICA  EXPANSOR SMS (1M)</t>
  </si>
  <si>
    <t>FI-INSPEÇÃO MEC. LIXAM. AUTOMÁT. (1M)</t>
  </si>
  <si>
    <t>FI - INSPEÇÃO MCÂNICA PROVE-UP (1M)</t>
  </si>
  <si>
    <t>FS - PREVENTIVA DA TALHA  TH (1M)</t>
  </si>
  <si>
    <t>FI-MECÂNICA DAS GUIAS TIPO 2 (1M)</t>
  </si>
  <si>
    <t>COPI-INFO-SECE-IF01-AC1</t>
  </si>
  <si>
    <t>COPI-MAUO-SECE-IF01-SV1</t>
  </si>
  <si>
    <t>F I -MEC US 02 DE LINHA (SEMANAL)</t>
  </si>
  <si>
    <t>F I -ELE ULTRA SOM 02 DE LINHA (SEMANAL)</t>
  </si>
  <si>
    <t>FP-MEC-PARTICULA MAGNETICA (MENSAL)</t>
  </si>
  <si>
    <t>COAT-RES1-CEL2-CE01</t>
  </si>
  <si>
    <t>FI-MECANICA SOLDA INTERNA B (1M)</t>
  </si>
  <si>
    <t>FI-MECANICA SOLDA INTERNA C (1M)</t>
  </si>
  <si>
    <t>FI-MECÂNICA DA UH PRINCIPAL (1M)</t>
  </si>
  <si>
    <t>COPI-MAUO-SECE-IF02-BE1</t>
  </si>
  <si>
    <t>COPI-SEIN-INFR-PR06-BE1</t>
  </si>
  <si>
    <t>COAT-RES1-CEL1-CE01</t>
  </si>
  <si>
    <t>FP-ELE | CENTRAL ELÉTRICA (M)</t>
  </si>
  <si>
    <t>FP-MEC | HANDLING DE ENTRADA (M)</t>
  </si>
  <si>
    <t>FP-MEC | INSPEÇÃO PÓS-JATO (M)</t>
  </si>
  <si>
    <t>FP-MEC | CENTRO DE PINTURA AIR-LESS (M)</t>
  </si>
  <si>
    <t>FP-MEC | HANDLING DE SAÍDA (M)</t>
  </si>
  <si>
    <t>FI - ELE-MESA INSPEÇÃO PÓS SELADORA (1M)</t>
  </si>
  <si>
    <t>FI - INSPEÇÃO ELÉT.  PART. MAGNÉT. (6M)</t>
  </si>
  <si>
    <t>FI-PAINEL TORRE DE RESFRIAMIENTO F4 (1M)</t>
  </si>
  <si>
    <t>FP-MAN COND  INF NO BREAK 7M(3A)</t>
  </si>
  <si>
    <t>COPI-QUAL-SECE-IF03-AC1</t>
  </si>
  <si>
    <t>FP-MAN COND  RH ENF REPO FEM(3A)</t>
  </si>
  <si>
    <t>COPI-RHSG-SECE-IF04-AC1</t>
  </si>
  <si>
    <t>FP-MAN COND  RH TREINAMENTO(3A)</t>
  </si>
  <si>
    <t>COPI-RHSG-SECE-IF05-AC1</t>
  </si>
  <si>
    <t>COPI-RHSG-SECE-IF07-AC1</t>
  </si>
  <si>
    <t>FP-MEC | UM REFRIGERAÇÃO BARRAMENTO (M)</t>
  </si>
  <si>
    <t>LIB  CAPC NOLQ SCDM</t>
  </si>
  <si>
    <t>FIP - ELÉTRICA DA PLATAFORMA DE SAÍDA 1</t>
  </si>
  <si>
    <t>PLANO DE LUBRICICAÇÃO - R3 - (ROTA 02)</t>
  </si>
  <si>
    <t>PLANO DE LUBRICICAÇÃO - R3 - (ROTA 03)</t>
  </si>
  <si>
    <t>PLANO DE LUBRICICAÇÃO - R3 - (ROTA 04)</t>
  </si>
  <si>
    <t>FIP-MEC-CORTADOR DE CAVACO CORT. MOVEL</t>
  </si>
  <si>
    <t>FP-MAN COND SPLIT  INF SERVID 1(3A)</t>
  </si>
  <si>
    <t>FP-MAN COND  INF NO BREAK 12(3A)</t>
  </si>
  <si>
    <t>FP-MAN COND SPLIT F1 METALOG.(3A)</t>
  </si>
  <si>
    <t>FP-MAN COND SPLIT  LAB METALOGR.2(3A)</t>
  </si>
  <si>
    <t>FP-MAN COND SPLIT  LAB METRO.3(3A)</t>
  </si>
  <si>
    <t>FP-MAN COND SPLIT  LAB NDT 1(3A)</t>
  </si>
  <si>
    <t>FP-MAN COND SPLIT  LAB REST. 1 (3A)</t>
  </si>
  <si>
    <t>FP-MAN COND SPLIT  LAB SAL CQ 4(3A)</t>
  </si>
  <si>
    <t>FP-MAN COND SPLIT  LAB SAL CQ 3(3A)</t>
  </si>
  <si>
    <t>FP-MAN COND SPLIT  LAB METRO.2(3A)</t>
  </si>
  <si>
    <t>FP-MAN COND SPLIT  LAB SAL CQ 5(3A)</t>
  </si>
  <si>
    <t>FP-MAN COND SPLIT  LAB MEV(3A)</t>
  </si>
  <si>
    <t>FP-MAN COND SPLIT  LAB SAL CQ 1(3A)</t>
  </si>
  <si>
    <t>FP-MAN COND SPLIT  INF SERVID (3A)</t>
  </si>
  <si>
    <t>FP-MAN COND SPLIT  LAB METALOGR.3(3A)</t>
  </si>
  <si>
    <t>FP-MAN COND SPLIT  LAB QUIM. 2(3A)</t>
  </si>
  <si>
    <t>FP-MAN COND SPLIT  LAB QUIM. 1(3A)</t>
  </si>
  <si>
    <t>FP-MAN COND SPLIT  LAB REUN. (3A)</t>
  </si>
  <si>
    <t>FP-MAN COND SPLIT  LAB SAL CQ 2(3A)</t>
  </si>
  <si>
    <t>FP-MAN COND SPLIT  LAB NDT 2(3A)</t>
  </si>
  <si>
    <t>FP-MAN COND SPLIT  LAB SAL CQ 6(3A)</t>
  </si>
  <si>
    <t>FP-MAN COND SPLIT  LAB NDT 3(3A)</t>
  </si>
  <si>
    <t>FP-MAN COND SPLIT  LAB REST. 2 (3A)</t>
  </si>
  <si>
    <t>FP-MAN AR COND ENFERM RECEP(3A)</t>
  </si>
  <si>
    <t>FP-MAN COND  RH ENF FISITER (3A)</t>
  </si>
  <si>
    <t>FP-MAN COND  RH ENF REP MASC(3A)</t>
  </si>
  <si>
    <t>FP-MAN COND RH ENF SL EMERG(3A)</t>
  </si>
  <si>
    <t>FP-MAN EVAP  RH ENF CON MED1(3A)</t>
  </si>
  <si>
    <t>FP-MAN COND SPLIT  INF SL VIP(3A)</t>
  </si>
  <si>
    <t>FP-MAN COND  RH ENF C. MED1(3A)</t>
  </si>
  <si>
    <t>FP-MAN COND  RH ENF C. MED2(3A)</t>
  </si>
  <si>
    <t>FP-MAN COND  RH AR. MORTO 1(3A)</t>
  </si>
  <si>
    <t>FP-MAN COND PORTARIA 2- 2(3A)</t>
  </si>
  <si>
    <t>FP-MAN COND   RH RECRUTAM 3(3A)</t>
  </si>
  <si>
    <t>FP-MAN COND RH RECRUTAM 4(3A)</t>
  </si>
  <si>
    <t>COPI-TOTO-SERV-IF02-AC1</t>
  </si>
  <si>
    <t>FP-MEC | CENTRAL HIDRÁULICA (M)</t>
  </si>
  <si>
    <t>FP-MEC.DA LINHA DE RESFRIAMENTO(1M)</t>
  </si>
  <si>
    <t>FI - ELE INSP. DA MESA ALIMENTADORA (1M)</t>
  </si>
  <si>
    <t>FI-ELE-SAÍDA DA PRENSA O (1M)</t>
  </si>
  <si>
    <t>FI-MEC.PRENSA DE TUBOS (1M)</t>
  </si>
  <si>
    <t>COPI-MAUO-CEL2-PS01</t>
  </si>
  <si>
    <t>FI-MECANICA ULTRA SOM 1 (1M)</t>
  </si>
  <si>
    <t>FI - INSPEÇÃO MECÂNICA DO EG (1M)</t>
  </si>
  <si>
    <t>COPI-MAUO-CEL3</t>
  </si>
  <si>
    <t>FL - ROTA DE LUBRIFICAÇÃO CÉLULA 4 (1M)</t>
  </si>
  <si>
    <t>FI-ELÉTRICA LINHA RESFRIAMENTO (1M)</t>
  </si>
  <si>
    <t>FI-MANUTENÇÃO CHILLER 1</t>
  </si>
  <si>
    <t>FI-MANUTENÇÃO CHILLER 2</t>
  </si>
  <si>
    <t>FP-MAN COND SPLIT  INF SERVID 2(3A)</t>
  </si>
  <si>
    <t>FP-MAN COND  INF NO BREAK 30M(3A)</t>
  </si>
  <si>
    <t>FP-MANUT. AR  JAN. F1 SL COORD(9M)</t>
  </si>
  <si>
    <t>FP-MANUT.AR  JAN. F1 RELIANCE (9M)</t>
  </si>
  <si>
    <t>FP-MANUT.  AR  JAN. F1 TORNO 02 (9M)</t>
  </si>
  <si>
    <t>FP-MAN.  AR  JAN. F4 ESCRIT C1(9M)</t>
  </si>
  <si>
    <t>FP-MAN  AR  JAN. F4 ENT. CHAPA(9M)</t>
  </si>
  <si>
    <t>FP-MAN.  AR  JAN. F4 PO OPER.(9M)</t>
  </si>
  <si>
    <t>FP-MAN COND SPLIT SL.S INTE 1 (3A)</t>
  </si>
  <si>
    <t>FP-MANUT.  AR  JAN. F4 FLUOR. OP.(9M)</t>
  </si>
  <si>
    <t>FP-MAN COND SPLIT SL.S INTE 2 (3A)</t>
  </si>
  <si>
    <t>FP-MAN  AR  JAN. F4 MAN MECAN 1(9M)</t>
  </si>
  <si>
    <t>FP-MANT.  AR  JAN. F4 SL LAU. RX (9M)</t>
  </si>
  <si>
    <t>FP-MAN  AR  JAN. F4 MAN MECAN 2(9M)</t>
  </si>
  <si>
    <t>FP-MAN AR JAN.F4 CONT ARQ RDIO 1(9M)</t>
  </si>
  <si>
    <t>FP-MAN AR JAN. F4 CONT ARQ RADIO 2(9M)</t>
  </si>
  <si>
    <t>FP-MANUT.  AR  JAN. F4 SL ESC. RX (9M)</t>
  </si>
  <si>
    <t>FP-MANUT.  AR  JAN. F4 COR. PROV. (9M)</t>
  </si>
  <si>
    <t>FP-MANUT.  AR  JAN. F4 BUN. RX (9M)</t>
  </si>
  <si>
    <t>FP-MANUT.AR  JAN. F4 PR H 927 (9M)</t>
  </si>
  <si>
    <t>FP-MAN COND SPLIT OF F4 TH  (3A)</t>
  </si>
  <si>
    <t>FP-MAN COND SPLIT  RH ENF AUDIOM (3A)</t>
  </si>
  <si>
    <t>FP-MAN COND RH INFORMATICA(3A)</t>
  </si>
  <si>
    <t>FP-MAN COND   RH PORT 2 - 2 (3A)</t>
  </si>
  <si>
    <t>FP-MAN COND   RH SL CAMINH(3A)</t>
  </si>
  <si>
    <t>FP-MAN COND  RH AR. MORTO 2(3A)</t>
  </si>
  <si>
    <t>FP-MAN COND   RH PORT 2 - 1 (3A)</t>
  </si>
  <si>
    <t>FP-MAN COND   RH COOPERAT(3A)</t>
  </si>
  <si>
    <t>FP-MAN COND  RH RECRUTAM 1(3A)</t>
  </si>
  <si>
    <t>COPI-ROSC-SECE-IF02-AC1</t>
  </si>
  <si>
    <t>FP-MAN COND SPLIT  F6  FLUT(3A)</t>
  </si>
  <si>
    <t>FE-VALV.PRESS VASO PRE 1-REV4 (1M)</t>
  </si>
  <si>
    <t>FP-MAN COND   TT ELÉTRICA 2(3A)</t>
  </si>
  <si>
    <t>FP-MAN COND   TT SERVIDOR(3A)</t>
  </si>
  <si>
    <t>FP-MAN COND TT ELÉTRICA 1(3A)</t>
  </si>
  <si>
    <t>FP-MAN COND TT CONTROLE(3A)</t>
  </si>
  <si>
    <t>COAT-RES1-CEL3-PN01-AI1</t>
  </si>
  <si>
    <t>OGE</t>
  </si>
  <si>
    <t>FP-MEC | ROLO PRESSOR (M)</t>
  </si>
  <si>
    <t>COAT-RES1-CEL3-RP01</t>
  </si>
  <si>
    <t>FIP - ELÉTRICA PLATAFORMA DE SAIDA 2</t>
  </si>
  <si>
    <t>FP-MEC | HANDLING ENTRADA (M)</t>
  </si>
  <si>
    <t>COIN-REVS-REV3-ENTR-P01</t>
  </si>
  <si>
    <t>FP-ELE | JATO 1 (M)</t>
  </si>
  <si>
    <t>COIN-REVS-REV3-PROC-JA1</t>
  </si>
  <si>
    <t>FP-MEC | JATO EXTERNO REV 3 (M)</t>
  </si>
  <si>
    <t>COIN-REVS-REV3-PROC-JA2</t>
  </si>
  <si>
    <t>FP-ELE | JATO 2 (M)</t>
  </si>
  <si>
    <t>FP-MEC | CENTRO DE PINT.INT AIR-LESS (M)</t>
  </si>
  <si>
    <t>COIN-REVS-REV3-PROC-PI1</t>
  </si>
  <si>
    <t>COIN-REVS-REV3-PROC-PI2</t>
  </si>
  <si>
    <t>FI- INSPEÇÃO MECANICA ESTEIRA CHAPA (1M)</t>
  </si>
  <si>
    <t>XIM</t>
  </si>
  <si>
    <t>FL- PLANO DE LUBRIFICAÇÃO CONECTORES</t>
  </si>
  <si>
    <t>COPI-SCON</t>
  </si>
  <si>
    <t>FP-MEC-HANDLING DE ENTRADA (1M)</t>
  </si>
  <si>
    <t>COPI-SEIN-AGID-CX01-AI1</t>
  </si>
  <si>
    <t>FI-INSPEÇÃO  INFRA CTT (1M)</t>
  </si>
  <si>
    <t>FP-MANU FILTROS S/E 4/6 (1M)</t>
  </si>
  <si>
    <t>FP-MAN COND SPLIT SL.S INTE 3 (3A)</t>
  </si>
  <si>
    <t>FP-MAN.  AR  JAN. SAL.ELETR SE 1(9M)</t>
  </si>
  <si>
    <t>FP-MANUT.  AR  JAN. F4  CH. CELU(9M)</t>
  </si>
  <si>
    <t>FP-MANUT.  AR  JAN. SAL.ELETR SE 2(9M)</t>
  </si>
  <si>
    <t>FP-MAN COND  RH ENFER ARQ (3A)</t>
  </si>
  <si>
    <t>FP-MAN COND   RH ENF CURATIVO(3A)</t>
  </si>
  <si>
    <t>COPI-RHSG-SECE-IF06-AC1</t>
  </si>
  <si>
    <t>FP-MAN COND SPLIT  PORTARIA 1 (3A)</t>
  </si>
  <si>
    <t>FP-MAN COND RH RECRUTAM 2(3A)</t>
  </si>
  <si>
    <t>FP-MEC | FORNO A GÁS 1 (M)</t>
  </si>
  <si>
    <t>FP-MEC | FORNO A GÁS 2 (M)</t>
  </si>
  <si>
    <t>FP-MEC | HANDLING SAÍDA (M)</t>
  </si>
  <si>
    <t>FP-MEC | HANDLING SAÍDA JT 02 (M)</t>
  </si>
  <si>
    <t>FP-MEC | SIST LIMPEZA E ACOPLAMENTO (M)</t>
  </si>
  <si>
    <t>FP-MEC | EXTRUSORA ADESIVO ADH (M)</t>
  </si>
  <si>
    <t>FP-MEC | EXTRUSORA PHT (M)</t>
  </si>
  <si>
    <t>FP-MEC | FORNO DE INDUÇÃO 1 (M)</t>
  </si>
  <si>
    <t>FP-MEC | FORNO DE INDUÇÃO 2 (M)</t>
  </si>
  <si>
    <t>FP-MEC | ESCOVA DE COLARINHO (M)</t>
  </si>
  <si>
    <t>FP-MEC | HANDLING HOLIDAY (M)</t>
  </si>
  <si>
    <t>FP-MEC | HOLIDAY (M)</t>
  </si>
  <si>
    <t>FP-MEC | HANDLING TESTE ADERÊNCIA (M)</t>
  </si>
  <si>
    <t>FP-MEC | MESA DE INSPEÇÃO 3 (M)</t>
  </si>
  <si>
    <t>FP-MEC | JATO DE GRANALHA INTERNO (M)</t>
  </si>
  <si>
    <t>Conector</t>
  </si>
  <si>
    <t>FI-ELETRICA(1M).</t>
  </si>
  <si>
    <t>FI-MECÂNICA LT CRM 01 (3M)</t>
  </si>
  <si>
    <t>FP-MANUT.  FILT F4  ESC.(1M)</t>
  </si>
  <si>
    <t>Encerradas NEXE - SEIN / ELCE</t>
  </si>
  <si>
    <t>COPI-QPRO-RETU-HE01</t>
  </si>
  <si>
    <t>FP-HANDLING DE ENTR. JATO EXT (M)</t>
  </si>
  <si>
    <t>COIN-REVS-REV3-ENTR-L01</t>
  </si>
  <si>
    <t>FP-ELE - Motor carro jato interno (M)</t>
  </si>
  <si>
    <t>COIN-REVS-REV3-PROC-CA1</t>
  </si>
  <si>
    <t>FP-ELE - Motor Cabine Movél Jato Int. (M</t>
  </si>
  <si>
    <t>COIN-REVS-REV3-PROC-CM1</t>
  </si>
  <si>
    <t>FP-ELE |PLATAFORMA DE INSTEÇÃO (M)</t>
  </si>
  <si>
    <t>FP-ELE | CENTRAL ELÉTRICA DO JATO 1 (M)</t>
  </si>
  <si>
    <t>COIN-REVS-REV3-PROC-MC1</t>
  </si>
  <si>
    <t>ENTE CONF CAPC CAPF NOLQ SCDM</t>
  </si>
  <si>
    <t>FP-MEC HANDLING RX (1M)</t>
  </si>
  <si>
    <t>FI-MECÂNICA DA ESTEIRA DE APARAS 1 (1M)</t>
  </si>
  <si>
    <t>FIP-MEC-SISTEMA DE ENCODER  CORT.MOVEL</t>
  </si>
  <si>
    <t>FIP - MECANICA EVS 1 (MENSAL)</t>
  </si>
  <si>
    <t>FS-INSP ELE PONTES CLASSE A (MENSAL)</t>
  </si>
  <si>
    <t>COPI-MAER-CEL1-SC01-AR1</t>
  </si>
  <si>
    <t>FI-PRENSA HIMECA (1M)</t>
  </si>
  <si>
    <t>FI-ELETRONICA - USIP.40 US. 02 (7D)</t>
  </si>
  <si>
    <t>Bdg 15/16</t>
  </si>
  <si>
    <t xml:space="preserve">Acum.  16/17 </t>
  </si>
  <si>
    <t xml:space="preserve">Meta  16/17 </t>
  </si>
  <si>
    <t>Real  16/17</t>
  </si>
  <si>
    <t>Meta  16/17</t>
  </si>
  <si>
    <t>Índice de Execução de Preventivas - Real 16/17 e Meta 16/17</t>
  </si>
  <si>
    <t>Índice Execução Preventivas - Total CORJ</t>
  </si>
  <si>
    <t>Encerradas NEXE - CORJ - CF2</t>
  </si>
  <si>
    <t>CF2</t>
  </si>
  <si>
    <t>CFCOPD01</t>
  </si>
  <si>
    <t>FI-INSPEÇÃO HIDRÁULICA MENSAL (1M)</t>
  </si>
  <si>
    <t>CORJ-CPED-LAER-MA01</t>
  </si>
  <si>
    <t>CFCOPD03</t>
  </si>
  <si>
    <t>FI - INSP. SUBSTAÇÃO PRONCIPAL (1M)</t>
  </si>
  <si>
    <t>CORJ-CPED-SECE-IF01</t>
  </si>
  <si>
    <t>FI - Inspeção Painel MT Schneider (1M)</t>
  </si>
  <si>
    <t>CORJ-CPED-SECE-SB01</t>
  </si>
  <si>
    <t>FI - INSPEÇÃO POWER CENTER (1M)</t>
  </si>
  <si>
    <t>CORJ-CPED-SECE-SB02-PC1</t>
  </si>
  <si>
    <t>FI - INSPEÇÃO PAINEL MT ABB (1M)</t>
  </si>
  <si>
    <t>CORJ-CPED-SECE-SB02-PD1</t>
  </si>
  <si>
    <t>FI - INSPEÇÃO TRANSFORAMADOR MT ABB (1M)</t>
  </si>
  <si>
    <t>CORJ-CPED-SECE-SB02-TR1</t>
  </si>
  <si>
    <t>CFCOPD02</t>
  </si>
  <si>
    <t>FI-MEC. PONTE ROLANTE GH 20 t (1M)</t>
  </si>
  <si>
    <t>CORJ-CPED-TRAN-PR01</t>
  </si>
  <si>
    <t>FI-MEC. PONTE ROLANTE GH 16 t (1M)</t>
  </si>
  <si>
    <t>CORJ-CPED-TRAN-PR02</t>
  </si>
  <si>
    <t>FP-PREVENTIVA MECÂNICA MENSAL (1M)</t>
  </si>
  <si>
    <t>FP-PREVENTIVA ELÉTRICA MENSAL (1M)</t>
  </si>
  <si>
    <t>FE-GUINDASTE GIRATORIO STAHL 5T (1M)</t>
  </si>
  <si>
    <t>CORJ-CPED-LAER-MB01-GU1</t>
  </si>
  <si>
    <t>FE-GUINDASTE GIRATÓRIO STAHL 3,5T (1M)</t>
  </si>
  <si>
    <t>CORJ-CPED-LASO-SC02-GU1</t>
  </si>
  <si>
    <t>FP - MANUT. PREV. ELEVADOR PESSOAL (1M)</t>
  </si>
  <si>
    <t>CORJ-CPED-SECE-EL01</t>
  </si>
  <si>
    <t>FE-PONTE ROLANTE GH 20 t (1M)</t>
  </si>
  <si>
    <t>FE - PONTE ROLANTE GH 16 t (1M)</t>
  </si>
  <si>
    <t>ENTE CONF CAPC ERRD NOLQ SCDM</t>
  </si>
  <si>
    <t>FE - INSP. SEGURANÇA - SIST. CABINE CO2</t>
  </si>
  <si>
    <t>FI-ELETRICA (1M).</t>
  </si>
  <si>
    <t>ENCE CAPC NEXE NOLQ SCDM</t>
  </si>
  <si>
    <t>FI-MÁQUINA DE TRAÇÃO MFL-SYST. (1M)</t>
  </si>
  <si>
    <t>FIP - INSP MEC. AQUEC ÁGUA CALDEIRA (1M)</t>
  </si>
  <si>
    <t>COPI-SEIN-CALD-AQ01</t>
  </si>
  <si>
    <t>FE-VALV.PRESS VASO PRE.3 REV4(1M)</t>
  </si>
  <si>
    <t>FP-MECÂNICA DO US 02 (1M)</t>
  </si>
  <si>
    <t>Total Ots PM01 / PM02 x Encerradas "Não Executar" (NEXE) - Bdg 16/17</t>
  </si>
  <si>
    <t xml:space="preserve"> Jul 16</t>
  </si>
  <si>
    <t>CORJ</t>
  </si>
  <si>
    <t>FIP - MECÂNICA DA LT INTERMEDIÁRIA</t>
  </si>
  <si>
    <t>FP - MEC | JATO INTERNO (M)</t>
  </si>
  <si>
    <t>FP-MECÂNICA ULTRA SOM 1  (1M).</t>
  </si>
  <si>
    <t>FL - ROTA DE LUBRIFICAÇÃO CÉLULA 5 (1M)</t>
  </si>
  <si>
    <t>FI-BOMBA 3 (4M)</t>
  </si>
  <si>
    <t>FI-BOMBA 2 (4M)</t>
  </si>
  <si>
    <t>FI-BOMBA 1 (4M)</t>
  </si>
  <si>
    <t>COPI-TOTO-SERV-AR01-SR1</t>
  </si>
  <si>
    <t>Fab 04</t>
  </si>
  <si>
    <t>Fab 01</t>
  </si>
  <si>
    <t>Corj</t>
  </si>
  <si>
    <t xml:space="preserve"> Ago 16</t>
  </si>
  <si>
    <t>CORJ-CPED-LAER-MB01</t>
  </si>
  <si>
    <t>PLANO DE LUBRICICAÇÃO - R3 - (ROTA 01)</t>
  </si>
  <si>
    <t>FL - LUBRIFICAÇÃO TESTE HIDROST. (1M)</t>
  </si>
  <si>
    <t>FI-MEC | INSPEÇÃO BOMBAS 7B, 08 E 07 (M)</t>
  </si>
  <si>
    <t>FI - ELE ULTRA SOM 01 (SEMANAL)</t>
  </si>
  <si>
    <t>FE-SISTEMA INCÊNDIO CABINE CO2 (1M)</t>
  </si>
  <si>
    <t xml:space="preserve"> Set 16</t>
  </si>
  <si>
    <t>FP-MEC.ULTRA-SOM I (1M)</t>
  </si>
  <si>
    <t>FP - PREV.  ELÉTRICA  EXPANSOR SMS (1M)</t>
  </si>
  <si>
    <t>ENTE CAPC ERRD NOLQ SCDM</t>
  </si>
  <si>
    <t>COPI-MAER-CEL2-HE06</t>
  </si>
  <si>
    <t>ENTE IMPR CAPC DNAT NOLQ SCDM</t>
  </si>
  <si>
    <t>COIN-USCA-PROC-PR01</t>
  </si>
  <si>
    <t>FS-INSP MEC PONTES CLASSE B (BIMESTRAL)</t>
  </si>
  <si>
    <t>FI - ELE PONTES GH FAB.CON (M)</t>
  </si>
  <si>
    <t>FS-INSP ELE PONTES CLASSE B (BIMESTRAL</t>
  </si>
  <si>
    <t>FS-INSP MEC PONTES CLASSE C (TRIMESTRAL)</t>
  </si>
  <si>
    <t>FS-INSP MEC PONTES CLASSE C (QUADRIMEST)</t>
  </si>
  <si>
    <t>FS-PREV ELE PONTES CLASSE C (QUADRIMEST)</t>
  </si>
  <si>
    <t>FS-PREV ELE PONTES CLASSE C (SEMESTRAL)</t>
  </si>
  <si>
    <t>FS-INSP MEC PONTES ANSELMI 40T (MENSAL)</t>
  </si>
  <si>
    <t>FS-INSP ELE PONTES CLASSE B (4M)</t>
  </si>
  <si>
    <t>COPI-MAHE-TRAN-PR03</t>
  </si>
  <si>
    <t>COPI-REVS-REV4-TRAN-PR1</t>
  </si>
  <si>
    <t>FS-PREV ELE PONTES CLASSE B (ANUAL)</t>
  </si>
  <si>
    <t>FS-PREV MEC PONTES CLASSE B (ANUAL)</t>
  </si>
  <si>
    <t>LIB  CAPC CAPF NOLQ SCDM</t>
  </si>
  <si>
    <t>FS-PREV ELE PONTES CLASSE B (2M)</t>
  </si>
  <si>
    <t>FP-MEC.PTE ROL GH CONECTORES(MENSAL)</t>
  </si>
  <si>
    <t>FS-PREV ELE PONTES CLASSE C (ANUAL)</t>
  </si>
  <si>
    <t>FS-PREV MEC PONTES CLASSE C (SEMESTRAL)</t>
  </si>
  <si>
    <t>FS-PREV MEC PONTES CLASSE B (QUADRIMEST)</t>
  </si>
  <si>
    <t>FS-PREV ELE PONTES CLASSE B (QUADRIMEST)</t>
  </si>
  <si>
    <t>COPI-INFO-CEIN-SI01-GE1</t>
  </si>
  <si>
    <t>FI - ELE | EXTRUSORA ADH (M)</t>
  </si>
  <si>
    <t>FI - ELE | EXTRUSORA PHT (M)</t>
  </si>
  <si>
    <t xml:space="preserve"> Out 16</t>
  </si>
  <si>
    <t>FI - INSP. MEC. CHILLER METALPLAN (1M)</t>
  </si>
  <si>
    <t>CORJ-CPED-LAPE-MT01</t>
  </si>
  <si>
    <t>FI - INSP. MEC. COMPRESSOR DE AR (1M)</t>
  </si>
  <si>
    <t>CORJ-CPED-SECE-CO01</t>
  </si>
  <si>
    <t>FI - INSP. LIMPEZA DA SUBSTAÇÃO (1M)</t>
  </si>
  <si>
    <t>FP - PREV. SISTEMA AR COND. CENTRAL (1M)</t>
  </si>
  <si>
    <t>CORJ-CPED-SECE-AC01</t>
  </si>
  <si>
    <t>FE - PLANO ESPOLETA SIST. COMB INCÊNDIO</t>
  </si>
  <si>
    <t>CORJ-CPED-SECE-RA01-SC1</t>
  </si>
  <si>
    <t>FP- PREV. MEC. EMPILHADEIRA CLARK (1M)</t>
  </si>
  <si>
    <t>CORJ-CPED-VEIC-EM01</t>
  </si>
  <si>
    <t>OIN</t>
  </si>
  <si>
    <t>FMP-BALÃO PANGBORN - JATO INT (SEMANAL)</t>
  </si>
  <si>
    <t>FS-PREV ELE PONTES CLASSE C (OCTOMEST)</t>
  </si>
  <si>
    <t>FS-PREV MEC PONTES CLASSE C (OCTOMESTRAL</t>
  </si>
  <si>
    <t>COPI-MAER-SERV-IF02-BE1</t>
  </si>
  <si>
    <t>COPI-REVS-SECE-IF02-BE1</t>
  </si>
  <si>
    <t>FP-MEC | CARRO PORTA-TUBOS (M)</t>
  </si>
  <si>
    <t>FP-MEC | HANDLING DE RESFRIAMENTO (M)</t>
  </si>
  <si>
    <t>FP-MEC | SECADORA DE POLIETILENO (M)</t>
  </si>
  <si>
    <t xml:space="preserve"> Nov 16</t>
  </si>
  <si>
    <t>NDT</t>
  </si>
  <si>
    <t>FI-INSPEÇÃO ELET. FRESADORA (1)</t>
  </si>
  <si>
    <t>FI- ELE INSPEÇÃO LAVADOR  INT/EXT (1M)</t>
  </si>
  <si>
    <t>FI - ELE- MESA UO (NOVA) (1M)</t>
  </si>
  <si>
    <t>FI-ELE-PRENSA O (1M)</t>
  </si>
  <si>
    <t>FI-ELE-PRENSA U (NOVA) (1M)</t>
  </si>
  <si>
    <t>FI-ELÉTRICA DA PLAT. 05 INSP. EXT.(1M)</t>
  </si>
  <si>
    <t>FI-INSP.ELE CORTE DE CORPO DE PROVA(1M)</t>
  </si>
  <si>
    <t>FI-INSP.ELE ÁREA ESPERA/PULMÃO RX (1M)</t>
  </si>
  <si>
    <t>LIB  CAPC ERRD NOLQ SCDM</t>
  </si>
  <si>
    <t>FI - INSPEÇÃO ELÉTRICA DO RAIO X (1M)</t>
  </si>
  <si>
    <t>FI-INSP. ELE U.S. EXTR./HAND. ENT. (1M)</t>
  </si>
  <si>
    <t>ABER IMPR CAPC DMNV SCDM</t>
  </si>
  <si>
    <t>ABER IMPR CAPC DMNV ERRD SCDM</t>
  </si>
  <si>
    <t>FI-ELETRICA CORTADOR DE CAVACO (1M)</t>
  </si>
  <si>
    <t>FI - ELE - PONTEAMENTO MANUAL 01 (2S)</t>
  </si>
  <si>
    <t>COPI-SCON-SOLD-PM01</t>
  </si>
  <si>
    <t>FI - ELE - PONTEAMENTO MANUAL 02 (2S)</t>
  </si>
  <si>
    <t>COPI-SCON-SOLD-PM02</t>
  </si>
  <si>
    <t>FI - ELE - SOLDA PONTA 1 (2S)</t>
  </si>
  <si>
    <t>FI - ELE -SOLDA PONTA 2 (2S)</t>
  </si>
  <si>
    <t>CFETGM02</t>
  </si>
  <si>
    <t>COPI-SEIN-AGID-ET02-DP1</t>
  </si>
  <si>
    <t>ENTE IMPR CAPC ERRD NOLQ SCDM</t>
  </si>
  <si>
    <t>FS-AFERIÇÃO DE MANOMETROS (1A)</t>
  </si>
  <si>
    <t>COPI-SEIN-INFR-PR05-SE1</t>
  </si>
  <si>
    <t>COAT-RES1-CEL1-JA01</t>
  </si>
  <si>
    <t>FP-MEC | HANDLING DE REJEITO (M)</t>
  </si>
  <si>
    <t>COAT-RES1-CEL2-JA02</t>
  </si>
  <si>
    <t>FP-ELE | SECADORA DE POLIETILENO (M)</t>
  </si>
  <si>
    <t>FP- ELE HAND ENT/CD1/PM/FOSF (2M)</t>
  </si>
  <si>
    <t>COPI-ROSC-TUBO-HE01</t>
  </si>
  <si>
    <t xml:space="preserve"> Dez 16</t>
  </si>
  <si>
    <t>FI - INSP MEC PLATAF ENTR 4 PROC (M)</t>
  </si>
  <si>
    <t>ENCE CAPC ERRD NEXE SCDM</t>
  </si>
  <si>
    <t>COIN-REVS-REV4-ENTR-L01</t>
  </si>
  <si>
    <t>FP-MEC.SAÍDA PRENSA O (1M)</t>
  </si>
  <si>
    <t>FP-ELÉTRICA DA MSEA  (2M).</t>
  </si>
  <si>
    <t>FP-ELÉTRICA NA SOLDA EXT B (2M).</t>
  </si>
  <si>
    <t>ENTE IMPR CAPC CAPF NOLQ SCDM</t>
  </si>
  <si>
    <t>FI-MECÂNICA DO VIRADOR DE BOBINAS (45 D)</t>
  </si>
  <si>
    <t>COPI-MAER-CEL1-VB01</t>
  </si>
  <si>
    <t>FI-MEC DO FOSFAT. CONECTORES (MENSAL)</t>
  </si>
  <si>
    <t>FP-ELÉTRICA DA CRIDAN I (2M)</t>
  </si>
  <si>
    <t>COPI-ROSC-TUBO-CD01</t>
  </si>
  <si>
    <t>FP-  ELE HAND PT-20 (2M)</t>
  </si>
  <si>
    <t>COPI-ROSC-TUBO-HE12</t>
  </si>
  <si>
    <t>FP-ELÉTRICA DA PT20 (2M)</t>
  </si>
  <si>
    <t>COPI-ROSC-TUBO-PT20</t>
  </si>
  <si>
    <t>FP-ELÉTRICA DA WTF (2M)</t>
  </si>
  <si>
    <t>COPI-ROSC-TUBO-TQ01</t>
  </si>
  <si>
    <t>FS-PREV MEC PONTES CLASSE C (ANUAL)</t>
  </si>
  <si>
    <t>FS-PREV ELE PONTES CLASSE A (TRIMESTRAL)</t>
  </si>
  <si>
    <t>FS-PREV MEC PONTES CLASSE A (TRIMESTRAL)</t>
  </si>
  <si>
    <t>FS-PREV LUB PONTES CLASSE A (TRIMESTRAL)</t>
  </si>
  <si>
    <t>COPI-MAER-SERV-AR01-SR1</t>
  </si>
  <si>
    <t>CFELEC02</t>
  </si>
  <si>
    <t>COPI-MAHE-SECE-AR01-SR1</t>
  </si>
  <si>
    <t>FI-MOTOR BOMBA 1 (2M)</t>
  </si>
  <si>
    <t>FI-MOTOR BOMBA 3 (2M)</t>
  </si>
  <si>
    <t>FI-MOTOR BOMBA 2 (2M)</t>
  </si>
  <si>
    <t>FI-MOTOR VEN T 1 (2M)</t>
  </si>
  <si>
    <t>FI-MOTOR VEN T3 (2M)</t>
  </si>
  <si>
    <t>COPI-SEIN-ARCO-SC01-TA1</t>
  </si>
  <si>
    <t>FI-MOTOR VEN T4 (2M)</t>
  </si>
  <si>
    <t>FI-MOTOR VEN T2 (2M)</t>
  </si>
  <si>
    <t>COPI-MACE-SECE-IF01-BE1</t>
  </si>
  <si>
    <t>COPI-MAER-SERV-IF03-BE1</t>
  </si>
  <si>
    <t>COPI-MAHE-SECE-IF02-BE1</t>
  </si>
  <si>
    <t>COPI-REVS-SECE-IF02-SE1</t>
  </si>
  <si>
    <t>COPI-SEIN-CALD-CA02-SS2</t>
  </si>
  <si>
    <t>ENTE CAPC DNAT NOLQ SCDM</t>
  </si>
  <si>
    <t xml:space="preserve"> Jan 17</t>
  </si>
  <si>
    <t xml:space="preserve">Rev Ext. </t>
  </si>
  <si>
    <t xml:space="preserve">R &amp; D </t>
  </si>
  <si>
    <t>Preventivas sendo executadas com o 2 recursos do Grupo de RP em 1 semana da (01 a 06/08), Luiz Salgado e Ricardo Neves. Essa mão de obra não foi suficiente para garantir a execução das prevenivas mensais. Tivemos que reforçar o time com o GMB, deixando algumas inspeções sem execução.</t>
  </si>
  <si>
    <t>As fichas de inspeção elétrica da Formação não foram executadas por o recurdo estava no 3ºT, assim como as fichas de inspeção das Soldas Interas e Externas. O mês foi curto devido à ponte entre Natal e Ano Novo. As preventivas abertas não foram acertadas a tempo da geração do relatório, penalizando o indicador. Fichas anuais, semestrais estavam com a programação no mês, não foram reprogramadas e impactando também no indicador.</t>
  </si>
  <si>
    <t>HH do plano superior em 50% À M.O. disponivel. Pessoal trabalhando em manutenção preventiva PM11</t>
  </si>
  <si>
    <t>Revissão do plano</t>
  </si>
  <si>
    <t>HH do plano superior em 50% À M.O. disponivel. Funcionario de Férias Pessoal trabalhando em manutenção preventiva PM11</t>
  </si>
  <si>
    <t>HH do plano superior em 75% À M.O. disponivel. Funcionario de Férias. Pessoal trabalhando em manutenção preventiva PM11</t>
  </si>
  <si>
    <t>Revissão do plano. Reorganização da equipe de trabalho.</t>
  </si>
  <si>
    <t>ENTE CONF IMPR CAPC MOME NOLQ SCDM</t>
  </si>
  <si>
    <t>FP-PREVENTIVA ELÉTRICA SEMESTRAL (6M)</t>
  </si>
  <si>
    <t>FE-MÁQUINA FADIGA RESSONANTE (3M)</t>
  </si>
  <si>
    <t>CORJ-CPED-LAER-MA02</t>
  </si>
  <si>
    <t>FP- PREVENTIVA MEC. MAKE &amp; BREAK (1A)</t>
  </si>
  <si>
    <t>FE-MÁQUINA DE TRAÇÃO MTS (3M)</t>
  </si>
  <si>
    <t>FE-POLITRIZ SEMI AUTOMÁTIZADO PRESI (3M)</t>
  </si>
  <si>
    <t>CORJ-CPED-LAPE-PO01</t>
  </si>
  <si>
    <t>FE-ESTAÇÃO SOLDAGEM MULTI PROCESSO (3M)</t>
  </si>
  <si>
    <t>CORJ-CPED-LASO-ES03</t>
  </si>
  <si>
    <t>FE-ESTAÇÃO DE SOLDAGEM AUTO (ROBÔ) (3M)</t>
  </si>
  <si>
    <t>CORJ-CPED-LASO-ES05</t>
  </si>
  <si>
    <t>FP-MEC. PONTE ROLANTE GH 20 t (3M)</t>
  </si>
  <si>
    <t>FP-MEC.PONTE ROLANTE GH 20 t (6M)</t>
  </si>
  <si>
    <t>FP-ELE. PONTE ROLANTE GH 20 t (6M)</t>
  </si>
  <si>
    <t>FP- PREVENTIVA MEC CARRETA DE TUBOS (3M)</t>
  </si>
  <si>
    <t>CORJ-CPED-VEIC-CR01</t>
  </si>
  <si>
    <t>FIP -MECÂNICA CARRO JATO INT (SEMESTRAL)</t>
  </si>
  <si>
    <t>FIP - ELÉTRICA DO JATO INT (SEMESTRAL)</t>
  </si>
  <si>
    <t>FIP - ELÉTRICA PINTURA EXT (SEMESTRAL)</t>
  </si>
  <si>
    <t>COIN-REVS-REV3-PROC-CA2</t>
  </si>
  <si>
    <t>FIP - MECÂNICA PINTURA EXT (SEMESTRAL)</t>
  </si>
  <si>
    <t>FIP - ELÉTRICA MCC REVEST 3 (SEMESTRAL)</t>
  </si>
  <si>
    <t>FIP - ELÉTRICA PAINEL REV 3 (SEMESTRAL)</t>
  </si>
  <si>
    <t>COIN-REVS-REV3-PROC-PC1</t>
  </si>
  <si>
    <t>FIP - ELÉTRICA SECADOR TUBOS (SEMESTRAL)</t>
  </si>
  <si>
    <t>COIN-REVS-REV3-PROC-SE1</t>
  </si>
  <si>
    <t>FIP - ELÉTRICA CABINE COLETORA (SEMEST)</t>
  </si>
  <si>
    <t>COIN-REVS-REV4-PROC-CB1</t>
  </si>
  <si>
    <t>FIP -ELÉT COLETOR PÓ PÓS JATO(MENS)</t>
  </si>
  <si>
    <t>FIP - MEC EXTRUSORA ADESIVO (TRIMEST)</t>
  </si>
  <si>
    <t>FIP - ELÉTRICA EXAUSTOR CROMATO (SEMEST)</t>
  </si>
  <si>
    <t>COIN-REVS-REV4-PROC-EX1</t>
  </si>
  <si>
    <t>FIP - MEC FORNO AQUEC.CONFAB (SEMEST)</t>
  </si>
  <si>
    <t>FIP - MEC FORNO COMBUSTOL (SEMEST)</t>
  </si>
  <si>
    <t>FIP - ELÉTRICA DO  JATO II (MENSAL)</t>
  </si>
  <si>
    <t>FIP - MECÂNICA DA PLAT. INSP. APÓS JATO</t>
  </si>
  <si>
    <t>FIP - MECÂNICA DA PRENSA HIDRÁULICA</t>
  </si>
  <si>
    <t>COIN-REVS-REV4-PROC-PH1</t>
  </si>
  <si>
    <t>FIP - ELÉTRICA DA PRENSA HIDRÁULICA</t>
  </si>
  <si>
    <t>FIP - MECÂNICA DO CORTE/ SOLDA DE CORDA</t>
  </si>
  <si>
    <t>COIN-REVS-REV4-PROC-SC1</t>
  </si>
  <si>
    <t>FIP - ELÉTRICA DO CORTE/SOLDA DE CORDAS</t>
  </si>
  <si>
    <t>FIP - ELÉTRICA DO SIST. DE RESFRIAMENTO</t>
  </si>
  <si>
    <t>FIP - MECÂNICA DA PLATAFORMA DE SAÍDA 1</t>
  </si>
  <si>
    <t>FI - ELE-MESA ENT 4° PROC (6M)</t>
  </si>
  <si>
    <t>FMP - ELÉTRICA DA LT ENTRADA DO JATO</t>
  </si>
  <si>
    <t>FMP - ELÉTRICA BASE MOTORIZ (SEMESTRAL)</t>
  </si>
  <si>
    <t>COIN-REVS-REV4-PROC-BA1</t>
  </si>
  <si>
    <t>FMP - ELÉTRICA EXTRUSORA MEC (MENSAL)</t>
  </si>
  <si>
    <t>FMP - ELÉT EXTRUSORA MEC (SEMEST)</t>
  </si>
  <si>
    <t>FMP - ELÉTRICA DO  JATO I (MENSAL)</t>
  </si>
  <si>
    <t>FMP - ELETRICA DO JATO II (MENSAL)</t>
  </si>
  <si>
    <t>FMP - MECÂNICA DO JATO II (TRIMESTRAL)</t>
  </si>
  <si>
    <t>FMP - MECÂNICA SISTEMA RESFRIAMENTO</t>
  </si>
  <si>
    <t>FIP - MECÂNICA DA MESA UO (SEMESTRAL)</t>
  </si>
  <si>
    <t>COIN-MAUO-CEL1-ENTR-MA3</t>
  </si>
  <si>
    <t>FI - MEC INSPEÇÃO NOVA PRENSA U  (1M).</t>
  </si>
  <si>
    <t>FI-ELE-ESTUFA RESSECAGEM FLUXO 05 (2M)</t>
  </si>
  <si>
    <t>FI-ELE-ESTUFA RESSECAGEM FLUXO 04 (2M)</t>
  </si>
  <si>
    <t>FI-ELE-ESTUFA  RESSECAGEM  FLUXO 01 (2M)</t>
  </si>
  <si>
    <t>FI-ELE-ESTUFA RESSECAGEM FLUXO 03 (2M)</t>
  </si>
  <si>
    <t>FI-ELE-ESTUFA RESSECAGEM FLUXO 02 (2M)</t>
  </si>
  <si>
    <t>FI-ELE-ESTUFA RESSECAGEM FLUXO 06 (2M)</t>
  </si>
  <si>
    <t>FI-ELÉTRICA DA MAQ. SOLDA EXT A (1M).</t>
  </si>
  <si>
    <t>FI-ELÉTRICA DA SOLDA EXTERNA B (1M).</t>
  </si>
  <si>
    <t>FI-ELÉTRICA DA SOLDA EXTERNA C (1M).</t>
  </si>
  <si>
    <t>FP-ELÉTRICA FRESADORA (3M)</t>
  </si>
  <si>
    <t>ENTE CONF IMPR CAPC CAPF MOME MatC NOLQ</t>
  </si>
  <si>
    <t>FP-ELE-HANDLING DA ESTEIRA DE CHAPAS(1M)</t>
  </si>
  <si>
    <t>LIB  IMPR CAPC CAPF NOLQ SCDM</t>
  </si>
  <si>
    <t>FP-MEC.PREVENTIVA ESTEIRA CHAPAS(1M)</t>
  </si>
  <si>
    <t>FP-MEC.PREVENTIVA HANDLING SAÍDA (1M)</t>
  </si>
  <si>
    <t>FP-ELE-HANDLING ESTEIRA DE TUBOS (1M)</t>
  </si>
  <si>
    <t>FP-ELE- MESA UO (NOVA) (1M)</t>
  </si>
  <si>
    <t>FP-MEC.DA PRENSA DE BORDAS (6M)</t>
  </si>
  <si>
    <t>FP-ELETRICA DA SELADORA (1M)</t>
  </si>
  <si>
    <t>FE - ELE - QUEIMADORES (6M)</t>
  </si>
  <si>
    <t>COPI-MAUO-CEL1-ST01</t>
  </si>
  <si>
    <t>FP - ELE  - PREVENTIVA DOS QUEIMADORES (</t>
  </si>
  <si>
    <t>COPI-MAUO-CEL1-ST01-SC1</t>
  </si>
  <si>
    <t>FP - ELE -PREVENTIVA DOS QUEIMADORES (3M</t>
  </si>
  <si>
    <t>COPI-MAUO-CEL1-ST01-SC2</t>
  </si>
  <si>
    <t>COPI-MAUO-CEL1-ST01-SC3</t>
  </si>
  <si>
    <t>FP-ELÉTRICA NAS SOLDAS EXT C (2M)</t>
  </si>
  <si>
    <t>FP-ELÉTRICA DA MSED  (2M)</t>
  </si>
  <si>
    <t>FP-ACUMULADOR DE PRESSÃO MSIA (6M)</t>
  </si>
  <si>
    <t>FP-ACUMULADOR DE PRESSÃO MSIB (6M)</t>
  </si>
  <si>
    <t>FP-ACUMULADOR DE PRESSÃO MSIC (6M)</t>
  </si>
  <si>
    <t>FP-ACUMULADOR DE PRESSÃO MSID (6 M)</t>
  </si>
  <si>
    <t>FP-ELÉTRICA DA MSID  (2M)</t>
  </si>
  <si>
    <t>FP-ACUMULADOR DE PRESSÃO MSIE (6M)</t>
  </si>
  <si>
    <t>FP - PREVENTIVA MECÂNICA DO EG (12M)</t>
  </si>
  <si>
    <t>FP - PREVENTIVA ELETRICA DO EG (3M)</t>
  </si>
  <si>
    <t>FP - LUBRIF. EXPANSOR GROTNES (12M)</t>
  </si>
  <si>
    <t>FP-PREV. ELÉT.LIXAM. AUTOMÁTICO(3M)</t>
  </si>
  <si>
    <t>FP - PREVENTIVA ELÉTRICA DO TH (3M)</t>
  </si>
  <si>
    <t>FE-ESPOLETA SEGURANÇA- PORTAS DO TH (2M)</t>
  </si>
  <si>
    <t>FE-ESPOLETA US 2 ELÉTRICA (6M)</t>
  </si>
  <si>
    <t>FI-MECÂNICA DA ENDIREITADEIRA  (6M)</t>
  </si>
  <si>
    <t>COPI-MAER-CEL1-ED01</t>
  </si>
  <si>
    <t>FI-MECÂNICA DO FINN PASS 01 (3M)</t>
  </si>
  <si>
    <t>COPI-MAER-CEL1-FP01</t>
  </si>
  <si>
    <t>FI-MECÂNICA DO FINN PASS 02 (3M)</t>
  </si>
  <si>
    <t>COPI-MAER-CEL1-FP02</t>
  </si>
  <si>
    <t>FI-MECÂNICA DO FINN PASS 03 (3M)</t>
  </si>
  <si>
    <t>COPI-MAER-CEL1-FP03</t>
  </si>
  <si>
    <t>FI-ELÉTRICA LINHA TRANSPORT CRM 01(1M)</t>
  </si>
  <si>
    <t>FI-ELÉTRICA LINHA TRANSP. CRM 02 (1M)</t>
  </si>
  <si>
    <t>FI-ELETRICA DO RASPADOR INT / EXT (1M)</t>
  </si>
  <si>
    <t>FI-MECÂNICA DO TRAT. TÉRMICO 01 (3M)</t>
  </si>
  <si>
    <t>FI-MECÂNICA DO TRAT. TÉRMICO (3M)</t>
  </si>
  <si>
    <t>FI-MECÂNICA TRAT.TÉRMICO ELOTHERM (3M)</t>
  </si>
  <si>
    <t>FI-MECÂNICA DO ULTRA SOM DA LINHA(3M)</t>
  </si>
  <si>
    <t>FI-ELE HANDLING ENTRE TH E US 4/5 (2M)</t>
  </si>
  <si>
    <t>COPI-MAER-CEL2-HE05</t>
  </si>
  <si>
    <t>FI-MEC.HANDLING ENTRADA DO US4 (2M)</t>
  </si>
  <si>
    <t>FI-ELETRICA MOTORES DO CRM 17A (2M)</t>
  </si>
  <si>
    <t>FI-INSPEÇÃO ELÉTRICA DO TH (6M)</t>
  </si>
  <si>
    <t>FI-ELÉTRICA DO LAVADOR INTERNO(6M)</t>
  </si>
  <si>
    <t>COPI-MAER-CEL2-TH01-SL1</t>
  </si>
  <si>
    <t>FE-ESPOLETA TESTE EMERGÊNCIAS C1(2M)</t>
  </si>
  <si>
    <t>FP-MECÂNICA DO CORT.ESTACIONARIO (1A)</t>
  </si>
  <si>
    <t>FE-ESPOLETA CORTADOR MOVEL (2M)</t>
  </si>
  <si>
    <t>FP-ELETRICA DO MCC 3/1 (1A)</t>
  </si>
  <si>
    <t>FMP-MEC-CORTADOR DE CAVACO.(MENSAL)</t>
  </si>
  <si>
    <t>FE-ESPOLETA SIST.LUBRIF.DESBOBINA.(2M)</t>
  </si>
  <si>
    <t>FP-MECANICA DESBOBINADEIRA (6M)</t>
  </si>
  <si>
    <t>FP-MEC. DO RASPADOR INTERNO. (6M)</t>
  </si>
  <si>
    <t>FP-SUBSTITUIÇÃO DOS RELÊS A601-ERW(2A)l</t>
  </si>
  <si>
    <t>COPI-MAER-CEL1-SC01-SE1</t>
  </si>
  <si>
    <t>FP-REVISÃO DAS REDE DEVICENET-ERW(2M)</t>
  </si>
  <si>
    <t>FP-ELETRONICA DA SOLDA (7M)</t>
  </si>
  <si>
    <t>FP-ELETRONICA DA SOLDA (1A)</t>
  </si>
  <si>
    <t>XIN</t>
  </si>
  <si>
    <t>FP-MECÂNICA  DA SOLDA  ELOTHERM (2M)</t>
  </si>
  <si>
    <t>FP-ELÉTRICA SOLDA ELOTHERM (6M)</t>
  </si>
  <si>
    <t>FP-MECÂNICA DO SEAN ROLL (3M)</t>
  </si>
  <si>
    <t>COPI-MAER-CEL1-SR01</t>
  </si>
  <si>
    <t>FP-MECÂNICA  DA TESOURA FERMASA (1A)</t>
  </si>
  <si>
    <t>FE-REFRIGER. TOTO THERMATOOL (2M)</t>
  </si>
  <si>
    <t>OIS</t>
  </si>
  <si>
    <t>FP-ELETRÔNICA DO THERMATOOL (1A)</t>
  </si>
  <si>
    <t>FP-LIMP.CONEXÃO BARRA E TRANSF(6M.)</t>
  </si>
  <si>
    <t>OAE</t>
  </si>
  <si>
    <t>FP-ELETRÔNICA DO TT CONFAB (1A)</t>
  </si>
  <si>
    <t>FP-ELETRÔNICA DO TT AEG (1A)</t>
  </si>
  <si>
    <t>FE-TESTE DAS EMERGÊNCIAS C2 (2M)</t>
  </si>
  <si>
    <t>FP-ELETRICA BRAÇO 1 (4M)</t>
  </si>
  <si>
    <t>FE-ESPOLETA EMERGÊNCIAS (ELE)(2M)</t>
  </si>
  <si>
    <t>FP-ELETRICA MOTORES UH EVS (6M)</t>
  </si>
  <si>
    <t>FP-ELETRONICA SENSORES EVS2 (4M)</t>
  </si>
  <si>
    <t>COPI-MAER-CEL2-EV02</t>
  </si>
  <si>
    <t>FP-MEC-HANDLING  EVS / US DE CORPO (2M)</t>
  </si>
  <si>
    <t>FE-ESP.LIMITES SEG. DO CARRO  TH(2M)</t>
  </si>
  <si>
    <t>FP-MEC.DO TORNO 01 (3M)</t>
  </si>
  <si>
    <t>FP-MEC. DO TORNO 01 (12M)</t>
  </si>
  <si>
    <t>FP-JUNTA ROTATIVA DO TORNO 01(6M)</t>
  </si>
  <si>
    <t>FP-ELETRÔNICA DO TORNO 1 (1A)</t>
  </si>
  <si>
    <t>FP-MEC. DO TORNO 01 (6M)</t>
  </si>
  <si>
    <t>FP-ELETRÔNICA DO TORNO 2 (1A)</t>
  </si>
  <si>
    <t>FP-JUNTA ROTATIVA DO TORNO 02 (6M)</t>
  </si>
  <si>
    <t>FP-PREV. DO PAINEL PLC SLC5/04 (6M)</t>
  </si>
  <si>
    <t>COPI-MAER-CEL2-US04</t>
  </si>
  <si>
    <t>FP-ELE DOS PAINEIS DE COMANDO (4M)</t>
  </si>
  <si>
    <t>FP-ELETRONICA CLIENTES DE REDE ERW(1A)</t>
  </si>
  <si>
    <t>COPI-MAER-SERV-SC01-SS1</t>
  </si>
  <si>
    <t>FP-ELETRICA - PAINEIS DA FORMAÇÃO (45 D)</t>
  </si>
  <si>
    <t>COPI-MAHE-FORM</t>
  </si>
  <si>
    <t>FP-PREVENTIVA MECÂNICA DA ITECA (12M)</t>
  </si>
  <si>
    <t>FP-PREVENT MECÂNICA DA ITECA(3M)</t>
  </si>
  <si>
    <t>FP-ELE DO PINCH ROOL (3M)</t>
  </si>
  <si>
    <t>XIE</t>
  </si>
  <si>
    <t>FP-MEC-CALANDRA PRINCIPAL(45 D)</t>
  </si>
  <si>
    <t>COPI-MAHE-FORM-CA01</t>
  </si>
  <si>
    <t>FP - MEC - CARRO DE BOBINA (45 D)</t>
  </si>
  <si>
    <t>COPI-MAHE-FORM-CB01</t>
  </si>
  <si>
    <t>FP-MEC-CENTRALIZADOR (45 D)</t>
  </si>
  <si>
    <t>COPI-MAHE-FORM-CE01</t>
  </si>
  <si>
    <t>FP- ELETRICA DO PLASMA (45D)</t>
  </si>
  <si>
    <t>COPI-MAHE-FORM-CT01</t>
  </si>
  <si>
    <t>FP-MEC-CORTE DO TUBO PLASMA (45 D)</t>
  </si>
  <si>
    <t>FP-ELE-DESBOBINADEIRA ITECA (45D)</t>
  </si>
  <si>
    <t>COPI-MAHE-FORM-DB01</t>
  </si>
  <si>
    <t>FP-MEC-DESBOBINADEIRA (60 D)</t>
  </si>
  <si>
    <t>FP-MEC-EMENDA DAS BOBINAS (45 D)</t>
  </si>
  <si>
    <t>COPI-MAHE-FORM-EM01</t>
  </si>
  <si>
    <t>FP-MEC - ENDIREITADEIRA DE ENTRADA(45 D)</t>
  </si>
  <si>
    <t>COPI-MAHE-FORM-EN01</t>
  </si>
  <si>
    <t>FP-MEC-ENDIREITADEIRA PRINCIPAL (45 D)</t>
  </si>
  <si>
    <t>COPI-MAHE-FORM-EN02</t>
  </si>
  <si>
    <t>FP-MEC-FRESADORA DE BORDAS (45 D)</t>
  </si>
  <si>
    <t>COPI-MAHE-FORM-FB01</t>
  </si>
  <si>
    <t>FP-ELETRICA FRESADORA DE BORDAS(45D)</t>
  </si>
  <si>
    <t>FP -MEC -GUIA 01, 02, 03, 04 e 05 (90 D)</t>
  </si>
  <si>
    <t>COPI-MAHE-FORM-GU01</t>
  </si>
  <si>
    <t>FP-MEC-HANDLING DE ENT. CALANDRA (45 D)</t>
  </si>
  <si>
    <t>COPI-MAHE-FORM-HE01</t>
  </si>
  <si>
    <t>FP-MEC-HAND DE SAIDA MAQ. FORM. (90 D)</t>
  </si>
  <si>
    <t>COPI-MAHE-FORM-HS01</t>
  </si>
  <si>
    <t>FP-MEC-PREFORMADOR DE BORDAS (90 D)</t>
  </si>
  <si>
    <t>COPI-MAHE-FORM-PB01</t>
  </si>
  <si>
    <t>FP-MEC-PINCH ROLL PRINC. INF./SUP(45 D)</t>
  </si>
  <si>
    <t>COPI-MAHE-FORM-PL01</t>
  </si>
  <si>
    <t>FP-ELE DA MAQUINA DE SOLDA EXTERNA (45D)</t>
  </si>
  <si>
    <t>COPI-MAHE-FORM-SE01</t>
  </si>
  <si>
    <t>FP-MEC-SOLDA EXTERNA (45 D)</t>
  </si>
  <si>
    <t>FP - MEC-SOLDA INTERNA (45 D)</t>
  </si>
  <si>
    <t>COPI-MAHE-FORM-SI01</t>
  </si>
  <si>
    <t>FP - ELETRICA SOLDA INTERNA (45D)</t>
  </si>
  <si>
    <t>FP-MEC-REVISÃO NA TESOURA (45 D)</t>
  </si>
  <si>
    <t>COPI-MAHE-FORM-TE01</t>
  </si>
  <si>
    <t>FP-PREVENTIVA MECÂNICA DO ULTRA SOM(1M)</t>
  </si>
  <si>
    <t>FP-PREV. MECÂNICA TORNO BISEL (6M)</t>
  </si>
  <si>
    <t>COPI-MAHE-TERM-HS02</t>
  </si>
  <si>
    <t>FP-PREV TORNO BISEL. MECÂNICA (12M)</t>
  </si>
  <si>
    <t>FP-PREV MECÂNICA DO TORNO IV (12M)</t>
  </si>
  <si>
    <t>COPI-MAHE-TERM-HS03</t>
  </si>
  <si>
    <t>FP-PREV MECÂNICA TORNO IV (6M)</t>
  </si>
  <si>
    <t>FP-ELETRICA DO TH 100" (6M)</t>
  </si>
  <si>
    <t>COPI-MAHE-TERM-TH01</t>
  </si>
  <si>
    <t>FE-EMERGÊNCIAS SOLDA DE CONECTORES (2M)</t>
  </si>
  <si>
    <t>FP-ELETRICA DO CARRO AUTONOMO (2M)</t>
  </si>
  <si>
    <t>LIB  CONF IMPR CAPC NOLQ SCDM</t>
  </si>
  <si>
    <t>FP-ELETRICA VIA DE ROLOS DE ENTRADA(4M)</t>
  </si>
  <si>
    <t>COPI-SCON-SOLD-HE01-VR1</t>
  </si>
  <si>
    <t>FP-ELETRICA PONTEAMENTO MANUAL 1/2(2M)</t>
  </si>
  <si>
    <t>FP-ELETRICA POTENCIA DA SOLDA PONTA 1</t>
  </si>
  <si>
    <t>FP - MEC - SOLDA PONTA 2</t>
  </si>
  <si>
    <t>FP-ELETRICA POTENCIA DA SOLDA PONTA 2 (2</t>
  </si>
  <si>
    <t>FI -INSP EL PONTE ROL. ANSELMI 40T(TRIM)</t>
  </si>
  <si>
    <t>FI - INSP ELE PR. ANSELMI 40T (BIME)</t>
  </si>
  <si>
    <t>FI-INSP ELE PONTE ROL ANSELMI 40T (6M)</t>
  </si>
  <si>
    <t>FS-INSP MEC PONTES ANSELMI 40T SEMESTRAL</t>
  </si>
  <si>
    <t>COPI-MAHE-TRAN-PR01</t>
  </si>
  <si>
    <t>FI - INSP EL PONTE ROLA. ANSELMI(TRIM)</t>
  </si>
  <si>
    <t>FI-INSP MEC PONTE ANSELMI (BIMESTRAL)</t>
  </si>
  <si>
    <t>FI - PONTE ROLANTE ANSELMI (Bimest)</t>
  </si>
  <si>
    <t>COPI-TOTO-TRAN-PR01</t>
  </si>
  <si>
    <t>FE - PONTE ROLANTE HTB-907 (2M)</t>
  </si>
  <si>
    <t>COIN-REVS-REV4-PROC-PR1</t>
  </si>
  <si>
    <t>FE - PONTE ROLANTE HTB-950 (2M)</t>
  </si>
  <si>
    <t>COPI-MACE-TRAN-PR01</t>
  </si>
  <si>
    <t>FP-PREV MEC PONTES CLASSE B (BI ANUAL)</t>
  </si>
  <si>
    <t>FE - PONTE ROLANTE H-1325 (2M)</t>
  </si>
  <si>
    <t>FE - PONTE ROLANTE H-1327 (2M)</t>
  </si>
  <si>
    <t>FE - PONTE ROLANTE  H-1328 (2M)</t>
  </si>
  <si>
    <t>FE - PONTE ROLANTE H-1883 (2M)</t>
  </si>
  <si>
    <t>FP-PREV ELE PONTE ANSELMI 40T (TRIM)</t>
  </si>
  <si>
    <t>FP-PREV.ELT. PONTE ANSELMI 40 T</t>
  </si>
  <si>
    <t>FP-PREV ELE PONTE ANSELMI 40T (SEMES)</t>
  </si>
  <si>
    <t>FE-PONTES ROLANTES H-993 (2M)</t>
  </si>
  <si>
    <t>FS-PREV ELE PONTES CLASSE C (3M)</t>
  </si>
  <si>
    <t>FE - PONTE ROLANTE H-666 (2M)</t>
  </si>
  <si>
    <t>FS-PREV ELE PONTES CLASSE A (BIMESTRAL</t>
  </si>
  <si>
    <t>FS-PREV ELE PONTES CLASSE A (MENSAL)ELE</t>
  </si>
  <si>
    <t>FS-PREV MEC PONTES CLASSE A (OCTOMESTRAL</t>
  </si>
  <si>
    <t>FP-PREV.ELT. PONTE ANSELMI (BIM)</t>
  </si>
  <si>
    <t>FP-PREV MEC PONTE ANSELMI (BIMESTRAL)</t>
  </si>
  <si>
    <t>FP-PREV ELE PONTE ANSELMI (TRIM)</t>
  </si>
  <si>
    <t>FE - PONTE ROLANTE H-1326 (2M)</t>
  </si>
  <si>
    <t>FE-PONTES ROLANTES HCC-2181 (2M)</t>
  </si>
  <si>
    <t>COPI-SCON-TRAN-PR01</t>
  </si>
  <si>
    <t>FE - PONTE ROLANTE HCC-2226 (2M)</t>
  </si>
  <si>
    <t>FI - Inspeção Bomba de Combustível 2</t>
  </si>
  <si>
    <t>COPI-ALMO-POCO-AB01-BO1</t>
  </si>
  <si>
    <t>FI - Inspeção Bomba de Combustível 1</t>
  </si>
  <si>
    <t>FI-GERADOR DE EMERGÊNCIA (2M)</t>
  </si>
  <si>
    <t>FI-PURG.AR COMP ANEL USINAG(3M)</t>
  </si>
  <si>
    <t>COPI-MACE-SECE-IF01-SA1</t>
  </si>
  <si>
    <t>FI-MOTOR BOM 7 (2M)</t>
  </si>
  <si>
    <t>FI-MOTOR BOM 8 (2M)</t>
  </si>
  <si>
    <t>FI-MOTOR BOM 7-B (2M)</t>
  </si>
  <si>
    <t>FI-MOTOR BOMBA 7A (2M)</t>
  </si>
  <si>
    <t>FI-MOTOR BOMBA 8A (2M)</t>
  </si>
  <si>
    <t>FI-PURGAD. AR COMP ANEL F1 (3M)</t>
  </si>
  <si>
    <t>FI-MOTOR BOMBA 9A (2M)</t>
  </si>
  <si>
    <t>FI-MOTOR BOMBA 10A (2M)</t>
  </si>
  <si>
    <t>FI-PURGAD.AR COMP ANEL F3-10 (3M)</t>
  </si>
  <si>
    <t>FI-MOTOR 4 TORRE F4 (4M)</t>
  </si>
  <si>
    <t>FI-BOMBA 4 TORRE F4</t>
  </si>
  <si>
    <t>FI-MEC. MAQ. DE IMPACTO ZWICK (1M)</t>
  </si>
  <si>
    <t>FI-MEC MAQ. TRAÇÃO ZWICK(1M)</t>
  </si>
  <si>
    <t>FI-PAINEL ELETRICO FRESA 01 (6M)</t>
  </si>
  <si>
    <t>COPI-QUAL-LAUS-FR01</t>
  </si>
  <si>
    <t>FI-MEC FRESADORA SANCHEZ BLANES FR01(1M)</t>
  </si>
  <si>
    <t>FI-MEC FRESADORA ROMI U-30 FR03 (1M)</t>
  </si>
  <si>
    <t>COPI-QUAL-LAUS-FR03</t>
  </si>
  <si>
    <t>FI-PAINEL ELETRICO FRESA 03 (6M)</t>
  </si>
  <si>
    <t>FI-PAINEL ELETRICO FRESA 04 (6M)</t>
  </si>
  <si>
    <t>COPI-QUAL-LAUS-FR04</t>
  </si>
  <si>
    <t>FI-ELE FRESADORA ROMI U-30 FR05 (3M)</t>
  </si>
  <si>
    <t>FI-MEC FRESADORA ROMI U-30 FR05 (1M)</t>
  </si>
  <si>
    <t>FI-PAINEL ELETRICO FRESA 05 (6M)</t>
  </si>
  <si>
    <t>FI- ELE. PRENSA HIMECA (1M)</t>
  </si>
  <si>
    <t>FI-MEC. SERRA HORIZONTAL FRANHO SE02(1M)</t>
  </si>
  <si>
    <t>COPI-QUAL-LAUS-SE02</t>
  </si>
  <si>
    <t>FI-MEC SERRA FRANHO (1M)</t>
  </si>
  <si>
    <t>FI- MEC. SERRA CIRCULAR STARRET (1M)</t>
  </si>
  <si>
    <t>COPI-QUAL-LAUS-SE03</t>
  </si>
  <si>
    <t>FI-INSPEÇÃO MENSAL GERADORES (1 M)</t>
  </si>
  <si>
    <t>COPI-QUAL-SECE-SB01-GE1</t>
  </si>
  <si>
    <t>FI-PURGAD. AR COMP ANEL REV4(3M)</t>
  </si>
  <si>
    <t>FI-PURGAD. AR COMP ANEL F6 (3M)</t>
  </si>
  <si>
    <t>FI-BOMBA DEC PRIMA 1 (4M)</t>
  </si>
  <si>
    <t>FI-BOMBA DEC SECUN 1 (4M)</t>
  </si>
  <si>
    <t>COPI-SEIN-AGID-ET02-DS1</t>
  </si>
  <si>
    <t>FI-MOT-BOMBA AGUA IND F1-6A (2M)</t>
  </si>
  <si>
    <t>COPI-SEIN-AGID-IF03-BO1</t>
  </si>
  <si>
    <t>FI-MOT-BOMBA AGUA IND F1-6 (2M)</t>
  </si>
  <si>
    <t>FI-BOMBA AGUA IND F1-6 (4M)</t>
  </si>
  <si>
    <t>FI-BOMBA AGUA IND F1-6A (4M)</t>
  </si>
  <si>
    <t>FI-MOT-BOMBA AGUA IND F4-2 (2M)</t>
  </si>
  <si>
    <t>COPI-SEIN-AGID-IF03-BO2</t>
  </si>
  <si>
    <t>FI-MOT-BOMBA AGUA IND F4-1 (2M)</t>
  </si>
  <si>
    <t>FI- BOMBA AGUA IND F4-1 (4M)</t>
  </si>
  <si>
    <t>FI-MOT-BOMBA AGUA IND TT-1 (2M)</t>
  </si>
  <si>
    <t>COPI-SEIN-AGID-IF03-BO3</t>
  </si>
  <si>
    <t>FI-MOT-BOMBA AGUA IND TT-2 (2M)</t>
  </si>
  <si>
    <t>FI-BOMBA AGUA IND TT-1 (4M)</t>
  </si>
  <si>
    <t>FI-BOMBA AGUA IND TT-2 (4M)</t>
  </si>
  <si>
    <t>FI-BOMBA AGUA SAN F1-2 (4M)</t>
  </si>
  <si>
    <t>COPI-SEIN-AGID-IF04-BO1</t>
  </si>
  <si>
    <t>FI-MOT-BOMBA AGUA SAN F-1 (2M)</t>
  </si>
  <si>
    <t>FI-BOMBA AGUA SAN F1-1 (4M)</t>
  </si>
  <si>
    <t>FI-MOT-BOMBA AGUA SAN F1-2 (2M)</t>
  </si>
  <si>
    <t>FI-BOMBA AGUA SAN TT-1 (4M)</t>
  </si>
  <si>
    <t>COPI-SEIN-AGID-IF04-BO2</t>
  </si>
  <si>
    <t>FI-MOT-BOMBA AGUA SAN TT-1 (2M)</t>
  </si>
  <si>
    <t>FI-BOMBA REUSO 10 (4M)</t>
  </si>
  <si>
    <t>COPI-SEIN-AGID-RE01-TR1</t>
  </si>
  <si>
    <t>FI-BOMBA REUSO 9 (4M)</t>
  </si>
  <si>
    <t>FI-MOTOR BOMBA REUSO 9 (2M)</t>
  </si>
  <si>
    <t>FI-MOTOR BOMBA REUSO 10 (2M)</t>
  </si>
  <si>
    <t>FI-VASOS PRESSÃO COMP TOTO (4M)</t>
  </si>
  <si>
    <t>COPI-SEIN-ARCO-IF01</t>
  </si>
  <si>
    <t>FI-VASOS PRESSÃO COMP REV4 (4M)</t>
  </si>
  <si>
    <t>FI-VASO PRESSÃO  COMP F4 (4M)</t>
  </si>
  <si>
    <t>FI-MOTOR BOMBA 4 (4M)</t>
  </si>
  <si>
    <t>COPI-SEIN-ARCO-SC01-RE1</t>
  </si>
  <si>
    <t>FI-MOTOR BOMBA 3 (4M)</t>
  </si>
  <si>
    <t>FI-MOTOR BOMBA 2 (4M)</t>
  </si>
  <si>
    <t>FI-BOMBA 4 (4M)</t>
  </si>
  <si>
    <t>COPI-SEIN-ARCO-SC01-RE2</t>
  </si>
  <si>
    <t>FI-MOTOR VEN TORRE F4 5 (4M)</t>
  </si>
  <si>
    <t>COPI-SEIN-ARCO-SC01-TA2</t>
  </si>
  <si>
    <t>FI-BOMBAS (2M)</t>
  </si>
  <si>
    <t>ENTE CNPA IMPR CAPC NOLQ SCDM</t>
  </si>
  <si>
    <t>FI-BOMBA PRESS 4 (4M)</t>
  </si>
  <si>
    <t>FI-BOMBA RESF SELO 2 (4M)</t>
  </si>
  <si>
    <t>FI-BOMBA RESF SELO 1 (4M)</t>
  </si>
  <si>
    <t>FI-BOMBA RESF 1 (4M)</t>
  </si>
  <si>
    <t>FI-BOMBA RESF 2 (4M)</t>
  </si>
  <si>
    <t>FI-BOMBA PRESS 3 (4M)</t>
  </si>
  <si>
    <t>FI-BOMBA PRESS 5 (4M)</t>
  </si>
  <si>
    <t>FI-BOMBA PRESS 6 (4M)</t>
  </si>
  <si>
    <t>FI-PURG. AR COMP. ANEL VEICULO(3M)</t>
  </si>
  <si>
    <t>COPI-VEIC-SECE-IF01-SA1</t>
  </si>
  <si>
    <t>FP-MAN EVAP SPLIT  INF  SERVID 1(3A)</t>
  </si>
  <si>
    <t>FP-MAN EVAP  INF NO BREAK 30M(3A)</t>
  </si>
  <si>
    <t>FP-MANU BEBE  USINAGEM 2 (2A)</t>
  </si>
  <si>
    <t>FP-MAN EVAP SPLIT F1 METALOG.(3A)</t>
  </si>
  <si>
    <t>FP-MAN EVAP  F1 CAB. RELIAN 2(3A)</t>
  </si>
  <si>
    <t>FP-MAN COND SPLIT  F1  RELIAN 2(1A)</t>
  </si>
  <si>
    <t>FP-MAN COND SPLIT  F1 RELIAN 4(1A)</t>
  </si>
  <si>
    <t>FP-MAN EVAP F1 US COMANDO(3A)</t>
  </si>
  <si>
    <t>FP-MAN COND SPLIT F1 US COMANDO(1A)</t>
  </si>
  <si>
    <t>FP-MANU BEBE TH (2A)</t>
  </si>
  <si>
    <t>FE-ILUMINAÇÃO EMERGENCIA F1 (3M)</t>
  </si>
  <si>
    <t>COPI-MAER-SERV-IF02-SE1</t>
  </si>
  <si>
    <t>FP-MANU BEBE ULTRASSOM (2A)</t>
  </si>
  <si>
    <t>FP-MANU BEBE HELICOIDAL (2A).</t>
  </si>
  <si>
    <t>FP-MANU BEBE COLUNA B26 (2A)</t>
  </si>
  <si>
    <t>FP-MAN EVAP F4 SAL.ELE PO 1 (3A)</t>
  </si>
  <si>
    <t>FP-COND SPLIT OF F4 SL ELE PO 3 (1A)</t>
  </si>
  <si>
    <t>FP-MAN EVAP  F4 SAL.ELE PO 4 (3A)</t>
  </si>
  <si>
    <t>FP-MAN EVAP F4  SL INFERIOR 2(3A)</t>
  </si>
  <si>
    <t>FP-MAN COND OF F4 SL INFER 2(1A)</t>
  </si>
  <si>
    <t>FP-MAN.COND.OF F4 SL.ELE PO1 (1A)</t>
  </si>
  <si>
    <t>FP-MAN COND SPLIT OF F4 OPER PO 4 (1A)</t>
  </si>
  <si>
    <t>FP-MAN EVAP SPLIT  SL.S INTE 2 (3A)</t>
  </si>
  <si>
    <t>FP-MAN EVAP SPLIT  SL.S INTE 1 (3A)</t>
  </si>
  <si>
    <t>FP-MAN EVAP SPLIT F4  OF EXP.(3A)</t>
  </si>
  <si>
    <t>FP-MAN COND SPLIT OF F4 PMAG.2(1A)</t>
  </si>
  <si>
    <t>FP-MANU BEBE COLUNA B43 (2A)</t>
  </si>
  <si>
    <t>FE-ILUMINAÇÃO EMERGENCIA F4 (3M)</t>
  </si>
  <si>
    <t>COPI-MAUO-SECE-IF02-SE1</t>
  </si>
  <si>
    <t>FP-MANU BEBE  ESCRITORIO (2A)</t>
  </si>
  <si>
    <t>COPI-QPRO-SECE-IF02-BE1</t>
  </si>
  <si>
    <t>FP-MAQ TESTE CTOD UH 505 (6M)</t>
  </si>
  <si>
    <t>FE-SIST DE SEG MAQ. IMPACTO ZWICK(3M)</t>
  </si>
  <si>
    <t>FP-MEC MAQ. TRAÇÃO ZWICK (1M)</t>
  </si>
  <si>
    <t>FP-MAN CENTRO USIN OKUMA(6M)</t>
  </si>
  <si>
    <t>FE-SISTEMA SEG DROP WEIGTH(3M)</t>
  </si>
  <si>
    <t>COPI-QUAL-LAUS-DW01</t>
  </si>
  <si>
    <t>FP-MEC FRESADORA SANCHEZ BLANES FR01 (6M</t>
  </si>
  <si>
    <t>FP- MEC. SERRA CIRCULAR STARRET (1A)</t>
  </si>
  <si>
    <t>FP- MEC. TORNO ROMI ID-20 (1A)</t>
  </si>
  <si>
    <t>FP-MAN EVAP SPLIT  LAB SAL CQ 1(3A)</t>
  </si>
  <si>
    <t>FP-MAN EVAP SPLIT  LAB MEV(3A)</t>
  </si>
  <si>
    <t>FP-MAN EVAP SPLIT  LAB SAL Q 2(3A)</t>
  </si>
  <si>
    <t>FP-MAN EVAP SPLIT  LAB NDT 2(3A)</t>
  </si>
  <si>
    <t>FP-MAN EVAP SPLIT  LAB NDT 1(3A)</t>
  </si>
  <si>
    <t>FP-MAN EVAP SPLIT  LAB SALÃO CQ 3(3A)</t>
  </si>
  <si>
    <t>FP-MAN EVAP SPLIT  LAB SALÃO CQ 4(3A)</t>
  </si>
  <si>
    <t>FP-MAN EVAP SPLIT  LAB QUIM. 1(3A)</t>
  </si>
  <si>
    <t>FP-MAN EVAP SPLIT  INF SERVID (3A)</t>
  </si>
  <si>
    <t>FP-MNT.AR.JAN. EXT. NOVAMEC(18M)</t>
  </si>
  <si>
    <t>COPI-REVS-REV4-AEAR-ET3-SE1</t>
  </si>
  <si>
    <t>FP-MANU BEBE  REV1 MANUTE(2A)</t>
  </si>
  <si>
    <t>FE-ILUMINAÇÃO EMERGENCIA REV3 (3M)</t>
  </si>
  <si>
    <t>FE-ILUMINAÇÃO EMERGENCIA REV4 (3M)</t>
  </si>
  <si>
    <t>FP-MAN EVAP SPLIT  INF SL VIP(3A)</t>
  </si>
  <si>
    <t>FP-MAN EVAP  RH ENFER SL EMERG(3A)</t>
  </si>
  <si>
    <t>FP-MAN EVAP  RH ENFE AUDIOM (3A)</t>
  </si>
  <si>
    <t>FP-MAN EVAP  RH ENF REPO MASC(3A)</t>
  </si>
  <si>
    <t>FP-MANU BEBE  RECEPÇÃO (1A)</t>
  </si>
  <si>
    <t>COPI-RHSG-SECE-IF03-BE1</t>
  </si>
  <si>
    <t>FP-MAN EVAP RH AR. MORTO 1(3A)</t>
  </si>
  <si>
    <t>FP-MAN EVAP   RH INFORMATICA(3A)</t>
  </si>
  <si>
    <t>FP-MAN EVAP SPLIT RH PORT 2 - 1 (3A)</t>
  </si>
  <si>
    <t>FP-MAN EVAP SPLIT  RH RECRUTAM 1(3A)</t>
  </si>
  <si>
    <t>FP-MAN EVAP RH RECRUTAM 4(3A)</t>
  </si>
  <si>
    <t>FP-MANU BEBE  GEREN MANUT (2A)</t>
  </si>
  <si>
    <t>COPI-RHSG-SECE-IF07-BE1</t>
  </si>
  <si>
    <t>FP-CAIXA DÁGUA REUSO (2A)</t>
  </si>
  <si>
    <t>COPI-SEIN-AGID-CX01-AR1</t>
  </si>
  <si>
    <t>FE-VALV. PRESS.VASO PRE2-REV4 (1M)</t>
  </si>
  <si>
    <t>COPI-SEIN-CALD-CA01-SS1</t>
  </si>
  <si>
    <t>FE-TESTE PRESSOSTATO (3M)</t>
  </si>
  <si>
    <t>FE-ILUMINAÇÃO EMERGENCIA USINAGEM (3M)</t>
  </si>
  <si>
    <t>FP-MANU BEBE  MANT USINAGEM (2A)</t>
  </si>
  <si>
    <t>FP-MANUTENÇÃO FAN COIL 1 (3M)</t>
  </si>
  <si>
    <t>FP-MANUTENÇÃO FAN COIL 2 (3M)</t>
  </si>
  <si>
    <t>FE-ALARME INCENDIO CTT (3M)</t>
  </si>
  <si>
    <t>COPI-SEIN-SDCI-SD01</t>
  </si>
  <si>
    <t>FP-MAN EVAP  TT SERVIDOR(3A)</t>
  </si>
  <si>
    <t>FI-ULTRA SOM CORPO/SOLDA ELET.(Semanal)</t>
  </si>
  <si>
    <t>FP-ELET.US CORPO&amp;SOLDA CARRO 3 E4(2M)</t>
  </si>
  <si>
    <t>ENTE CAPC CAPF ERRD NOLQ SCDM</t>
  </si>
  <si>
    <t>FE-ELT US CORPO &amp; SOLDA (2M)</t>
  </si>
  <si>
    <t>FE - FLUOROSCOPIA ( 2M )</t>
  </si>
  <si>
    <t>FP_ELE_PARTICULA MAGNETICA (TRIMESTRAL)</t>
  </si>
  <si>
    <t>ENTE CAPC CAPF NOLQ SCDM</t>
  </si>
  <si>
    <t>FP-ELET. ELETRÔNICA  RX  (3M)</t>
  </si>
  <si>
    <t>FP-ELETRÔNICA DO US 02 ( TRIMESTRAL )</t>
  </si>
  <si>
    <t>FP ELETRONICA ULTRA SOM II (ANUAL)</t>
  </si>
  <si>
    <t>ENTE CAPC CAPF DNAT NOLQ SCDM</t>
  </si>
  <si>
    <t>FE-ELE-ESPOLETA-JATO 1(6M)</t>
  </si>
  <si>
    <t>FP-MEC | HANDLING ENTRADA (S)</t>
  </si>
  <si>
    <t>FP-MEC | HANDLING SAÍDA JT 02 (S)</t>
  </si>
  <si>
    <t>FE - ELE - ESPOLETA-JATO 2(6M)</t>
  </si>
  <si>
    <t>FP-MEC | JATO 2 (S)</t>
  </si>
  <si>
    <t>ENTE CONF CAPC DNAT NOLQ SCDM</t>
  </si>
  <si>
    <t>FE - ELE - HOLIDAY (6M)</t>
  </si>
  <si>
    <t>FP-MEC | HANDLING DE ENTRADA (S)</t>
  </si>
  <si>
    <t>FP - ELE - JATO DE GRANALHA INTERNO (A)</t>
  </si>
  <si>
    <t>CFV</t>
  </si>
  <si>
    <t>CFCOVE01</t>
  </si>
  <si>
    <t>FP- PREV.TRIMEST.CARRETA FACHINI (3M)</t>
  </si>
  <si>
    <t>LIB  CONF IMPR CAPC MMRO NOLQ SCDM</t>
  </si>
  <si>
    <t>COPI-VEIC-LOSE-CR10</t>
  </si>
  <si>
    <t>FP- PREV.ANUAL CARRETA FACHINI (1A)</t>
  </si>
  <si>
    <t>COPI-VEIC-LOSE-CR15</t>
  </si>
  <si>
    <t>FP - VEICULOS - EMP. HYSTER 03 (250 Hs)</t>
  </si>
  <si>
    <t>ABER CAPC DMNV</t>
  </si>
  <si>
    <t>COPI-VEIC-LOSE-EM03</t>
  </si>
  <si>
    <t>FP - VEICULOS - FERRARI 27 (500 Horas)</t>
  </si>
  <si>
    <t>LIB  CONF IMPR CAPC CAPF MATF MMRO MOME*</t>
  </si>
  <si>
    <t>COPI-VEIC-LOSE-EM27</t>
  </si>
  <si>
    <t>FP-VEIC.EMP.YALE 050VX (250 Hs)</t>
  </si>
  <si>
    <t>COPI-VEIC-LOSE-EM30</t>
  </si>
  <si>
    <t>FP-VEIC.EMP.30 (YALE 050VX) (500 Hs)</t>
  </si>
  <si>
    <t>FP - VEICULOS - MADAL 10 ( 250 Hs)</t>
  </si>
  <si>
    <t>COPI-VEIC-LOSE-GU10</t>
  </si>
  <si>
    <t>FP - VEÍCULOS - TERBERG 02 (500 Hs)</t>
  </si>
  <si>
    <t>LIB  CONF IMPR CAPC DMNV DNAT MOME NOLQ</t>
  </si>
  <si>
    <t>COPI-VEIC-LOSE-TB02</t>
  </si>
  <si>
    <t>FP - VEÍCULOS - TERBERG 02 (250Hs)</t>
  </si>
  <si>
    <t>FP - VEICULOS - ZEPHIR - (250 Horas)</t>
  </si>
  <si>
    <t>LIB  CONF IMPR CAPC CAPF MMRO MOME MatC*</t>
  </si>
  <si>
    <t>COPI-VEIC-LOSE-ZE01</t>
  </si>
  <si>
    <t>FP - VEICULOS - ZEPHIR - (1000 Horas)</t>
  </si>
  <si>
    <t>FP - VEICULOS - ZEPHIR - (2000 Horas)</t>
  </si>
  <si>
    <t>ENTE CONF IMPR CAPC CAPF MMRO MOME MatC*</t>
  </si>
  <si>
    <t>FP - VEICULOS - ZEPHIR - (500 Horas)</t>
  </si>
  <si>
    <t>SRV</t>
  </si>
  <si>
    <t>SBGE01</t>
  </si>
  <si>
    <t>COSR-VEIC-INLO-CR02</t>
  </si>
  <si>
    <t>NSM</t>
  </si>
  <si>
    <t>COSR-VEIC-INLO-CR03</t>
  </si>
  <si>
    <t>LIB  CONF IMPR CAPC ERRD MMRO NOLQ SCDM</t>
  </si>
  <si>
    <t>COSR-VEIC-INLO-CR05</t>
  </si>
  <si>
    <t>FP- PREV.TRIMEST.TORRE ILUMINACAO 2 (3M)</t>
  </si>
  <si>
    <t>ABER CAPC DMNV ERRD</t>
  </si>
  <si>
    <t>COSR-VEIC-INLO-TI02</t>
  </si>
  <si>
    <t>Fab 10</t>
  </si>
  <si>
    <t>Fab 06</t>
  </si>
  <si>
    <t>Rev. Ext</t>
  </si>
  <si>
    <t xml:space="preserve"> Fev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</si>
</sst>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-* #,##0.00_-;\-* #,##0.00_-;_-* &quot;-&quot;??_-;_-@_-"/>
    <numFmt numFmtId="164" formatCode="_(* #,##0_);_(* \(#,##0\);_(* &quot;-&quot;_);_(@_)"/>
    <numFmt numFmtId="165" formatCode="_ * #,##0_ ;_ * \-#,##0_ ;_ * &quot;-&quot;_ ;_ @_ "/>
    <numFmt numFmtId="166" formatCode="0.0"/>
    <numFmt numFmtId="167" formatCode="_ &quot;R$&quot;\ * #,##0_ ;_ &quot;R$&quot;\ * \-#,##0_ ;_ &quot;R$&quot;\ * &quot;-&quot;_ ;_ @_ "/>
    <numFmt numFmtId="168" formatCode="_ &quot;R$&quot;\ * #,##0.00_ ;_ &quot;R$&quot;\ * \-#,##0.00_ ;_ &quot;R$&quot;\ * &quot;-&quot;??_ ;_ @_ "/>
    <numFmt numFmtId="169" formatCode="0.00_)"/>
    <numFmt numFmtId="170" formatCode="&quot;L.&quot;\ #,##0;[Red]\-&quot;L.&quot;\ #,##0"/>
    <numFmt numFmtId="171" formatCode="#,"/>
    <numFmt numFmtId="172" formatCode="#,#00"/>
    <numFmt numFmtId="173" formatCode="#.##000"/>
    <numFmt numFmtId="174" formatCode="_(* #,##0.00_);_(* \(#,##0.00\);_(* &quot;-&quot;??_);_(@_)"/>
    <numFmt numFmtId="175" formatCode="\$#,#00"/>
    <numFmt numFmtId="176" formatCode="%#,#00"/>
  </numFmts>
  <fonts count="2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Frutiger 55 Roman"/>
      <family val="2"/>
    </font>
    <font>
      <b/>
      <sz val="10"/>
      <name val="Frutiger 55 Roman"/>
      <family val="2"/>
    </font>
    <font>
      <sz val="9"/>
      <color indexed="9"/>
      <name val="Frutiger 55 Roman"/>
      <family val="2"/>
    </font>
    <font>
      <sz val="9"/>
      <name val="Frutiger 55 Roman"/>
      <family val="2"/>
    </font>
    <font>
      <sz val="10"/>
      <name val="Helvetica"/>
    </font>
    <font>
      <sz val="10"/>
      <name val="MS Sans Serif"/>
      <family val="2"/>
    </font>
    <font>
      <b/>
      <i/>
      <sz val="16"/>
      <name val="Helv"/>
    </font>
    <font>
      <sz val="10"/>
      <color indexed="8"/>
      <name val="MS Sans Serif"/>
      <family val="2"/>
    </font>
    <font>
      <sz val="12"/>
      <name val="Helvetica"/>
    </font>
    <font>
      <sz val="11"/>
      <name val="ＭＳ Ｐゴシック"/>
      <family val="3"/>
      <charset val="128"/>
    </font>
    <font>
      <b/>
      <sz val="24"/>
      <color indexed="17"/>
      <name val="Frutiger 55 Roman"/>
      <family val="2"/>
    </font>
    <font>
      <b/>
      <sz val="20"/>
      <color indexed="17"/>
      <name val="Frutiger 55 Roman"/>
      <family val="2"/>
    </font>
    <font>
      <b/>
      <sz val="9"/>
      <name val="Frutiger 55 Roman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  <family val="2"/>
    </font>
    <font>
      <b/>
      <sz val="12"/>
      <color rgb="FFFF0000"/>
      <name val="Calibri"/>
      <family val="2"/>
      <scheme val="minor"/>
    </font>
    <font>
      <b/>
      <sz val="20"/>
      <color rgb="FF009900"/>
      <name val="Verdana"/>
      <family val="2"/>
    </font>
    <font>
      <b/>
      <sz val="11"/>
      <color theme="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1"/>
      <color indexed="8"/>
      <name val="Calibri"/>
      <family val="2"/>
    </font>
    <font>
      <b/>
      <i/>
      <sz val="14"/>
      <name val="MS Sans Serif"/>
      <family val="2"/>
    </font>
    <font>
      <sz val="11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indexed="2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9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8">
    <xf numFmtId="0" fontId="0" fillId="0" borderId="0"/>
    <xf numFmtId="37" fontId="8" fillId="0" borderId="0"/>
    <xf numFmtId="38" fontId="9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>
      <alignment horizontal="center"/>
    </xf>
    <xf numFmtId="38" fontId="9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9" fontId="10" fillId="0" borderId="0"/>
    <xf numFmtId="0" fontId="11" fillId="0" borderId="0"/>
    <xf numFmtId="170" fontId="9" fillId="0" borderId="0" applyFont="0" applyFill="0" applyBorder="0" applyAlignment="0" applyProtection="0"/>
    <xf numFmtId="37" fontId="12" fillId="0" borderId="0"/>
    <xf numFmtId="0" fontId="13" fillId="0" borderId="0">
      <alignment vertical="center"/>
    </xf>
    <xf numFmtId="0" fontId="2" fillId="0" borderId="0"/>
    <xf numFmtId="0" fontId="2" fillId="0" borderId="0"/>
    <xf numFmtId="0" fontId="1" fillId="24" borderId="0" applyNumberFormat="0" applyBorder="0" applyAlignment="0" applyProtection="0"/>
    <xf numFmtId="0" fontId="1" fillId="6" borderId="0" applyNumberFormat="0" applyBorder="0" applyAlignment="0" applyProtection="0"/>
    <xf numFmtId="0" fontId="1" fillId="25" borderId="0" applyNumberFormat="0" applyBorder="0" applyAlignment="0" applyProtection="0"/>
    <xf numFmtId="0" fontId="1" fillId="8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2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8" fillId="12" borderId="0" applyNumberFormat="0" applyBorder="0" applyAlignment="0" applyProtection="0"/>
    <xf numFmtId="0" fontId="18" fillId="15" borderId="0" applyNumberFormat="0" applyBorder="0" applyAlignment="0" applyProtection="0"/>
    <xf numFmtId="0" fontId="18" fillId="20" borderId="0" applyNumberFormat="0" applyBorder="0" applyAlignment="0" applyProtection="0"/>
    <xf numFmtId="0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2" fontId="23" fillId="0" borderId="0">
      <protection locked="0"/>
    </xf>
    <xf numFmtId="173" fontId="23" fillId="0" borderId="0">
      <protection locked="0"/>
    </xf>
    <xf numFmtId="174" fontId="2" fillId="0" borderId="0" applyFont="0" applyFill="0" applyBorder="0" applyAlignment="0" applyProtection="0"/>
    <xf numFmtId="175" fontId="23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5" fillId="5" borderId="24" applyNumberFormat="0" applyFont="0" applyAlignment="0" applyProtection="0"/>
    <xf numFmtId="0" fontId="25" fillId="5" borderId="24" applyNumberFormat="0" applyFont="0" applyAlignment="0" applyProtection="0"/>
    <xf numFmtId="0" fontId="25" fillId="5" borderId="24" applyNumberFormat="0" applyFont="0" applyAlignment="0" applyProtection="0"/>
    <xf numFmtId="0" fontId="25" fillId="5" borderId="24" applyNumberFormat="0" applyFont="0" applyAlignment="0" applyProtection="0"/>
    <xf numFmtId="0" fontId="25" fillId="5" borderId="24" applyNumberFormat="0" applyFont="0" applyAlignment="0" applyProtection="0"/>
    <xf numFmtId="0" fontId="25" fillId="5" borderId="24" applyNumberFormat="0" applyFont="0" applyAlignment="0" applyProtection="0"/>
    <xf numFmtId="0" fontId="25" fillId="5" borderId="24" applyNumberFormat="0" applyFont="0" applyAlignment="0" applyProtection="0"/>
    <xf numFmtId="0" fontId="25" fillId="5" borderId="24" applyNumberFormat="0" applyFont="0" applyAlignment="0" applyProtection="0"/>
    <xf numFmtId="0" fontId="25" fillId="5" borderId="24" applyNumberFormat="0" applyFont="0" applyAlignment="0" applyProtection="0"/>
    <xf numFmtId="0" fontId="25" fillId="5" borderId="24" applyNumberFormat="0" applyFont="0" applyAlignment="0" applyProtection="0"/>
    <xf numFmtId="9" fontId="4" fillId="0" borderId="0" applyFont="0" applyFill="0" applyBorder="0" applyAlignment="0" applyProtection="0"/>
    <xf numFmtId="176" fontId="23" fillId="0" borderId="0">
      <protection locked="0"/>
    </xf>
    <xf numFmtId="0" fontId="26" fillId="29" borderId="30">
      <alignment horizontal="center"/>
    </xf>
    <xf numFmtId="0" fontId="17" fillId="0" borderId="25" applyNumberFormat="0" applyFill="0" applyAlignment="0" applyProtection="0"/>
    <xf numFmtId="43" fontId="4" fillId="0" borderId="0" applyFont="0" applyFill="0" applyBorder="0" applyAlignment="0" applyProtection="0"/>
  </cellStyleXfs>
  <cellXfs count="107">
    <xf numFmtId="0" fontId="0" fillId="0" borderId="0" xfId="0"/>
    <xf numFmtId="0" fontId="4" fillId="0" borderId="0" xfId="0" applyFont="1"/>
    <xf numFmtId="0" fontId="6" fillId="2" borderId="0" xfId="0" applyFont="1" applyFill="1" applyAlignment="1">
      <alignment horizontal="left" vertical="center" wrapText="1"/>
    </xf>
    <xf numFmtId="17" fontId="6" fillId="2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166" fontId="7" fillId="0" borderId="0" xfId="0" applyNumberFormat="1" applyFont="1" applyAlignment="1">
      <alignment horizontal="center" vertical="center"/>
    </xf>
    <xf numFmtId="0" fontId="7" fillId="0" borderId="0" xfId="0" quotePrefix="1" applyFont="1" applyAlignment="1">
      <alignment horizontal="left" vertical="center"/>
    </xf>
    <xf numFmtId="0" fontId="5" fillId="0" borderId="0" xfId="0" applyFont="1" applyAlignment="1">
      <alignment horizontal="left"/>
    </xf>
    <xf numFmtId="166" fontId="7" fillId="3" borderId="1" xfId="0" applyNumberFormat="1" applyFont="1" applyFill="1" applyBorder="1" applyAlignment="1" applyProtection="1">
      <alignment horizontal="center" vertical="center"/>
      <protection locked="0"/>
    </xf>
    <xf numFmtId="166" fontId="7" fillId="4" borderId="0" xfId="0" applyNumberFormat="1" applyFont="1" applyFill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14" fillId="0" borderId="0" xfId="0" applyFont="1"/>
    <xf numFmtId="0" fontId="15" fillId="0" borderId="0" xfId="0" applyFont="1"/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6" fillId="2" borderId="0" xfId="0" applyFont="1" applyFill="1" applyAlignment="1">
      <alignment horizontal="center" vertical="center" wrapText="1"/>
    </xf>
    <xf numFmtId="0" fontId="16" fillId="0" borderId="0" xfId="0" quotePrefix="1" applyFont="1" applyAlignment="1">
      <alignment horizontal="left" vertical="center"/>
    </xf>
    <xf numFmtId="1" fontId="7" fillId="4" borderId="0" xfId="0" applyNumberFormat="1" applyFont="1" applyFill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7" fillId="3" borderId="1" xfId="0" applyNumberFormat="1" applyFont="1" applyFill="1" applyBorder="1" applyAlignment="1" applyProtection="1">
      <alignment horizontal="center" vertical="center"/>
      <protection locked="0"/>
    </xf>
    <xf numFmtId="2" fontId="4" fillId="0" borderId="9" xfId="0" applyNumberFormat="1" applyFont="1" applyBorder="1"/>
    <xf numFmtId="0" fontId="0" fillId="21" borderId="0" xfId="0" applyFill="1"/>
    <xf numFmtId="0" fontId="0" fillId="3" borderId="0" xfId="0" applyFill="1" applyAlignment="1">
      <alignment horizontal="left"/>
    </xf>
    <xf numFmtId="49" fontId="0" fillId="3" borderId="0" xfId="0" applyNumberFormat="1" applyFill="1"/>
    <xf numFmtId="49" fontId="0" fillId="0" borderId="0" xfId="0" applyNumberFormat="1"/>
    <xf numFmtId="14" fontId="0" fillId="0" borderId="0" xfId="0" applyNumberFormat="1"/>
    <xf numFmtId="0" fontId="19" fillId="22" borderId="0" xfId="0" applyFont="1" applyFill="1" applyAlignment="1">
      <alignment horizontal="center" vertical="center"/>
    </xf>
    <xf numFmtId="0" fontId="20" fillId="22" borderId="0" xfId="0" applyFont="1" applyFill="1" applyAlignment="1">
      <alignment horizontal="center" vertical="center"/>
    </xf>
    <xf numFmtId="1" fontId="0" fillId="0" borderId="0" xfId="0" applyNumberFormat="1"/>
    <xf numFmtId="0" fontId="2" fillId="0" borderId="0" xfId="14"/>
    <xf numFmtId="0" fontId="2" fillId="0" borderId="27" xfId="14" applyBorder="1"/>
    <xf numFmtId="0" fontId="2" fillId="0" borderId="29" xfId="14" applyBorder="1"/>
    <xf numFmtId="0" fontId="2" fillId="0" borderId="34" xfId="14" applyBorder="1"/>
    <xf numFmtId="0" fontId="2" fillId="0" borderId="35" xfId="14" applyBorder="1"/>
    <xf numFmtId="0" fontId="2" fillId="0" borderId="34" xfId="14" applyBorder="1" applyAlignment="1">
      <alignment horizontal="center"/>
    </xf>
    <xf numFmtId="0" fontId="2" fillId="0" borderId="27" xfId="14" quotePrefix="1" applyBorder="1" applyAlignment="1">
      <alignment horizontal="left" vertical="center" wrapText="1"/>
    </xf>
    <xf numFmtId="0" fontId="2" fillId="0" borderId="34" xfId="14" applyBorder="1" applyAlignment="1">
      <alignment horizontal="center" vertical="center"/>
    </xf>
    <xf numFmtId="0" fontId="2" fillId="0" borderId="27" xfId="14" applyBorder="1" applyAlignment="1">
      <alignment horizontal="center" vertical="center"/>
    </xf>
    <xf numFmtId="0" fontId="2" fillId="0" borderId="26" xfId="14" applyBorder="1" applyAlignment="1">
      <alignment horizontal="center"/>
    </xf>
    <xf numFmtId="0" fontId="2" fillId="0" borderId="27" xfId="14" applyBorder="1" applyAlignment="1">
      <alignment horizontal="center"/>
    </xf>
    <xf numFmtId="0" fontId="2" fillId="0" borderId="27" xfId="14" applyBorder="1" applyAlignment="1">
      <alignment wrapText="1"/>
    </xf>
    <xf numFmtId="166" fontId="2" fillId="0" borderId="27" xfId="14" applyNumberFormat="1" applyBorder="1" applyAlignment="1">
      <alignment horizontal="center"/>
    </xf>
    <xf numFmtId="0" fontId="2" fillId="0" borderId="27" xfId="14" applyBorder="1" applyAlignment="1">
      <alignment horizontal="left" wrapText="1"/>
    </xf>
    <xf numFmtId="166" fontId="2" fillId="0" borderId="27" xfId="14" applyNumberFormat="1" applyBorder="1" applyAlignment="1">
      <alignment horizontal="center" vertical="center"/>
    </xf>
    <xf numFmtId="0" fontId="2" fillId="0" borderId="27" xfId="14" applyBorder="1" applyAlignment="1">
      <alignment horizontal="left" vertical="center" wrapText="1"/>
    </xf>
    <xf numFmtId="0" fontId="2" fillId="0" borderId="34" xfId="14" applyFill="1" applyBorder="1" applyAlignment="1">
      <alignment horizontal="center" vertical="center"/>
    </xf>
    <xf numFmtId="0" fontId="27" fillId="0" borderId="0" xfId="0" applyFont="1" applyAlignment="1">
      <alignment horizontal="left" vertical="center" wrapText="1"/>
    </xf>
    <xf numFmtId="17" fontId="2" fillId="0" borderId="26" xfId="14" applyNumberFormat="1" applyBorder="1" applyAlignment="1">
      <alignment horizontal="center"/>
    </xf>
    <xf numFmtId="0" fontId="2" fillId="0" borderId="0" xfId="0" applyFont="1"/>
    <xf numFmtId="0" fontId="2" fillId="0" borderId="29" xfId="14" applyBorder="1" applyAlignment="1">
      <alignment horizontal="center" vertical="center"/>
    </xf>
    <xf numFmtId="17" fontId="2" fillId="0" borderId="26" xfId="14" applyNumberFormat="1" applyBorder="1" applyAlignment="1">
      <alignment horizontal="center" vertical="center"/>
    </xf>
    <xf numFmtId="17" fontId="2" fillId="0" borderId="28" xfId="14" applyNumberFormat="1" applyBorder="1" applyAlignment="1">
      <alignment horizontal="center" vertical="center"/>
    </xf>
    <xf numFmtId="0" fontId="2" fillId="0" borderId="35" xfId="14" applyBorder="1" applyAlignment="1">
      <alignment horizontal="center" vertical="center"/>
    </xf>
    <xf numFmtId="0" fontId="2" fillId="0" borderId="29" xfId="14" quotePrefix="1" applyBorder="1" applyAlignment="1">
      <alignment horizontal="left" vertical="center" wrapText="1"/>
    </xf>
    <xf numFmtId="17" fontId="2" fillId="0" borderId="36" xfId="14" applyNumberFormat="1" applyBorder="1" applyAlignment="1">
      <alignment horizontal="center" vertical="center"/>
    </xf>
    <xf numFmtId="0" fontId="2" fillId="0" borderId="37" xfId="14" applyBorder="1" applyAlignment="1">
      <alignment horizontal="center" vertical="center"/>
    </xf>
    <xf numFmtId="166" fontId="2" fillId="0" borderId="38" xfId="14" applyNumberFormat="1" applyBorder="1" applyAlignment="1">
      <alignment horizontal="center" vertical="center"/>
    </xf>
    <xf numFmtId="0" fontId="2" fillId="0" borderId="38" xfId="14" quotePrefix="1" applyBorder="1" applyAlignment="1">
      <alignment horizontal="left" vertical="center" wrapText="1"/>
    </xf>
    <xf numFmtId="0" fontId="2" fillId="0" borderId="38" xfId="14" applyBorder="1"/>
    <xf numFmtId="0" fontId="2" fillId="0" borderId="37" xfId="14" applyBorder="1"/>
    <xf numFmtId="17" fontId="2" fillId="0" borderId="39" xfId="14" applyNumberFormat="1" applyBorder="1" applyAlignment="1">
      <alignment horizontal="center" vertical="center"/>
    </xf>
    <xf numFmtId="0" fontId="2" fillId="0" borderId="40" xfId="14" quotePrefix="1" applyBorder="1" applyAlignment="1">
      <alignment horizontal="left" vertical="center" wrapText="1"/>
    </xf>
    <xf numFmtId="0" fontId="2" fillId="0" borderId="40" xfId="14" applyBorder="1"/>
    <xf numFmtId="0" fontId="2" fillId="0" borderId="9" xfId="14" applyBorder="1"/>
    <xf numFmtId="2" fontId="0" fillId="0" borderId="0" xfId="0" applyNumberFormat="1"/>
    <xf numFmtId="0" fontId="0" fillId="0" borderId="0" xfId="0" applyNumberFormat="1"/>
    <xf numFmtId="0" fontId="0" fillId="0" borderId="6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0" xfId="0" applyBorder="1"/>
    <xf numFmtId="0" fontId="0" fillId="0" borderId="5" xfId="0" applyBorder="1"/>
    <xf numFmtId="0" fontId="0" fillId="0" borderId="15" xfId="0" applyBorder="1"/>
    <xf numFmtId="0" fontId="0" fillId="0" borderId="16" xfId="0" applyBorder="1"/>
    <xf numFmtId="0" fontId="0" fillId="0" borderId="21" xfId="0" applyBorder="1"/>
    <xf numFmtId="0" fontId="2" fillId="0" borderId="0" xfId="0" applyFont="1" applyAlignment="1">
      <alignment horizontal="left" wrapText="1"/>
    </xf>
    <xf numFmtId="0" fontId="2" fillId="0" borderId="27" xfId="14" applyBorder="1" applyAlignment="1">
      <alignment horizontal="left" vertical="top" wrapText="1"/>
    </xf>
    <xf numFmtId="0" fontId="22" fillId="23" borderId="7" xfId="15" applyFont="1" applyFill="1" applyBorder="1" applyAlignment="1" applyProtection="1">
      <alignment horizontal="center" vertical="center"/>
    </xf>
    <xf numFmtId="0" fontId="22" fillId="23" borderId="9" xfId="15" applyFont="1" applyFill="1" applyBorder="1" applyAlignment="1" applyProtection="1">
      <alignment horizontal="center" vertical="center"/>
    </xf>
    <xf numFmtId="0" fontId="22" fillId="23" borderId="17" xfId="15" applyFont="1" applyFill="1" applyBorder="1" applyAlignment="1" applyProtection="1">
      <alignment horizontal="center" vertical="center"/>
    </xf>
    <xf numFmtId="0" fontId="22" fillId="23" borderId="31" xfId="15" applyFont="1" applyFill="1" applyBorder="1" applyAlignment="1" applyProtection="1">
      <alignment horizontal="center" vertical="center"/>
    </xf>
    <xf numFmtId="0" fontId="22" fillId="23" borderId="32" xfId="15" applyFont="1" applyFill="1" applyBorder="1" applyAlignment="1" applyProtection="1">
      <alignment horizontal="center" vertical="center"/>
    </xf>
    <xf numFmtId="0" fontId="22" fillId="23" borderId="33" xfId="15" applyFont="1" applyFill="1" applyBorder="1" applyAlignment="1" applyProtection="1">
      <alignment horizontal="center" vertical="center"/>
    </xf>
    <xf numFmtId="0" fontId="21" fillId="0" borderId="16" xfId="14" applyFont="1" applyBorder="1" applyAlignment="1">
      <alignment horizontal="center"/>
    </xf>
    <xf numFmtId="0" fontId="22" fillId="23" borderId="18" xfId="15" applyFont="1" applyFill="1" applyBorder="1" applyAlignment="1" applyProtection="1">
      <alignment horizontal="center" vertical="center"/>
    </xf>
    <xf numFmtId="0" fontId="22" fillId="23" borderId="19" xfId="15" applyFont="1" applyFill="1" applyBorder="1" applyAlignment="1" applyProtection="1">
      <alignment horizontal="center" vertical="center"/>
    </xf>
    <xf numFmtId="0" fontId="22" fillId="23" borderId="20" xfId="15" applyFont="1" applyFill="1" applyBorder="1" applyAlignment="1" applyProtection="1">
      <alignment horizontal="center" vertical="center"/>
    </xf>
  </cellXfs>
  <cellStyles count="68">
    <cellStyle name="20% - Ênfase1 2" xfId="16"/>
    <cellStyle name="20% - Ênfase1 3" xfId="17"/>
    <cellStyle name="20% - Ênfase2 2" xfId="18"/>
    <cellStyle name="20% - Ênfase2 3" xfId="19"/>
    <cellStyle name="20% - Ênfase3 2" xfId="20"/>
    <cellStyle name="20% - Ênfase3 3" xfId="21"/>
    <cellStyle name="20% - Ênfase4 2" xfId="22"/>
    <cellStyle name="20% - Ênfase4 3" xfId="23"/>
    <cellStyle name="20% - Ênfase5 2" xfId="24"/>
    <cellStyle name="20% - Ênfase6 2" xfId="25"/>
    <cellStyle name="40% - Ênfase1 2" xfId="26"/>
    <cellStyle name="40% - Ênfase2 2" xfId="27"/>
    <cellStyle name="40% - Ênfase3 2" xfId="28"/>
    <cellStyle name="40% - Ênfase3 3" xfId="29"/>
    <cellStyle name="40% - Ênfase4 2" xfId="30"/>
    <cellStyle name="40% - Ênfase5 2" xfId="31"/>
    <cellStyle name="40% - Ênfase6 2" xfId="32"/>
    <cellStyle name="60% - Ênfase3 2" xfId="33"/>
    <cellStyle name="60% - Ênfase4 2" xfId="34"/>
    <cellStyle name="60% - Ênfase6 2" xfId="35"/>
    <cellStyle name="c" xfId="1"/>
    <cellStyle name="Dia" xfId="36"/>
    <cellStyle name="Diseño" xfId="2"/>
    <cellStyle name="Encabez1" xfId="37"/>
    <cellStyle name="Encabez2" xfId="38"/>
    <cellStyle name="Estilo 1" xfId="3"/>
    <cellStyle name="Fijo" xfId="39"/>
    <cellStyle name="Financiero" xfId="40"/>
    <cellStyle name="h" xfId="4"/>
    <cellStyle name="Migliaia (0)_ACC" xfId="5"/>
    <cellStyle name="Millares [0]_Sueldos Confab" xfId="6"/>
    <cellStyle name="Millares_Fyg Siat" xfId="41"/>
    <cellStyle name="Moneda [0]_Sueldos Confab" xfId="7"/>
    <cellStyle name="Moneda_Sueldos Confab" xfId="8"/>
    <cellStyle name="Monetario" xfId="42"/>
    <cellStyle name="Normal" xfId="0" builtinId="0"/>
    <cellStyle name="Normal - Style1" xfId="9"/>
    <cellStyle name="Normal 10" xfId="43"/>
    <cellStyle name="Normal 2" xfId="14"/>
    <cellStyle name="Normal 2 2" xfId="44"/>
    <cellStyle name="Normal 3" xfId="45"/>
    <cellStyle name="Normal 3 2" xfId="46"/>
    <cellStyle name="Normal 4" xfId="47"/>
    <cellStyle name="Normal 4 2" xfId="48"/>
    <cellStyle name="Normal 5" xfId="49"/>
    <cellStyle name="Normal 7" xfId="50"/>
    <cellStyle name="Normal 8" xfId="51"/>
    <cellStyle name="Normal 9" xfId="52"/>
    <cellStyle name="Normal_Previo al 17 Sep01" xfId="15"/>
    <cellStyle name="Normale_Foglio1" xfId="10"/>
    <cellStyle name="Nota 2" xfId="53"/>
    <cellStyle name="Nota 2 2" xfId="54"/>
    <cellStyle name="Nota 3" xfId="55"/>
    <cellStyle name="Nota 3 2" xfId="56"/>
    <cellStyle name="Nota 4" xfId="57"/>
    <cellStyle name="Nota 4 2" xfId="58"/>
    <cellStyle name="Nota 5" xfId="59"/>
    <cellStyle name="Nota 5 2" xfId="60"/>
    <cellStyle name="Nota 6" xfId="61"/>
    <cellStyle name="Nota 6 2" xfId="62"/>
    <cellStyle name="Porcentagem 2" xfId="63"/>
    <cellStyle name="Porcentaje" xfId="64"/>
    <cellStyle name="r" xfId="65"/>
    <cellStyle name="Total 2" xfId="66"/>
    <cellStyle name="Valuta (0)_ACC" xfId="11"/>
    <cellStyle name="Ventas" xfId="12"/>
    <cellStyle name="Vírgula 2" xfId="67"/>
    <cellStyle name="標準_Book1" xfId="1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8E8E8"/>
      <rgbColor rgb="00808080"/>
      <rgbColor rgb="00CC0066"/>
      <rgbColor rgb="00000099"/>
      <rgbColor rgb="00009900"/>
      <rgbColor rgb="00660066"/>
      <rgbColor rgb="00999933"/>
      <rgbColor rgb="00990000"/>
      <rgbColor rgb="000066CC"/>
      <rgbColor rgb="00EAEAEA"/>
      <rgbColor rgb="00666666"/>
      <rgbColor rgb="00C0C0C0"/>
      <rgbColor rgb="00FFFF00"/>
      <rgbColor rgb="0000FFFF"/>
      <rgbColor rgb="00800080"/>
      <rgbColor rgb="00800000"/>
      <rgbColor rgb="00008080"/>
      <rgbColor rgb="00FAFAFA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0066"/>
      <color rgb="FF009800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4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99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Fab. 04</a:t>
            </a:r>
          </a:p>
        </c:rich>
      </c:tx>
      <c:layout>
        <c:manualLayout>
          <c:xMode val="edge"/>
          <c:yMode val="edge"/>
          <c:x val="0.41636198039347644"/>
          <c:y val="2.764757622455369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46220278816142"/>
          <c:y val="0.15919959498470662"/>
          <c:w val="0.88792370734548809"/>
          <c:h val="0.58301451669831672"/>
        </c:manualLayout>
      </c:layout>
      <c:barChart>
        <c:barDir val="col"/>
        <c:grouping val="stacked"/>
        <c:varyColors val="0"/>
        <c:ser>
          <c:idx val="0"/>
          <c:order val="2"/>
          <c:tx>
            <c:strRef>
              <c:f>Dados!$A$6</c:f>
              <c:strCache>
                <c:ptCount val="1"/>
                <c:pt idx="0">
                  <c:v>Acumulado</c:v>
                </c:pt>
              </c:strCache>
            </c:strRef>
          </c:tx>
          <c:spPr>
            <a:solidFill>
              <a:srgbClr val="CC0066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Pt>
            <c:idx val="18"/>
            <c:invertIfNegative val="0"/>
            <c:bubble3D val="0"/>
            <c:spPr>
              <a:solidFill>
                <a:srgbClr val="000099"/>
              </a:solidFill>
              <a:ln w="3175">
                <a:solidFill>
                  <a:srgbClr val="FFFFFF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0"/>
                  <c:y val="-0.16563635979818878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2.0892446208032809E-17"/>
                  <c:y val="-0.2328214871264416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4.1784892416065617E-17"/>
                  <c:y val="-0.2325298881875690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-0.26022306192959127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"/>
                  <c:y val="-0.17838621378761971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2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3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6666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4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5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6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7"/>
              <c:layout>
                <c:manualLayout>
                  <c:x val="-2.2792022792022791E-3"/>
                  <c:y val="-0.2284308965400772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0"/>
                  <c:y val="-0.26424239865459176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9900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Dados!$B$3:$AA$3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Dados!$B$6:$AA$6</c:f>
              <c:numCache>
                <c:formatCode>0.0</c:formatCode>
                <c:ptCount val="19"/>
                <c:pt idx="0">
                  <c:v>47.4</c:v>
                </c:pt>
                <c:pt idx="1">
                  <c:v>72.900000000000006</c:v>
                </c:pt>
                <c:pt idx="2">
                  <c:v>72.8</c:v>
                </c:pt>
                <c:pt idx="3">
                  <c:v>82.3</c:v>
                </c:pt>
                <c:pt idx="4">
                  <c:v>53</c:v>
                </c:pt>
                <c:pt idx="17">
                  <c:v>66.3</c:v>
                </c:pt>
                <c:pt idx="18">
                  <c:v>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7270696"/>
        <c:axId val="287271088"/>
      </c:barChart>
      <c:lineChart>
        <c:grouping val="standard"/>
        <c:varyColors val="0"/>
        <c:ser>
          <c:idx val="46"/>
          <c:order val="0"/>
          <c:tx>
            <c:strRef>
              <c:f>Dados!$A$4</c:f>
              <c:strCache>
                <c:ptCount val="1"/>
                <c:pt idx="0">
                  <c:v>Real  16/17</c:v>
                </c:pt>
              </c:strCache>
            </c:strRef>
          </c:tx>
          <c:spPr>
            <a:ln w="25400">
              <a:solidFill>
                <a:srgbClr val="CC0066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C0066"/>
              </a:solidFill>
              <a:ln>
                <a:solidFill>
                  <a:srgbClr val="CC0066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rgbClr val="CC0066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Dados!$B$3:$AA$3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Dados!$B$4:$AA$4</c:f>
              <c:numCache>
                <c:formatCode>0.0</c:formatCode>
                <c:ptCount val="19"/>
                <c:pt idx="5">
                  <c:v>96.2</c:v>
                </c:pt>
                <c:pt idx="6">
                  <c:v>59.5</c:v>
                </c:pt>
                <c:pt idx="7">
                  <c:v>96.7</c:v>
                </c:pt>
                <c:pt idx="8">
                  <c:v>74.5</c:v>
                </c:pt>
                <c:pt idx="9">
                  <c:v>83.3</c:v>
                </c:pt>
                <c:pt idx="10">
                  <c:v>34</c:v>
                </c:pt>
                <c:pt idx="11">
                  <c:v>67.599999999999994</c:v>
                </c:pt>
                <c:pt idx="12">
                  <c:v>33.9</c:v>
                </c:pt>
              </c:numCache>
            </c:numRef>
          </c:val>
          <c:smooth val="0"/>
        </c:ser>
        <c:ser>
          <c:idx val="43"/>
          <c:order val="1"/>
          <c:tx>
            <c:strRef>
              <c:f>Dados!$A$5</c:f>
              <c:strCache>
                <c:ptCount val="1"/>
                <c:pt idx="0">
                  <c:v>Meta  16/17</c:v>
                </c:pt>
              </c:strCache>
            </c:strRef>
          </c:tx>
          <c:spPr>
            <a:ln w="25400">
              <a:solidFill>
                <a:srgbClr val="000099"/>
              </a:solidFill>
              <a:prstDash val="solid"/>
            </a:ln>
          </c:spPr>
          <c:marker>
            <c:symbol val="none"/>
          </c:marker>
          <c:dPt>
            <c:idx val="4"/>
            <c:marker>
              <c:symbol val="square"/>
              <c:size val="6"/>
              <c:spPr>
                <a:solidFill>
                  <a:srgbClr val="000099"/>
                </a:solidFill>
                <a:ln>
                  <a:solidFill>
                    <a:srgbClr val="000099"/>
                  </a:solidFill>
                  <a:prstDash val="solid"/>
                </a:ln>
              </c:spPr>
            </c:marker>
            <c:bubble3D val="0"/>
          </c:dPt>
          <c:dLbls>
            <c:dLbl>
              <c:idx val="1"/>
              <c:layout>
                <c:manualLayout>
                  <c:x val="-1.4523630557340961E-2"/>
                  <c:y val="1.3349173889502561E-2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25" b="0" i="0" u="none" strike="noStrike" baseline="0">
                    <a:solidFill>
                      <a:srgbClr val="000099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Dados!$B$3:$AA$3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Dados!$B$5:$AA$5</c:f>
              <c:numCache>
                <c:formatCode>0.0</c:formatCode>
                <c:ptCount val="19"/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</c:numCache>
            </c:numRef>
          </c:val>
          <c:smooth val="0"/>
        </c:ser>
        <c:ser>
          <c:idx val="1"/>
          <c:order val="3"/>
          <c:tx>
            <c:strRef>
              <c:f>Dados!$A$7</c:f>
              <c:strCache>
                <c:ptCount val="1"/>
                <c:pt idx="0">
                  <c:v>Acum Meta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20"/>
            <c:spPr>
              <a:solidFill>
                <a:srgbClr val="000099"/>
              </a:solidFill>
              <a:ln>
                <a:solidFill>
                  <a:srgbClr val="000099"/>
                </a:solidFill>
                <a:prstDash val="solid"/>
              </a:ln>
            </c:spPr>
          </c:marker>
          <c:cat>
            <c:strRef>
              <c:f>Dados!$B$3:$AA$3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Dados!$B$7:$AA$7</c:f>
              <c:numCache>
                <c:formatCode>0.0</c:formatCode>
                <c:ptCount val="19"/>
                <c:pt idx="0">
                  <c:v>97</c:v>
                </c:pt>
                <c:pt idx="1">
                  <c:v>97</c:v>
                </c:pt>
                <c:pt idx="2">
                  <c:v>97</c:v>
                </c:pt>
                <c:pt idx="3">
                  <c:v>80</c:v>
                </c:pt>
                <c:pt idx="4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270696"/>
        <c:axId val="287271088"/>
      </c:lineChart>
      <c:catAx>
        <c:axId val="287270696"/>
        <c:scaling>
          <c:orientation val="minMax"/>
        </c:scaling>
        <c:delete val="0"/>
        <c:axPos val="b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25400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2872710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87271088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r>
                  <a:rPr lang="pt-BR"/>
                  <a:t>% de Execução</a:t>
                </a:r>
              </a:p>
            </c:rich>
          </c:tx>
          <c:layout>
            <c:manualLayout>
              <c:xMode val="edge"/>
              <c:yMode val="edge"/>
              <c:x val="2.0411961325347151E-2"/>
              <c:y val="0.3711069360297791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969696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287270696"/>
        <c:crosses val="autoZero"/>
        <c:crossBetween val="between"/>
        <c:maj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24834654642528659"/>
          <c:y val="0.92376292105577962"/>
          <c:w val="0.48478596585683204"/>
          <c:h val="5.606665118602804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pt-BR" sz="900" b="0" i="0" u="none" strike="noStrike" kern="1200" baseline="0">
              <a:solidFill>
                <a:srgbClr val="000000"/>
              </a:solidFill>
              <a:latin typeface="Frutiger 55 Roman"/>
              <a:ea typeface="Frutiger 55 Roman"/>
              <a:cs typeface="Frutiger 55 Roman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" footer="0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75" b="1" i="0" u="none" strike="noStrike" baseline="0">
                <a:solidFill>
                  <a:srgbClr val="0099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Fab. 01</a:t>
            </a:r>
          </a:p>
        </c:rich>
      </c:tx>
      <c:layout>
        <c:manualLayout>
          <c:xMode val="edge"/>
          <c:yMode val="edge"/>
          <c:x val="0.42480739472783302"/>
          <c:y val="2.42103699301738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53540587219343"/>
          <c:y val="0.19874664279319607"/>
          <c:w val="0.88255613126079446"/>
          <c:h val="0.54521038495971352"/>
        </c:manualLayout>
      </c:layout>
      <c:barChart>
        <c:barDir val="col"/>
        <c:grouping val="stacked"/>
        <c:varyColors val="0"/>
        <c:ser>
          <c:idx val="0"/>
          <c:order val="2"/>
          <c:tx>
            <c:strRef>
              <c:f>Dados!$A$14</c:f>
              <c:strCache>
                <c:ptCount val="1"/>
                <c:pt idx="0">
                  <c:v>Acumulado</c:v>
                </c:pt>
              </c:strCache>
            </c:strRef>
          </c:tx>
          <c:spPr>
            <a:solidFill>
              <a:srgbClr val="CC0066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Pt>
            <c:idx val="18"/>
            <c:invertIfNegative val="0"/>
            <c:bubble3D val="0"/>
            <c:spPr>
              <a:solidFill>
                <a:srgbClr val="000099"/>
              </a:solidFill>
              <a:ln w="3175">
                <a:solidFill>
                  <a:srgbClr val="FFFFFF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1.6547757617254365E-3"/>
                  <c:y val="-0.29581198576593021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4.1554718703640308E-3"/>
                  <c:y val="-0.29341058782746499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3.2109551523450872E-3"/>
                  <c:y val="-0.23176885908129408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4.8043820609380353E-3"/>
                  <c:y val="-0.2601784210935897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5.2926166837840918E-3"/>
                  <c:y val="-0.2569877821876039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2.9707912282955825E-3"/>
                  <c:y val="0.931960608773500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>
                <c:manualLayout>
                  <c:x val="3.152606237573533E-3"/>
                  <c:y val="0.931960608773500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layout>
                <c:manualLayout>
                  <c:x val="3.3344212468513728E-3"/>
                  <c:y val="0.931960608773500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6666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layout>
                <c:manualLayout>
                  <c:x val="1.7891205393762207E-3"/>
                  <c:y val="0.931960608773500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layout>
                <c:manualLayout>
                  <c:x val="-3.2104116016049146E-3"/>
                  <c:y val="0.931960608773500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layout>
                <c:manualLayout>
                  <c:x val="4.2563484117901933E-4"/>
                  <c:y val="0.931960608773500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7"/>
              <c:layout>
                <c:manualLayout>
                  <c:x val="-1.6449161246148579E-3"/>
                  <c:y val="-0.2006984032656295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1.4374985735478717E-3"/>
                  <c:y val="-0.24745604912593469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layout>
                <c:manualLayout>
                  <c:x val="-9.1091094622408497E-2"/>
                  <c:y val="-0.1049903595921559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9900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Dados!$B$11:$AA$11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Dados!$B$14:$AA$14</c:f>
              <c:numCache>
                <c:formatCode>0.0</c:formatCode>
                <c:ptCount val="19"/>
                <c:pt idx="0">
                  <c:v>93.5</c:v>
                </c:pt>
                <c:pt idx="1">
                  <c:v>95.9</c:v>
                </c:pt>
                <c:pt idx="2">
                  <c:v>75.400000000000006</c:v>
                </c:pt>
                <c:pt idx="3">
                  <c:v>86.8</c:v>
                </c:pt>
                <c:pt idx="4">
                  <c:v>84.3</c:v>
                </c:pt>
                <c:pt idx="17">
                  <c:v>60.3</c:v>
                </c:pt>
                <c:pt idx="18">
                  <c:v>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7271872"/>
        <c:axId val="284096608"/>
      </c:barChart>
      <c:lineChart>
        <c:grouping val="standard"/>
        <c:varyColors val="0"/>
        <c:ser>
          <c:idx val="46"/>
          <c:order val="0"/>
          <c:tx>
            <c:strRef>
              <c:f>Dados!$A$12</c:f>
              <c:strCache>
                <c:ptCount val="1"/>
                <c:pt idx="0">
                  <c:v>Real  16/17</c:v>
                </c:pt>
              </c:strCache>
            </c:strRef>
          </c:tx>
          <c:spPr>
            <a:ln w="25400">
              <a:solidFill>
                <a:srgbClr val="CC0066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C0066"/>
              </a:solidFill>
              <a:ln>
                <a:solidFill>
                  <a:srgbClr val="CC0066"/>
                </a:solidFill>
                <a:prstDash val="solid"/>
              </a:ln>
            </c:spPr>
          </c:marker>
          <c:dLbls>
            <c:dLbl>
              <c:idx val="5"/>
              <c:layout>
                <c:manualLayout>
                  <c:x val="-4.6376811594202897E-3"/>
                  <c:y val="-1.79694519317161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6.95652173913052E-3"/>
                  <c:y val="-6.588722928139726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4.1739130434782612E-2"/>
                  <c:y val="-3.59389038634321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1.3913043478260955E-2"/>
                  <c:y val="-3.9532794249775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9.2753623188405795E-3"/>
                  <c:y val="-3.23450134770889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6.95652173913052E-3"/>
                  <c:y val="-2.87511230907457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rgbClr val="CC0066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strRef>
              <c:f>Dados!$B$11:$AA$11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Dados!$B$12:$AA$12</c:f>
              <c:numCache>
                <c:formatCode>0.0</c:formatCode>
                <c:ptCount val="19"/>
                <c:pt idx="5">
                  <c:v>81.599999999999994</c:v>
                </c:pt>
                <c:pt idx="6">
                  <c:v>29.7</c:v>
                </c:pt>
                <c:pt idx="7">
                  <c:v>98.2</c:v>
                </c:pt>
                <c:pt idx="8">
                  <c:v>21.9</c:v>
                </c:pt>
                <c:pt idx="9">
                  <c:v>97.6</c:v>
                </c:pt>
                <c:pt idx="10">
                  <c:v>97.7</c:v>
                </c:pt>
                <c:pt idx="11">
                  <c:v>92.5</c:v>
                </c:pt>
                <c:pt idx="12">
                  <c:v>2.1</c:v>
                </c:pt>
              </c:numCache>
            </c:numRef>
          </c:val>
          <c:smooth val="0"/>
        </c:ser>
        <c:ser>
          <c:idx val="43"/>
          <c:order val="1"/>
          <c:tx>
            <c:strRef>
              <c:f>Dados!$A$13</c:f>
              <c:strCache>
                <c:ptCount val="1"/>
                <c:pt idx="0">
                  <c:v>Meta  16/17</c:v>
                </c:pt>
              </c:strCache>
            </c:strRef>
          </c:tx>
          <c:spPr>
            <a:ln w="25400">
              <a:solidFill>
                <a:srgbClr val="000099"/>
              </a:solidFill>
              <a:prstDash val="solid"/>
            </a:ln>
          </c:spPr>
          <c:marker>
            <c:symbol val="none"/>
          </c:marker>
          <c:dPt>
            <c:idx val="4"/>
            <c:marker>
              <c:symbol val="square"/>
              <c:size val="6"/>
              <c:spPr>
                <a:solidFill>
                  <a:srgbClr val="000099"/>
                </a:solidFill>
                <a:ln>
                  <a:solidFill>
                    <a:srgbClr val="000099"/>
                  </a:solidFill>
                  <a:prstDash val="solid"/>
                </a:ln>
              </c:spPr>
            </c:marker>
            <c:bubble3D val="0"/>
          </c:dPt>
          <c:dLbls>
            <c:dLbl>
              <c:idx val="1"/>
              <c:layout>
                <c:manualLayout>
                  <c:x val="-1.5003014495519839E-2"/>
                  <c:y val="1.3428827215756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99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Dados!$B$11:$AA$11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Dados!$B$13:$AA$13</c:f>
              <c:numCache>
                <c:formatCode>0.0</c:formatCode>
                <c:ptCount val="19"/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</c:numCache>
            </c:numRef>
          </c:val>
          <c:smooth val="0"/>
        </c:ser>
        <c:ser>
          <c:idx val="1"/>
          <c:order val="3"/>
          <c:tx>
            <c:strRef>
              <c:f>Dados!$A$15</c:f>
              <c:strCache>
                <c:ptCount val="1"/>
                <c:pt idx="0">
                  <c:v>Acum Meta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20"/>
            <c:spPr>
              <a:solidFill>
                <a:srgbClr val="000099"/>
              </a:solidFill>
              <a:ln>
                <a:solidFill>
                  <a:srgbClr val="000099"/>
                </a:solidFill>
                <a:prstDash val="solid"/>
              </a:ln>
            </c:spPr>
          </c:marker>
          <c:cat>
            <c:strRef>
              <c:f>Dados!$B$11:$AA$11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Dados!$B$15:$AA$15</c:f>
              <c:numCache>
                <c:formatCode>0.0</c:formatCode>
                <c:ptCount val="19"/>
                <c:pt idx="0">
                  <c:v>97</c:v>
                </c:pt>
                <c:pt idx="1">
                  <c:v>97</c:v>
                </c:pt>
                <c:pt idx="2">
                  <c:v>97</c:v>
                </c:pt>
                <c:pt idx="3">
                  <c:v>80</c:v>
                </c:pt>
                <c:pt idx="4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271872"/>
        <c:axId val="284096608"/>
      </c:lineChart>
      <c:catAx>
        <c:axId val="287271872"/>
        <c:scaling>
          <c:orientation val="minMax"/>
        </c:scaling>
        <c:delete val="0"/>
        <c:axPos val="b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25400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2840966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84096608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r>
                  <a:rPr lang="pt-BR"/>
                  <a:t>% de Execução</a:t>
                </a:r>
              </a:p>
            </c:rich>
          </c:tx>
          <c:layout>
            <c:manualLayout>
              <c:xMode val="edge"/>
              <c:yMode val="edge"/>
              <c:x val="2.417966449845943E-2"/>
              <c:y val="0.3625782626228325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969696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287271872"/>
        <c:crosses val="autoZero"/>
        <c:crossBetween val="between"/>
        <c:maj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27806568526760239"/>
          <c:y val="0.9319605803991482"/>
          <c:w val="0.49222795846171402"/>
          <c:h val="5.640115740249451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pt-BR" sz="900" b="0" i="0" u="none" strike="noStrike" kern="1200" baseline="0">
              <a:solidFill>
                <a:srgbClr val="000000"/>
              </a:solidFill>
              <a:latin typeface="Frutiger 55 Roman"/>
              <a:ea typeface="Frutiger 55 Roman"/>
              <a:cs typeface="Frutiger 55 Roman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99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Helico</a:t>
            </a:r>
            <a:r>
              <a:rPr lang="pt-BR" baseline="0"/>
              <a:t> II</a:t>
            </a:r>
            <a:endParaRPr lang="pt-BR"/>
          </a:p>
        </c:rich>
      </c:tx>
      <c:layout>
        <c:manualLayout>
          <c:xMode val="edge"/>
          <c:yMode val="edge"/>
          <c:x val="0.40907724418406743"/>
          <c:y val="2.06164795438306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865874363327674"/>
          <c:y val="0.19606087735004477"/>
          <c:w val="0.88455008488964348"/>
          <c:h val="0.54521038495971352"/>
        </c:manualLayout>
      </c:layout>
      <c:barChart>
        <c:barDir val="col"/>
        <c:grouping val="stacked"/>
        <c:varyColors val="0"/>
        <c:ser>
          <c:idx val="0"/>
          <c:order val="2"/>
          <c:tx>
            <c:strRef>
              <c:f>Dados!$A$22</c:f>
              <c:strCache>
                <c:ptCount val="1"/>
                <c:pt idx="0">
                  <c:v>Acumulado</c:v>
                </c:pt>
              </c:strCache>
            </c:strRef>
          </c:tx>
          <c:spPr>
            <a:solidFill>
              <a:srgbClr val="CC0066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Pt>
            <c:idx val="18"/>
            <c:invertIfNegative val="0"/>
            <c:bubble3D val="0"/>
            <c:spPr>
              <a:solidFill>
                <a:srgbClr val="000099"/>
              </a:solidFill>
              <a:ln w="3175">
                <a:solidFill>
                  <a:srgbClr val="FFFFFF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1.1285243828985316E-3"/>
                  <c:y val="-0.29083021553528687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2.1115411866451158E-3"/>
                  <c:y val="-0.28773713024239145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1.3967414741211733E-3"/>
                  <c:y val="-0.28929224979979457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6.222174446624206E-4"/>
                  <c:y val="-0.2471625952416325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1.76560694418313E-3"/>
                  <c:y val="-0.25304808597038581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2.8166914204750507E-3"/>
                  <c:y val="0.931960608773500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>
                <c:manualLayout>
                  <c:x val="2.1018917079511086E-3"/>
                  <c:y val="0.931960608773500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layout>
                <c:manualLayout>
                  <c:x val="1.3869138502744956E-3"/>
                  <c:y val="0.931960608773500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6666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layout>
                <c:manualLayout>
                  <c:x val="2.3699070070205184E-3"/>
                  <c:y val="0.931960608773500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layout>
                <c:manualLayout>
                  <c:x val="1.6551072944965758E-3"/>
                  <c:y val="0.9319606087735004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layout>
                <c:manualLayout>
                  <c:x val="2.6379223060899282E-3"/>
                  <c:y val="0.931960608773500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7"/>
              <c:layout>
                <c:manualLayout>
                  <c:x val="-3.689948312775063E-3"/>
                  <c:y val="-0.24784118966261295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1.5520500210511228E-3"/>
                  <c:y val="-0.24204597066876077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layout>
                <c:manualLayout>
                  <c:x val="-9.0862428375955498E-2"/>
                  <c:y val="-0.10775652325566026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9900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Dados!$B$19:$AA$19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Dados!$B$22:$AA$22</c:f>
              <c:numCache>
                <c:formatCode>0.0</c:formatCode>
                <c:ptCount val="19"/>
                <c:pt idx="0">
                  <c:v>100</c:v>
                </c:pt>
                <c:pt idx="2">
                  <c:v>100</c:v>
                </c:pt>
                <c:pt idx="3">
                  <c:v>78.900000000000006</c:v>
                </c:pt>
                <c:pt idx="4">
                  <c:v>84.7</c:v>
                </c:pt>
                <c:pt idx="17">
                  <c:v>69.900000000000006</c:v>
                </c:pt>
                <c:pt idx="18">
                  <c:v>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24873968"/>
        <c:axId val="224874360"/>
      </c:barChart>
      <c:lineChart>
        <c:grouping val="standard"/>
        <c:varyColors val="0"/>
        <c:ser>
          <c:idx val="46"/>
          <c:order val="0"/>
          <c:tx>
            <c:strRef>
              <c:f>Dados!$A$20</c:f>
              <c:strCache>
                <c:ptCount val="1"/>
                <c:pt idx="0">
                  <c:v>Real  16/17</c:v>
                </c:pt>
              </c:strCache>
            </c:strRef>
          </c:tx>
          <c:spPr>
            <a:ln w="25400">
              <a:solidFill>
                <a:srgbClr val="CC0066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C0066"/>
              </a:solidFill>
              <a:ln>
                <a:solidFill>
                  <a:srgbClr val="CC0066"/>
                </a:solidFill>
                <a:prstDash val="solid"/>
              </a:ln>
            </c:spPr>
          </c:marker>
          <c:dLbls>
            <c:dLbl>
              <c:idx val="5"/>
              <c:layout>
                <c:manualLayout>
                  <c:x val="-6.8259385665529011E-3"/>
                  <c:y val="2.51572327044024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rgbClr val="CC0066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strRef>
              <c:f>Dados!$B$19:$AA$19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Dados!$B$20:$AA$20</c:f>
              <c:numCache>
                <c:formatCode>0.0</c:formatCode>
                <c:ptCount val="19"/>
                <c:pt idx="5">
                  <c:v>77.400000000000006</c:v>
                </c:pt>
                <c:pt idx="6">
                  <c:v>97.1</c:v>
                </c:pt>
                <c:pt idx="7">
                  <c:v>71.8</c:v>
                </c:pt>
                <c:pt idx="8">
                  <c:v>100</c:v>
                </c:pt>
                <c:pt idx="12">
                  <c:v>21.9</c:v>
                </c:pt>
              </c:numCache>
            </c:numRef>
          </c:val>
          <c:smooth val="0"/>
        </c:ser>
        <c:ser>
          <c:idx val="43"/>
          <c:order val="1"/>
          <c:tx>
            <c:strRef>
              <c:f>Dados!$A$21</c:f>
              <c:strCache>
                <c:ptCount val="1"/>
                <c:pt idx="0">
                  <c:v>Meta  16/17</c:v>
                </c:pt>
              </c:strCache>
            </c:strRef>
          </c:tx>
          <c:spPr>
            <a:ln w="25400">
              <a:solidFill>
                <a:srgbClr val="000099"/>
              </a:solidFill>
              <a:prstDash val="solid"/>
            </a:ln>
          </c:spPr>
          <c:marker>
            <c:symbol val="none"/>
          </c:marker>
          <c:dPt>
            <c:idx val="4"/>
            <c:marker>
              <c:symbol val="square"/>
              <c:size val="6"/>
              <c:spPr>
                <a:solidFill>
                  <a:srgbClr val="000099"/>
                </a:solidFill>
                <a:ln>
                  <a:solidFill>
                    <a:srgbClr val="000099"/>
                  </a:solidFill>
                  <a:prstDash val="solid"/>
                </a:ln>
              </c:spPr>
            </c:marker>
            <c:bubble3D val="0"/>
          </c:dPt>
          <c:dLbls>
            <c:dLbl>
              <c:idx val="1"/>
              <c:layout>
                <c:manualLayout>
                  <c:x val="-1.4364625502292203E-2"/>
                  <c:y val="1.3428827215756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99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Dados!$B$19:$AA$19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Dados!$B$21:$AA$21</c:f>
              <c:numCache>
                <c:formatCode>0.0</c:formatCode>
                <c:ptCount val="19"/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</c:numCache>
            </c:numRef>
          </c:val>
          <c:smooth val="0"/>
        </c:ser>
        <c:ser>
          <c:idx val="1"/>
          <c:order val="3"/>
          <c:tx>
            <c:strRef>
              <c:f>Dados!$A$23</c:f>
              <c:strCache>
                <c:ptCount val="1"/>
                <c:pt idx="0">
                  <c:v>Acum Meta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20"/>
            <c:spPr>
              <a:solidFill>
                <a:srgbClr val="000099"/>
              </a:solidFill>
              <a:ln>
                <a:solidFill>
                  <a:srgbClr val="000099"/>
                </a:solidFill>
                <a:prstDash val="solid"/>
              </a:ln>
            </c:spPr>
          </c:marker>
          <c:cat>
            <c:strRef>
              <c:f>Dados!$B$19:$AA$19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Dados!$B$23:$AA$23</c:f>
              <c:numCache>
                <c:formatCode>0.0</c:formatCode>
                <c:ptCount val="19"/>
                <c:pt idx="0">
                  <c:v>97</c:v>
                </c:pt>
                <c:pt idx="1">
                  <c:v>97</c:v>
                </c:pt>
                <c:pt idx="2">
                  <c:v>97</c:v>
                </c:pt>
                <c:pt idx="3">
                  <c:v>80</c:v>
                </c:pt>
                <c:pt idx="4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873968"/>
        <c:axId val="224874360"/>
      </c:lineChart>
      <c:catAx>
        <c:axId val="224873968"/>
        <c:scaling>
          <c:orientation val="minMax"/>
        </c:scaling>
        <c:delete val="0"/>
        <c:axPos val="b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25400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2248743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24874360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r>
                  <a:rPr lang="pt-BR"/>
                  <a:t>% de Execução</a:t>
                </a:r>
              </a:p>
            </c:rich>
          </c:tx>
          <c:layout>
            <c:manualLayout>
              <c:xMode val="edge"/>
              <c:yMode val="edge"/>
              <c:x val="2.3769136366486612E-2"/>
              <c:y val="0.3598924662719046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969696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224873968"/>
        <c:crosses val="autoZero"/>
        <c:crossBetween val="between"/>
        <c:maj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28183368717135615"/>
          <c:y val="0.934646376750076"/>
          <c:w val="0.48387089839026098"/>
          <c:h val="5.640115740249451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pt-BR" sz="900" b="0" i="0" u="none" strike="noStrike" kern="1200" baseline="0">
              <a:solidFill>
                <a:srgbClr val="000000"/>
              </a:solidFill>
              <a:latin typeface="Frutiger 55 Roman"/>
              <a:ea typeface="Frutiger 55 Roman"/>
              <a:cs typeface="Frutiger 55 Roman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99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Fab. 06</a:t>
            </a:r>
          </a:p>
        </c:rich>
      </c:tx>
      <c:layout>
        <c:manualLayout>
          <c:xMode val="edge"/>
          <c:yMode val="edge"/>
          <c:x val="0.42119009096465682"/>
          <c:y val="3.52741602122622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07045353931979"/>
          <c:y val="0.19783197831978319"/>
          <c:w val="0.88449320917042151"/>
          <c:h val="0.54200542005420049"/>
        </c:manualLayout>
      </c:layout>
      <c:barChart>
        <c:barDir val="col"/>
        <c:grouping val="stacked"/>
        <c:varyColors val="0"/>
        <c:ser>
          <c:idx val="0"/>
          <c:order val="2"/>
          <c:tx>
            <c:strRef>
              <c:f>Dados!$A$38</c:f>
              <c:strCache>
                <c:ptCount val="1"/>
                <c:pt idx="0">
                  <c:v>Acumulado</c:v>
                </c:pt>
              </c:strCache>
            </c:strRef>
          </c:tx>
          <c:spPr>
            <a:solidFill>
              <a:srgbClr val="CC0066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Pt>
            <c:idx val="18"/>
            <c:invertIfNegative val="0"/>
            <c:bubble3D val="0"/>
            <c:spPr>
              <a:solidFill>
                <a:srgbClr val="000099"/>
              </a:solidFill>
              <a:ln w="3175">
                <a:solidFill>
                  <a:srgbClr val="FFFFFF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-2.2275554596771292E-3"/>
                  <c:y val="-0.28616733535011118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2.7657929745083234E-3"/>
                  <c:y val="-0.26159983408068543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3.88271671520512E-3"/>
                  <c:y val="-0.24299455756041397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8.9871642756984144E-3"/>
                  <c:y val="-0.29656761569653928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3.0478553194548891E-3"/>
                  <c:y val="-0.27235684095346391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1.4792475028799323E-3"/>
                  <c:y val="0.9322493224932249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>
                <c:manualLayout>
                  <c:x val="2.6452458126015057E-3"/>
                  <c:y val="0.9322493224932249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layout>
                <c:manualLayout>
                  <c:x val="2.1071970375475934E-3"/>
                  <c:y val="0.9322493224932249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6666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layout>
                <c:manualLayout>
                  <c:x val="1.5689695107173355E-3"/>
                  <c:y val="0.9322493224932249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layout>
                <c:manualLayout>
                  <c:x val="-2.3777096892166963E-3"/>
                  <c:y val="0.9322493224932249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layout>
                <c:manualLayout>
                  <c:x val="4.9251445705681979E-4"/>
                  <c:y val="0.9322493224932249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7"/>
              <c:layout>
                <c:manualLayout>
                  <c:x val="-5.1303347355553157E-3"/>
                  <c:y val="-0.15179929484291302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3.3937367418113832E-3"/>
                  <c:y val="-0.23980175502585341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9900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Dados!$B$35:$AA$35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Dados!$B$38:$AA$38</c:f>
              <c:numCache>
                <c:formatCode>0.0</c:formatCode>
                <c:ptCount val="19"/>
                <c:pt idx="0">
                  <c:v>99</c:v>
                </c:pt>
                <c:pt idx="1">
                  <c:v>87.8</c:v>
                </c:pt>
                <c:pt idx="2">
                  <c:v>79.7</c:v>
                </c:pt>
                <c:pt idx="3">
                  <c:v>99.6</c:v>
                </c:pt>
                <c:pt idx="4">
                  <c:v>92.5</c:v>
                </c:pt>
                <c:pt idx="17">
                  <c:v>45.5</c:v>
                </c:pt>
                <c:pt idx="18">
                  <c:v>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4300776"/>
        <c:axId val="283260080"/>
      </c:barChart>
      <c:lineChart>
        <c:grouping val="standard"/>
        <c:varyColors val="0"/>
        <c:ser>
          <c:idx val="46"/>
          <c:order val="0"/>
          <c:tx>
            <c:strRef>
              <c:f>Dados!$A$36</c:f>
              <c:strCache>
                <c:ptCount val="1"/>
                <c:pt idx="0">
                  <c:v>Real  16/17</c:v>
                </c:pt>
              </c:strCache>
            </c:strRef>
          </c:tx>
          <c:spPr>
            <a:ln w="25400">
              <a:solidFill>
                <a:srgbClr val="CC0066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C0066"/>
              </a:solidFill>
              <a:ln>
                <a:solidFill>
                  <a:srgbClr val="CC0066"/>
                </a:solidFill>
                <a:prstDash val="solid"/>
              </a:ln>
            </c:spPr>
          </c:marker>
          <c:cat>
            <c:strRef>
              <c:f>Dados!$B$35:$AA$35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Dados!$B$36:$AA$36</c:f>
              <c:numCache>
                <c:formatCode>0.0</c:formatCode>
                <c:ptCount val="19"/>
                <c:pt idx="7">
                  <c:v>0</c:v>
                </c:pt>
                <c:pt idx="11">
                  <c:v>100</c:v>
                </c:pt>
                <c:pt idx="12">
                  <c:v>0</c:v>
                </c:pt>
              </c:numCache>
            </c:numRef>
          </c:val>
          <c:smooth val="0"/>
        </c:ser>
        <c:ser>
          <c:idx val="43"/>
          <c:order val="1"/>
          <c:tx>
            <c:strRef>
              <c:f>Dados!$A$37</c:f>
              <c:strCache>
                <c:ptCount val="1"/>
                <c:pt idx="0">
                  <c:v>Meta  16/17</c:v>
                </c:pt>
              </c:strCache>
            </c:strRef>
          </c:tx>
          <c:spPr>
            <a:ln w="25400">
              <a:solidFill>
                <a:srgbClr val="000099"/>
              </a:solidFill>
              <a:prstDash val="solid"/>
            </a:ln>
          </c:spPr>
          <c:marker>
            <c:symbol val="none"/>
          </c:marker>
          <c:dPt>
            <c:idx val="4"/>
            <c:marker>
              <c:symbol val="square"/>
              <c:size val="6"/>
              <c:spPr>
                <a:solidFill>
                  <a:srgbClr val="000099"/>
                </a:solidFill>
                <a:ln>
                  <a:solidFill>
                    <a:srgbClr val="000099"/>
                  </a:solidFill>
                  <a:prstDash val="solid"/>
                </a:ln>
              </c:spPr>
            </c:marker>
            <c:bubble3D val="0"/>
          </c:dPt>
          <c:dLbls>
            <c:dLbl>
              <c:idx val="1"/>
              <c:layout>
                <c:manualLayout>
                  <c:x val="-1.4145213634067901E-2"/>
                  <c:y val="1.35501355013550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99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Dados!$B$35:$AA$35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Dados!$B$37:$AA$37</c:f>
              <c:numCache>
                <c:formatCode>0.0</c:formatCode>
                <c:ptCount val="19"/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</c:numCache>
            </c:numRef>
          </c:val>
          <c:smooth val="0"/>
        </c:ser>
        <c:ser>
          <c:idx val="1"/>
          <c:order val="3"/>
          <c:tx>
            <c:strRef>
              <c:f>Dados!$A$39</c:f>
              <c:strCache>
                <c:ptCount val="1"/>
                <c:pt idx="0">
                  <c:v>Acum Meta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20"/>
            <c:spPr>
              <a:solidFill>
                <a:srgbClr val="000099"/>
              </a:solidFill>
              <a:ln>
                <a:solidFill>
                  <a:srgbClr val="000099"/>
                </a:solidFill>
                <a:prstDash val="solid"/>
              </a:ln>
            </c:spPr>
          </c:marker>
          <c:cat>
            <c:strRef>
              <c:f>Dados!$B$35:$AA$35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Dados!$B$39:$AA$39</c:f>
              <c:numCache>
                <c:formatCode>0.0</c:formatCode>
                <c:ptCount val="19"/>
                <c:pt idx="0">
                  <c:v>97</c:v>
                </c:pt>
                <c:pt idx="1">
                  <c:v>97</c:v>
                </c:pt>
                <c:pt idx="2">
                  <c:v>97</c:v>
                </c:pt>
                <c:pt idx="3">
                  <c:v>80</c:v>
                </c:pt>
                <c:pt idx="4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4300776"/>
        <c:axId val="283260080"/>
      </c:lineChart>
      <c:catAx>
        <c:axId val="284300776"/>
        <c:scaling>
          <c:orientation val="minMax"/>
        </c:scaling>
        <c:delete val="0"/>
        <c:axPos val="b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25400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2832600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83260080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r>
                  <a:rPr lang="pt-BR"/>
                  <a:t>% de Execução</a:t>
                </a:r>
              </a:p>
            </c:rich>
          </c:tx>
          <c:layout>
            <c:manualLayout>
              <c:xMode val="edge"/>
              <c:yMode val="edge"/>
              <c:x val="2.3859166576780642E-2"/>
              <c:y val="0.3604336787601822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969696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284300776"/>
        <c:crosses val="autoZero"/>
        <c:crossBetween val="between"/>
        <c:maj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28290152087153492"/>
          <c:y val="0.93495934261623281"/>
          <c:w val="0.48570434688814584"/>
          <c:h val="5.691061096926919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pt-BR" sz="900" b="0" i="0" u="none" strike="noStrike" kern="1200" baseline="0">
              <a:solidFill>
                <a:srgbClr val="000000"/>
              </a:solidFill>
              <a:latin typeface="Frutiger 55 Roman"/>
              <a:ea typeface="Frutiger 55 Roman"/>
              <a:cs typeface="Frutiger 55 Roman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75" b="1" i="0" u="none" strike="noStrike" baseline="0">
                <a:solidFill>
                  <a:srgbClr val="0099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Toto</a:t>
            </a:r>
          </a:p>
        </c:rich>
      </c:tx>
      <c:layout>
        <c:manualLayout>
          <c:xMode val="edge"/>
          <c:yMode val="edge"/>
          <c:x val="0.46172521180966369"/>
          <c:y val="3.17685699123675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90269032627362"/>
          <c:y val="0.20114798615762644"/>
          <c:w val="0.88265598168288495"/>
          <c:h val="0.54092498980226567"/>
        </c:manualLayout>
      </c:layout>
      <c:barChart>
        <c:barDir val="col"/>
        <c:grouping val="stacked"/>
        <c:varyColors val="0"/>
        <c:ser>
          <c:idx val="0"/>
          <c:order val="2"/>
          <c:tx>
            <c:strRef>
              <c:f>Dados!$A$46</c:f>
              <c:strCache>
                <c:ptCount val="1"/>
                <c:pt idx="0">
                  <c:v>Acumulado</c:v>
                </c:pt>
              </c:strCache>
            </c:strRef>
          </c:tx>
          <c:spPr>
            <a:solidFill>
              <a:srgbClr val="CC0066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Pt>
            <c:idx val="18"/>
            <c:invertIfNegative val="0"/>
            <c:bubble3D val="0"/>
            <c:spPr>
              <a:solidFill>
                <a:srgbClr val="000099"/>
              </a:solidFill>
              <a:ln w="3175">
                <a:solidFill>
                  <a:srgbClr val="FFFFFF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3.1985490461455342E-3"/>
                  <c:y val="-0.28230747699629338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4.4016518660556243E-3"/>
                  <c:y val="-0.2391870688295111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6.7791785094220734E-3"/>
                  <c:y val="-0.25972261664013307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4.5666571471312204E-3"/>
                  <c:y val="-0.2795180930252571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4.6545995222099828E-4"/>
                  <c:y val="-0.29239390158197437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3.2622694249420099E-3"/>
                  <c:y val="0.93234809800089014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>
                <c:manualLayout>
                  <c:x val="3.1718833916880495E-3"/>
                  <c:y val="0.93234809800089014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layout>
                <c:manualLayout>
                  <c:x val="3.0814973584340887E-3"/>
                  <c:y val="0.93234809800089014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6666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layout>
                <c:manualLayout>
                  <c:x val="2.9911113251801283E-3"/>
                  <c:y val="0.93234809800089014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layout>
                <c:manualLayout>
                  <c:x val="1.1834957555781594E-3"/>
                  <c:y val="0.93234809800089014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layout>
                <c:manualLayout>
                  <c:x val="4.5275687950202155E-3"/>
                  <c:y val="0.93234809800089014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7"/>
              <c:layout>
                <c:manualLayout>
                  <c:x val="-1.2379022570365233E-3"/>
                  <c:y val="-0.29356596818840269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8"/>
              <c:layout>
                <c:manualLayout>
                  <c:x val="-1.3165970833956637E-3"/>
                  <c:y val="-0.24639157810191759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9900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Dados!$B$43:$AA$43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Dados!$B$46:$AA$46</c:f>
              <c:numCache>
                <c:formatCode>0.0</c:formatCode>
                <c:ptCount val="19"/>
                <c:pt idx="0">
                  <c:v>97.3</c:v>
                </c:pt>
                <c:pt idx="1">
                  <c:v>78</c:v>
                </c:pt>
                <c:pt idx="2">
                  <c:v>89.2</c:v>
                </c:pt>
                <c:pt idx="3">
                  <c:v>95.8</c:v>
                </c:pt>
                <c:pt idx="4">
                  <c:v>97.9</c:v>
                </c:pt>
                <c:pt idx="18">
                  <c:v>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4300384"/>
        <c:axId val="283260864"/>
      </c:barChart>
      <c:lineChart>
        <c:grouping val="standard"/>
        <c:varyColors val="0"/>
        <c:ser>
          <c:idx val="46"/>
          <c:order val="0"/>
          <c:tx>
            <c:strRef>
              <c:f>Dados!$A$44</c:f>
              <c:strCache>
                <c:ptCount val="1"/>
                <c:pt idx="0">
                  <c:v>Real  16/17</c:v>
                </c:pt>
              </c:strCache>
            </c:strRef>
          </c:tx>
          <c:spPr>
            <a:ln w="25400">
              <a:solidFill>
                <a:srgbClr val="CC0066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C0066"/>
              </a:solidFill>
              <a:ln>
                <a:solidFill>
                  <a:srgbClr val="CC0066"/>
                </a:solidFill>
                <a:prstDash val="solid"/>
              </a:ln>
            </c:spPr>
          </c:marker>
          <c:cat>
            <c:strRef>
              <c:f>Dados!$B$43:$AA$43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Dados!$B$44:$AA$44</c:f>
              <c:numCache>
                <c:formatCode>0.0</c:formatCode>
                <c:ptCount val="19"/>
              </c:numCache>
            </c:numRef>
          </c:val>
          <c:smooth val="0"/>
        </c:ser>
        <c:ser>
          <c:idx val="43"/>
          <c:order val="1"/>
          <c:tx>
            <c:strRef>
              <c:f>Dados!$A$45</c:f>
              <c:strCache>
                <c:ptCount val="1"/>
                <c:pt idx="0">
                  <c:v>Meta  16/17</c:v>
                </c:pt>
              </c:strCache>
            </c:strRef>
          </c:tx>
          <c:spPr>
            <a:ln w="25400">
              <a:solidFill>
                <a:srgbClr val="000099"/>
              </a:solidFill>
              <a:prstDash val="solid"/>
            </a:ln>
          </c:spPr>
          <c:marker>
            <c:symbol val="none"/>
          </c:marker>
          <c:dPt>
            <c:idx val="4"/>
            <c:marker>
              <c:symbol val="square"/>
              <c:size val="6"/>
              <c:spPr>
                <a:solidFill>
                  <a:srgbClr val="000099"/>
                </a:solidFill>
                <a:ln>
                  <a:solidFill>
                    <a:srgbClr val="000099"/>
                  </a:solidFill>
                  <a:prstDash val="solid"/>
                </a:ln>
              </c:spPr>
            </c:marker>
            <c:bubble3D val="0"/>
          </c:dPt>
          <c:dLbls>
            <c:dLbl>
              <c:idx val="1"/>
              <c:layout>
                <c:manualLayout>
                  <c:x val="-1.3591957987392199E-2"/>
                  <c:y val="1.35910801457855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99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Dados!$B$43:$AA$43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Dados!$B$45:$AA$45</c:f>
              <c:numCache>
                <c:formatCode>0.0</c:formatCode>
                <c:ptCount val="19"/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</c:numCache>
            </c:numRef>
          </c:val>
          <c:smooth val="0"/>
        </c:ser>
        <c:ser>
          <c:idx val="1"/>
          <c:order val="3"/>
          <c:tx>
            <c:strRef>
              <c:f>Dados!$A$47</c:f>
              <c:strCache>
                <c:ptCount val="1"/>
                <c:pt idx="0">
                  <c:v>Acum Meta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20"/>
            <c:spPr>
              <a:solidFill>
                <a:srgbClr val="000099"/>
              </a:solidFill>
              <a:ln>
                <a:solidFill>
                  <a:srgbClr val="000099"/>
                </a:solidFill>
                <a:prstDash val="solid"/>
              </a:ln>
            </c:spPr>
          </c:marker>
          <c:cat>
            <c:strRef>
              <c:f>Dados!$B$43:$AA$43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Dados!$B$47:$AA$47</c:f>
              <c:numCache>
                <c:formatCode>0.0</c:formatCode>
                <c:ptCount val="19"/>
                <c:pt idx="0">
                  <c:v>97</c:v>
                </c:pt>
                <c:pt idx="1">
                  <c:v>97</c:v>
                </c:pt>
                <c:pt idx="2">
                  <c:v>97</c:v>
                </c:pt>
                <c:pt idx="3">
                  <c:v>80</c:v>
                </c:pt>
                <c:pt idx="4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4300384"/>
        <c:axId val="283260864"/>
      </c:lineChart>
      <c:catAx>
        <c:axId val="284300384"/>
        <c:scaling>
          <c:orientation val="minMax"/>
        </c:scaling>
        <c:delete val="0"/>
        <c:axPos val="b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25400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283260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8326086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r>
                  <a:rPr lang="pt-BR"/>
                  <a:t>% de Execução</a:t>
                </a:r>
              </a:p>
            </c:rich>
          </c:tx>
          <c:layout>
            <c:manualLayout>
              <c:xMode val="edge"/>
              <c:yMode val="edge"/>
              <c:x val="2.4041269452717371E-2"/>
              <c:y val="0.3615225965606758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969696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284300384"/>
        <c:crosses val="autoZero"/>
        <c:crossBetween val="between"/>
        <c:maj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27990843113522729"/>
          <c:y val="0.93506619049667972"/>
          <c:w val="0.48941037810688176"/>
          <c:h val="5.708245485707730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pt-BR" sz="900" b="0" i="0" u="none" strike="noStrike" kern="1200" baseline="0">
              <a:solidFill>
                <a:srgbClr val="000000"/>
              </a:solidFill>
              <a:latin typeface="Frutiger 55 Roman"/>
              <a:ea typeface="Frutiger 55 Roman"/>
              <a:cs typeface="Frutiger 55 Roman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75" b="1" i="0" u="none" strike="noStrike" baseline="0">
                <a:solidFill>
                  <a:srgbClr val="0099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Rev. 04</a:t>
            </a:r>
          </a:p>
        </c:rich>
      </c:tx>
      <c:layout>
        <c:manualLayout>
          <c:xMode val="edge"/>
          <c:yMode val="edge"/>
          <c:x val="0.43000245211563087"/>
          <c:y val="3.532994343009576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51032224352328"/>
          <c:y val="0.19241192411924118"/>
          <c:w val="0.89122621901940791"/>
          <c:h val="0.54742547425474253"/>
        </c:manualLayout>
      </c:layout>
      <c:barChart>
        <c:barDir val="col"/>
        <c:grouping val="stacked"/>
        <c:varyColors val="0"/>
        <c:ser>
          <c:idx val="0"/>
          <c:order val="2"/>
          <c:tx>
            <c:strRef>
              <c:f>Dados!$A$70</c:f>
              <c:strCache>
                <c:ptCount val="1"/>
                <c:pt idx="0">
                  <c:v>Acumulado</c:v>
                </c:pt>
              </c:strCache>
            </c:strRef>
          </c:tx>
          <c:spPr>
            <a:solidFill>
              <a:srgbClr val="CC0066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Pt>
            <c:idx val="18"/>
            <c:invertIfNegative val="0"/>
            <c:bubble3D val="0"/>
            <c:spPr>
              <a:solidFill>
                <a:srgbClr val="000099"/>
              </a:solidFill>
              <a:ln w="3175">
                <a:solidFill>
                  <a:srgbClr val="FFFFFF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-3.8842384961208344E-3"/>
                  <c:y val="-0.2912250652574612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2.8880472985859466E-4"/>
                  <c:y val="-0.2632696117345004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3.0867594837842502E-3"/>
                  <c:y val="-0.2021403591581025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5.260242123713817E-3"/>
                  <c:y val="-0.2773398556788031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2.3017192055145358E-3"/>
                  <c:y val="-0.2663388329864761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2.5425730547957675E-3"/>
                  <c:y val="0.932249322493224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>
                <c:manualLayout>
                  <c:x val="2.0898356499010028E-3"/>
                  <c:y val="0.9322493224932249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layout>
                <c:manualLayout>
                  <c:x val="1.6370982450063486E-3"/>
                  <c:y val="0.9322493224932249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6666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layout>
                <c:manualLayout>
                  <c:x val="2.9048747764424646E-3"/>
                  <c:y val="0.932249322493224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layout>
                <c:manualLayout>
                  <c:x val="-2.709404437444943E-3"/>
                  <c:y val="0.932249322493224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layout>
                <c:manualLayout>
                  <c:x val="3.7197332372197454E-3"/>
                  <c:y val="0.932249322493224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7"/>
              <c:layout>
                <c:manualLayout>
                  <c:x val="-2.4417622537668913E-3"/>
                  <c:y val="-0.2782249494017607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3.4244248880654624E-3"/>
                  <c:y val="-0.24627804358242686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9900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CC0066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Dados!$B$67:$AA$67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Dados!$B$70:$AA$70</c:f>
              <c:numCache>
                <c:formatCode>0.0</c:formatCode>
                <c:ptCount val="19"/>
                <c:pt idx="0">
                  <c:v>98.3</c:v>
                </c:pt>
                <c:pt idx="1">
                  <c:v>91.5</c:v>
                </c:pt>
                <c:pt idx="2">
                  <c:v>66.8</c:v>
                </c:pt>
                <c:pt idx="3">
                  <c:v>90.9</c:v>
                </c:pt>
                <c:pt idx="4">
                  <c:v>91.2</c:v>
                </c:pt>
                <c:pt idx="17">
                  <c:v>90.6</c:v>
                </c:pt>
                <c:pt idx="18">
                  <c:v>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12761400"/>
        <c:axId val="290296392"/>
      </c:barChart>
      <c:lineChart>
        <c:grouping val="standard"/>
        <c:varyColors val="0"/>
        <c:ser>
          <c:idx val="46"/>
          <c:order val="0"/>
          <c:tx>
            <c:strRef>
              <c:f>Dados!$A$68</c:f>
              <c:strCache>
                <c:ptCount val="1"/>
                <c:pt idx="0">
                  <c:v>Real  16/17</c:v>
                </c:pt>
              </c:strCache>
            </c:strRef>
          </c:tx>
          <c:spPr>
            <a:ln w="25400">
              <a:solidFill>
                <a:srgbClr val="CC0066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C0066"/>
              </a:solidFill>
              <a:ln>
                <a:solidFill>
                  <a:srgbClr val="CC0066"/>
                </a:solidFill>
                <a:prstDash val="solid"/>
              </a:ln>
            </c:spPr>
          </c:marker>
          <c:dLbls>
            <c:dLbl>
              <c:idx val="6"/>
              <c:layout>
                <c:manualLayout>
                  <c:x val="-5.7670126874279165E-2"/>
                  <c:y val="-3.26975476839237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4.1522491349480967E-2"/>
                  <c:y val="-3.99636693914623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3.690888119953864E-2"/>
                  <c:y val="3.63306085376930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4.1522491349481057E-2"/>
                  <c:y val="-3.26975476839237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rgbClr val="CC0066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Dados!$B$67:$AA$67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Dados!$B$68:$AA$68</c:f>
              <c:numCache>
                <c:formatCode>0.0</c:formatCode>
                <c:ptCount val="19"/>
                <c:pt idx="5">
                  <c:v>84.4</c:v>
                </c:pt>
                <c:pt idx="6">
                  <c:v>95.2</c:v>
                </c:pt>
                <c:pt idx="7">
                  <c:v>100</c:v>
                </c:pt>
                <c:pt idx="8">
                  <c:v>77.8</c:v>
                </c:pt>
                <c:pt idx="9">
                  <c:v>100</c:v>
                </c:pt>
                <c:pt idx="10">
                  <c:v>97.3</c:v>
                </c:pt>
                <c:pt idx="11">
                  <c:v>71.7</c:v>
                </c:pt>
                <c:pt idx="12">
                  <c:v>100</c:v>
                </c:pt>
              </c:numCache>
            </c:numRef>
          </c:val>
          <c:smooth val="0"/>
        </c:ser>
        <c:ser>
          <c:idx val="43"/>
          <c:order val="1"/>
          <c:tx>
            <c:strRef>
              <c:f>Dados!$A$69</c:f>
              <c:strCache>
                <c:ptCount val="1"/>
                <c:pt idx="0">
                  <c:v>Meta  16/17</c:v>
                </c:pt>
              </c:strCache>
            </c:strRef>
          </c:tx>
          <c:spPr>
            <a:ln w="25400">
              <a:solidFill>
                <a:srgbClr val="000099"/>
              </a:solidFill>
              <a:prstDash val="solid"/>
            </a:ln>
          </c:spPr>
          <c:marker>
            <c:symbol val="none"/>
          </c:marker>
          <c:dPt>
            <c:idx val="4"/>
            <c:marker>
              <c:symbol val="square"/>
              <c:size val="6"/>
              <c:spPr>
                <a:solidFill>
                  <a:srgbClr val="000099"/>
                </a:solidFill>
                <a:ln>
                  <a:solidFill>
                    <a:srgbClr val="000099"/>
                  </a:solidFill>
                  <a:prstDash val="solid"/>
                </a:ln>
              </c:spPr>
            </c:marker>
            <c:bubble3D val="0"/>
          </c:dPt>
          <c:dLbls>
            <c:dLbl>
              <c:idx val="1"/>
              <c:layout>
                <c:manualLayout>
                  <c:x val="-1.4158856048847287E-2"/>
                  <c:y val="1.3550135501355014E-2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775" b="0" i="0" u="none" strike="noStrike" baseline="0">
                    <a:solidFill>
                      <a:srgbClr val="000099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Dados!$B$67:$AA$67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Dados!$B$69:$AA$69</c:f>
              <c:numCache>
                <c:formatCode>0.0</c:formatCode>
                <c:ptCount val="19"/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</c:numCache>
            </c:numRef>
          </c:val>
          <c:smooth val="0"/>
        </c:ser>
        <c:ser>
          <c:idx val="1"/>
          <c:order val="3"/>
          <c:tx>
            <c:strRef>
              <c:f>Dados!$A$71</c:f>
              <c:strCache>
                <c:ptCount val="1"/>
                <c:pt idx="0">
                  <c:v>Acum Meta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20"/>
            <c:spPr>
              <a:solidFill>
                <a:srgbClr val="000099"/>
              </a:solidFill>
              <a:ln>
                <a:solidFill>
                  <a:srgbClr val="000099"/>
                </a:solidFill>
                <a:prstDash val="solid"/>
              </a:ln>
            </c:spPr>
          </c:marker>
          <c:cat>
            <c:strRef>
              <c:f>Dados!$B$67:$AA$67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Dados!$B$71:$AA$71</c:f>
              <c:numCache>
                <c:formatCode>0.0</c:formatCode>
                <c:ptCount val="19"/>
                <c:pt idx="0">
                  <c:v>97</c:v>
                </c:pt>
                <c:pt idx="1">
                  <c:v>97</c:v>
                </c:pt>
                <c:pt idx="2">
                  <c:v>97</c:v>
                </c:pt>
                <c:pt idx="3">
                  <c:v>80</c:v>
                </c:pt>
                <c:pt idx="4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761400"/>
        <c:axId val="290296392"/>
      </c:lineChart>
      <c:catAx>
        <c:axId val="212761400"/>
        <c:scaling>
          <c:orientation val="minMax"/>
        </c:scaling>
        <c:delete val="0"/>
        <c:axPos val="b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25400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2902963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0296392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r>
                  <a:rPr lang="pt-BR"/>
                  <a:t>% de Execução</a:t>
                </a:r>
              </a:p>
            </c:rich>
          </c:tx>
          <c:layout>
            <c:manualLayout>
              <c:xMode val="edge"/>
              <c:yMode val="edge"/>
              <c:x val="2.4087222661181195E-2"/>
              <c:y val="0.357723472576827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969696"/>
            </a:solidFill>
            <a:prstDash val="solid"/>
          </a:ln>
        </c:spPr>
        <c:txPr>
          <a:bodyPr rot="0" vert="horz"/>
          <a:lstStyle/>
          <a:p>
            <a:pPr>
              <a:defRPr sz="775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212761400"/>
        <c:crosses val="autoZero"/>
        <c:crossBetween val="between"/>
        <c:maj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28044374211009093"/>
          <c:y val="0.93495934261623281"/>
          <c:w val="0.49034647485673288"/>
          <c:h val="5.691061096926919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pt-BR" sz="900" b="0" i="0" u="none" strike="noStrike" kern="1200" baseline="0">
              <a:solidFill>
                <a:srgbClr val="000000"/>
              </a:solidFill>
              <a:latin typeface="Frutiger 55 Roman"/>
              <a:ea typeface="Frutiger 55 Roman"/>
              <a:cs typeface="Frutiger 55 Roman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75" b="1" i="0" u="none" strike="noStrike" baseline="0">
                <a:solidFill>
                  <a:srgbClr val="0099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Pontes</a:t>
            </a:r>
          </a:p>
        </c:rich>
      </c:tx>
      <c:layout>
        <c:manualLayout>
          <c:xMode val="edge"/>
          <c:yMode val="edge"/>
          <c:x val="0.42479443081662993"/>
          <c:y val="3.87663330701548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69359573919651"/>
          <c:y val="0.19994054414421386"/>
          <c:w val="0.88269065321384699"/>
          <c:h val="0.543081748283608"/>
        </c:manualLayout>
      </c:layout>
      <c:barChart>
        <c:barDir val="col"/>
        <c:grouping val="stacked"/>
        <c:varyColors val="0"/>
        <c:ser>
          <c:idx val="0"/>
          <c:order val="2"/>
          <c:tx>
            <c:strRef>
              <c:f>Dados!$A$78</c:f>
              <c:strCache>
                <c:ptCount val="1"/>
                <c:pt idx="0">
                  <c:v>Acumulado</c:v>
                </c:pt>
              </c:strCache>
            </c:strRef>
          </c:tx>
          <c:spPr>
            <a:solidFill>
              <a:srgbClr val="CC0066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Pt>
            <c:idx val="18"/>
            <c:invertIfNegative val="0"/>
            <c:bubble3D val="0"/>
            <c:spPr>
              <a:solidFill>
                <a:srgbClr val="000099"/>
              </a:solidFill>
              <a:ln w="3175">
                <a:solidFill>
                  <a:srgbClr val="FFFFFF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-3.7462787031139178E-3"/>
                  <c:y val="-0.29623256442538176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1.0798650168728908E-3"/>
                  <c:y val="-0.3027181358427757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1.0348706411698117E-3"/>
                  <c:y val="-0.2639111168014567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8.2561968910512689E-4"/>
                  <c:y val="-0.2277370206772934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1.6210624274375762E-3"/>
                  <c:y val="-0.16691234733869648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2.2080796573429691E-3"/>
                  <c:y val="0.9321552395912673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>
                <c:manualLayout>
                  <c:x val="2.027500930083497E-3"/>
                  <c:y val="0.9321552395912673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layout>
                <c:manualLayout>
                  <c:x val="1.8471019406870242E-3"/>
                  <c:y val="0.9321552395912673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6666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layout>
                <c:manualLayout>
                  <c:x val="1.6667029512905515E-3"/>
                  <c:y val="0.9321552395912673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layout>
                <c:manualLayout>
                  <c:x val="3.2002663953189991E-3"/>
                  <c:y val="0.93215523959126734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layout>
                <c:manualLayout>
                  <c:x val="3.0198674059225268E-3"/>
                  <c:y val="0.9321552395912673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7"/>
              <c:layout>
                <c:manualLayout>
                  <c:x val="-3.3653624622223426E-3"/>
                  <c:y val="-0.1223708825014759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1.2997772868752853E-3"/>
                  <c:y val="-0.27049342409434596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9900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Dados!$B$75:$AA$75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Dados!$B$78:$AA$78</c:f>
              <c:numCache>
                <c:formatCode>0.0</c:formatCode>
                <c:ptCount val="19"/>
                <c:pt idx="0">
                  <c:v>97.4</c:v>
                </c:pt>
                <c:pt idx="1">
                  <c:v>92.1</c:v>
                </c:pt>
                <c:pt idx="2">
                  <c:v>88.4</c:v>
                </c:pt>
                <c:pt idx="3">
                  <c:v>75.2</c:v>
                </c:pt>
                <c:pt idx="4">
                  <c:v>53.4</c:v>
                </c:pt>
                <c:pt idx="17">
                  <c:v>39.200000000000003</c:v>
                </c:pt>
                <c:pt idx="18">
                  <c:v>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90297176"/>
        <c:axId val="290297568"/>
      </c:barChart>
      <c:lineChart>
        <c:grouping val="standard"/>
        <c:varyColors val="0"/>
        <c:ser>
          <c:idx val="46"/>
          <c:order val="0"/>
          <c:tx>
            <c:strRef>
              <c:f>Dados!$A$76</c:f>
              <c:strCache>
                <c:ptCount val="1"/>
                <c:pt idx="0">
                  <c:v>Real  16/17</c:v>
                </c:pt>
              </c:strCache>
            </c:strRef>
          </c:tx>
          <c:spPr>
            <a:ln w="25400">
              <a:solidFill>
                <a:srgbClr val="CC0066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C0066"/>
              </a:solidFill>
              <a:ln>
                <a:solidFill>
                  <a:srgbClr val="CC0066"/>
                </a:solidFill>
                <a:prstDash val="solid"/>
              </a:ln>
            </c:spPr>
          </c:marker>
          <c:dLbls>
            <c:dLbl>
              <c:idx val="5"/>
              <c:layout>
                <c:manualLayout>
                  <c:x val="-3.6718301778542788E-2"/>
                  <c:y val="-3.25203252032520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6.8846815834767644E-3"/>
                  <c:y val="-3.25203252032520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6.4257028112449793E-2"/>
                  <c:y val="-2.16802168021680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rgbClr val="CC0066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Dados!$B$75:$AA$75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Dados!$B$76:$AA$76</c:f>
              <c:numCache>
                <c:formatCode>0.0</c:formatCode>
                <c:ptCount val="19"/>
                <c:pt idx="5">
                  <c:v>39.799999999999997</c:v>
                </c:pt>
                <c:pt idx="6">
                  <c:v>38.5</c:v>
                </c:pt>
                <c:pt idx="7">
                  <c:v>83.3</c:v>
                </c:pt>
                <c:pt idx="8">
                  <c:v>18.7</c:v>
                </c:pt>
                <c:pt idx="9">
                  <c:v>24.7</c:v>
                </c:pt>
                <c:pt idx="10">
                  <c:v>10.1</c:v>
                </c:pt>
                <c:pt idx="11">
                  <c:v>70.8</c:v>
                </c:pt>
                <c:pt idx="12">
                  <c:v>72</c:v>
                </c:pt>
              </c:numCache>
            </c:numRef>
          </c:val>
          <c:smooth val="0"/>
        </c:ser>
        <c:ser>
          <c:idx val="43"/>
          <c:order val="1"/>
          <c:tx>
            <c:strRef>
              <c:f>Dados!$A$77</c:f>
              <c:strCache>
                <c:ptCount val="1"/>
                <c:pt idx="0">
                  <c:v>Meta  16/17</c:v>
                </c:pt>
              </c:strCache>
            </c:strRef>
          </c:tx>
          <c:spPr>
            <a:ln w="25400">
              <a:solidFill>
                <a:srgbClr val="000099"/>
              </a:solidFill>
              <a:prstDash val="solid"/>
            </a:ln>
          </c:spPr>
          <c:marker>
            <c:symbol val="none"/>
          </c:marker>
          <c:dPt>
            <c:idx val="4"/>
            <c:marker>
              <c:symbol val="square"/>
              <c:size val="6"/>
              <c:spPr>
                <a:solidFill>
                  <a:srgbClr val="000099"/>
                </a:solidFill>
                <a:ln>
                  <a:solidFill>
                    <a:srgbClr val="000099"/>
                  </a:solidFill>
                  <a:prstDash val="solid"/>
                </a:ln>
              </c:spPr>
            </c:marker>
            <c:bubble3D val="0"/>
          </c:dPt>
          <c:dLbls>
            <c:dLbl>
              <c:idx val="1"/>
              <c:layout>
                <c:manualLayout>
                  <c:x val="-1.3682421949711289E-2"/>
                  <c:y val="1.35094962259603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99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Dados!$B$75:$AA$75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Dados!$B$77:$AA$77</c:f>
              <c:numCache>
                <c:formatCode>0.0</c:formatCode>
                <c:ptCount val="19"/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</c:numCache>
            </c:numRef>
          </c:val>
          <c:smooth val="0"/>
        </c:ser>
        <c:ser>
          <c:idx val="1"/>
          <c:order val="3"/>
          <c:tx>
            <c:strRef>
              <c:f>Dados!$A$79</c:f>
              <c:strCache>
                <c:ptCount val="1"/>
                <c:pt idx="0">
                  <c:v>Acum Meta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20"/>
            <c:spPr>
              <a:solidFill>
                <a:srgbClr val="000099"/>
              </a:solidFill>
              <a:ln>
                <a:solidFill>
                  <a:srgbClr val="000099"/>
                </a:solidFill>
                <a:prstDash val="solid"/>
              </a:ln>
            </c:spPr>
          </c:marker>
          <c:cat>
            <c:strRef>
              <c:f>Dados!$B$75:$AA$75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Dados!$B$79:$AA$79</c:f>
              <c:numCache>
                <c:formatCode>0.0</c:formatCode>
                <c:ptCount val="19"/>
                <c:pt idx="0">
                  <c:v>97</c:v>
                </c:pt>
                <c:pt idx="1">
                  <c:v>97</c:v>
                </c:pt>
                <c:pt idx="2">
                  <c:v>97</c:v>
                </c:pt>
                <c:pt idx="3">
                  <c:v>90</c:v>
                </c:pt>
                <c:pt idx="4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0297176"/>
        <c:axId val="290297568"/>
      </c:lineChart>
      <c:catAx>
        <c:axId val="290297176"/>
        <c:scaling>
          <c:orientation val="minMax"/>
        </c:scaling>
        <c:delete val="0"/>
        <c:axPos val="b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25400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2902975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0297568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r>
                  <a:rPr lang="pt-BR"/>
                  <a:t>% de Execução</a:t>
                </a:r>
              </a:p>
            </c:rich>
          </c:tx>
          <c:layout>
            <c:manualLayout>
              <c:xMode val="edge"/>
              <c:yMode val="edge"/>
              <c:x val="2.3995554772520904E-2"/>
              <c:y val="0.362054499285150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969696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290297176"/>
        <c:crosses val="autoZero"/>
        <c:crossBetween val="between"/>
        <c:maj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27937586114988638"/>
          <c:y val="0.9348572078896642"/>
          <c:w val="0.48847936176652623"/>
          <c:h val="5.67398587371700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pt-BR" sz="900" b="0" i="0" u="none" strike="noStrike" kern="1200" baseline="0">
              <a:solidFill>
                <a:srgbClr val="000000"/>
              </a:solidFill>
              <a:latin typeface="Frutiger 55 Roman"/>
              <a:ea typeface="Frutiger 55 Roman"/>
              <a:cs typeface="Frutiger 55 Roman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75" b="1" i="0" u="none" strike="noStrike" baseline="0">
                <a:solidFill>
                  <a:srgbClr val="0099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NDT</a:t>
            </a:r>
          </a:p>
        </c:rich>
      </c:tx>
      <c:layout>
        <c:manualLayout>
          <c:xMode val="edge"/>
          <c:yMode val="edge"/>
          <c:x val="0.45666990756590209"/>
          <c:y val="2.06164795438306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7480370624687"/>
          <c:y val="0.20411817367949867"/>
          <c:w val="0.86867991570873893"/>
          <c:h val="0.54521038495971352"/>
        </c:manualLayout>
      </c:layout>
      <c:barChart>
        <c:barDir val="col"/>
        <c:grouping val="stacked"/>
        <c:varyColors val="0"/>
        <c:ser>
          <c:idx val="0"/>
          <c:order val="2"/>
          <c:tx>
            <c:strRef>
              <c:f>Dados!$A$86</c:f>
              <c:strCache>
                <c:ptCount val="1"/>
                <c:pt idx="0">
                  <c:v>Acumulado</c:v>
                </c:pt>
              </c:strCache>
            </c:strRef>
          </c:tx>
          <c:spPr>
            <a:solidFill>
              <a:srgbClr val="CC0066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Pt>
            <c:idx val="18"/>
            <c:invertIfNegative val="0"/>
            <c:bubble3D val="0"/>
            <c:spPr>
              <a:solidFill>
                <a:srgbClr val="000099"/>
              </a:solidFill>
              <a:ln w="3175">
                <a:solidFill>
                  <a:srgbClr val="FFFFFF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-3.2712084902430673E-3"/>
                  <c:y val="-0.31453162694285858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4.5880178021225609E-3"/>
                  <c:y val="-0.30015606539748568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1.1738445737761042E-3"/>
                  <c:y val="-0.292988376452943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1.4232568754993008E-3"/>
                  <c:y val="-0.24500484609235165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3.6765491270112976E-3"/>
                  <c:y val="-0.194585393806906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2.0041442598061907E-3"/>
                  <c:y val="0.931960608773500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>
                <c:manualLayout>
                  <c:x val="1.2755951301580129E-3"/>
                  <c:y val="0.931960608773500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layout>
                <c:manualLayout>
                  <c:x val="2.2773025461066726E-3"/>
                  <c:y val="0.931960608773500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6666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layout>
                <c:manualLayout>
                  <c:x val="1.5487534164584948E-3"/>
                  <c:y val="0.931960608773500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layout>
                <c:manualLayout>
                  <c:x val="-2.6406718713918031E-3"/>
                  <c:y val="0.931960608773500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layout>
                <c:manualLayout>
                  <c:x val="9.147362365797228E-5"/>
                  <c:y val="0.931960608773500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7"/>
              <c:layout>
                <c:manualLayout>
                  <c:x val="-2.3120849024308443E-3"/>
                  <c:y val="-0.18555652241583009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1.008604359237534E-3"/>
                  <c:y val="-0.3076438086748590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9900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Dados!$B$83:$AA$83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Dados!$B$86:$AA$86</c:f>
              <c:numCache>
                <c:formatCode>0.0</c:formatCode>
                <c:ptCount val="19"/>
                <c:pt idx="0">
                  <c:v>92.3</c:v>
                </c:pt>
                <c:pt idx="1">
                  <c:v>96.5</c:v>
                </c:pt>
                <c:pt idx="2">
                  <c:v>93.6</c:v>
                </c:pt>
                <c:pt idx="3">
                  <c:v>79.400000000000006</c:v>
                </c:pt>
                <c:pt idx="4">
                  <c:v>64.099999999999994</c:v>
                </c:pt>
                <c:pt idx="17">
                  <c:v>50.6</c:v>
                </c:pt>
                <c:pt idx="18">
                  <c:v>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3261648"/>
        <c:axId val="285632336"/>
      </c:barChart>
      <c:lineChart>
        <c:grouping val="standard"/>
        <c:varyColors val="0"/>
        <c:ser>
          <c:idx val="46"/>
          <c:order val="0"/>
          <c:tx>
            <c:strRef>
              <c:f>Dados!$A$84</c:f>
              <c:strCache>
                <c:ptCount val="1"/>
                <c:pt idx="0">
                  <c:v>Real  16/17</c:v>
                </c:pt>
              </c:strCache>
            </c:strRef>
          </c:tx>
          <c:spPr>
            <a:ln w="25400">
              <a:solidFill>
                <a:srgbClr val="CC0066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C0066"/>
              </a:solidFill>
              <a:ln>
                <a:solidFill>
                  <a:srgbClr val="CC0066"/>
                </a:solidFill>
                <a:prstDash val="solid"/>
              </a:ln>
            </c:spPr>
          </c:marker>
          <c:dLbls>
            <c:dLbl>
              <c:idx val="5"/>
              <c:layout>
                <c:manualLayout>
                  <c:x val="-1.623188405797097E-2"/>
                  <c:y val="4.3126684636118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6.260869565217396E-2"/>
                  <c:y val="-3.59389038634321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rgbClr val="CC0066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strRef>
              <c:f>Dados!$B$83:$AA$83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Dados!$B$84:$AA$84</c:f>
              <c:numCache>
                <c:formatCode>0.0</c:formatCode>
                <c:ptCount val="19"/>
                <c:pt idx="5">
                  <c:v>75</c:v>
                </c:pt>
                <c:pt idx="6">
                  <c:v>80.599999999999994</c:v>
                </c:pt>
                <c:pt idx="7">
                  <c:v>79.400000000000006</c:v>
                </c:pt>
                <c:pt idx="8">
                  <c:v>67.900000000000006</c:v>
                </c:pt>
                <c:pt idx="9">
                  <c:v>43.3</c:v>
                </c:pt>
                <c:pt idx="10">
                  <c:v>6.3</c:v>
                </c:pt>
                <c:pt idx="11">
                  <c:v>41.4</c:v>
                </c:pt>
                <c:pt idx="12">
                  <c:v>6.1</c:v>
                </c:pt>
              </c:numCache>
            </c:numRef>
          </c:val>
          <c:smooth val="0"/>
        </c:ser>
        <c:ser>
          <c:idx val="43"/>
          <c:order val="1"/>
          <c:tx>
            <c:strRef>
              <c:f>Dados!$A$85</c:f>
              <c:strCache>
                <c:ptCount val="1"/>
                <c:pt idx="0">
                  <c:v>Meta  16/17</c:v>
                </c:pt>
              </c:strCache>
            </c:strRef>
          </c:tx>
          <c:spPr>
            <a:ln w="25400">
              <a:solidFill>
                <a:srgbClr val="000099"/>
              </a:solidFill>
              <a:prstDash val="solid"/>
            </a:ln>
          </c:spPr>
          <c:marker>
            <c:symbol val="none"/>
          </c:marker>
          <c:dPt>
            <c:idx val="4"/>
            <c:marker>
              <c:symbol val="square"/>
              <c:size val="6"/>
              <c:spPr>
                <a:solidFill>
                  <a:srgbClr val="000099"/>
                </a:solidFill>
                <a:ln>
                  <a:solidFill>
                    <a:srgbClr val="000099"/>
                  </a:solidFill>
                  <a:prstDash val="solid"/>
                </a:ln>
              </c:spPr>
            </c:marker>
            <c:bubble3D val="0"/>
          </c:dPt>
          <c:dLbls>
            <c:dLbl>
              <c:idx val="1"/>
              <c:layout>
                <c:manualLayout>
                  <c:x val="-1.3772865326777625E-2"/>
                  <c:y val="1.3428827215756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99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Dados!$B$83:$AA$83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Dados!$B$85:$AA$85</c:f>
              <c:numCache>
                <c:formatCode>0.0</c:formatCode>
                <c:ptCount val="19"/>
                <c:pt idx="5">
                  <c:v>95</c:v>
                </c:pt>
                <c:pt idx="6">
                  <c:v>95</c:v>
                </c:pt>
                <c:pt idx="7">
                  <c:v>95</c:v>
                </c:pt>
                <c:pt idx="8">
                  <c:v>95</c:v>
                </c:pt>
                <c:pt idx="9">
                  <c:v>95</c:v>
                </c:pt>
                <c:pt idx="10">
                  <c:v>95</c:v>
                </c:pt>
                <c:pt idx="11">
                  <c:v>95</c:v>
                </c:pt>
                <c:pt idx="12">
                  <c:v>95</c:v>
                </c:pt>
                <c:pt idx="13">
                  <c:v>95</c:v>
                </c:pt>
                <c:pt idx="14">
                  <c:v>95</c:v>
                </c:pt>
                <c:pt idx="15">
                  <c:v>95</c:v>
                </c:pt>
                <c:pt idx="16">
                  <c:v>95</c:v>
                </c:pt>
              </c:numCache>
            </c:numRef>
          </c:val>
          <c:smooth val="0"/>
        </c:ser>
        <c:ser>
          <c:idx val="1"/>
          <c:order val="3"/>
          <c:tx>
            <c:strRef>
              <c:f>Dados!$A$87</c:f>
              <c:strCache>
                <c:ptCount val="1"/>
                <c:pt idx="0">
                  <c:v>Acum Meta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20"/>
            <c:spPr>
              <a:solidFill>
                <a:srgbClr val="000099"/>
              </a:solidFill>
              <a:ln>
                <a:solidFill>
                  <a:srgbClr val="000099"/>
                </a:solidFill>
                <a:prstDash val="solid"/>
              </a:ln>
            </c:spPr>
          </c:marker>
          <c:cat>
            <c:strRef>
              <c:f>Dados!$B$83:$AA$83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Dados!$B$87:$AA$87</c:f>
              <c:numCache>
                <c:formatCode>0.0</c:formatCode>
                <c:ptCount val="19"/>
                <c:pt idx="0">
                  <c:v>97</c:v>
                </c:pt>
                <c:pt idx="1">
                  <c:v>97</c:v>
                </c:pt>
                <c:pt idx="2">
                  <c:v>97</c:v>
                </c:pt>
                <c:pt idx="3">
                  <c:v>95</c:v>
                </c:pt>
                <c:pt idx="4">
                  <c:v>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261648"/>
        <c:axId val="285632336"/>
      </c:lineChart>
      <c:catAx>
        <c:axId val="283261648"/>
        <c:scaling>
          <c:orientation val="minMax"/>
        </c:scaling>
        <c:delete val="0"/>
        <c:axPos val="b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25400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2856323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85632336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r>
                  <a:rPr lang="pt-BR"/>
                  <a:t>% de Execução</a:t>
                </a:r>
              </a:p>
            </c:rich>
          </c:tx>
          <c:layout>
            <c:manualLayout>
              <c:xMode val="edge"/>
              <c:yMode val="edge"/>
              <c:x val="2.4226223895926054E-2"/>
              <c:y val="0.3679498553246882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969696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283261648"/>
        <c:crosses val="autoZero"/>
        <c:crossBetween val="between"/>
        <c:maj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27687011297500858"/>
          <c:y val="0.934646376750076"/>
          <c:w val="0.49317484879607437"/>
          <c:h val="5.640115740249451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pt-BR" sz="900" b="0" i="0" u="none" strike="noStrike" kern="1200" baseline="0">
              <a:solidFill>
                <a:srgbClr val="000000"/>
              </a:solidFill>
              <a:latin typeface="Frutiger 55 Roman"/>
              <a:ea typeface="Frutiger 55 Roman"/>
              <a:cs typeface="Frutiger 55 Roman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75" b="1" i="0" u="none" strike="noStrike" baseline="0">
                <a:solidFill>
                  <a:srgbClr val="0099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Total - MOCT</a:t>
            </a:r>
          </a:p>
        </c:rich>
      </c:tx>
      <c:layout>
        <c:manualLayout>
          <c:xMode val="edge"/>
          <c:yMode val="edge"/>
          <c:x val="0.37206641915874505"/>
          <c:y val="2.41557541156412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818546078992558"/>
          <c:y val="0.20143240823634737"/>
          <c:w val="0.88265598168288495"/>
          <c:h val="0.54789615040286477"/>
        </c:manualLayout>
      </c:layout>
      <c:barChart>
        <c:barDir val="col"/>
        <c:grouping val="stacked"/>
        <c:varyColors val="0"/>
        <c:ser>
          <c:idx val="0"/>
          <c:order val="2"/>
          <c:tx>
            <c:strRef>
              <c:f>Dados!$A$102</c:f>
              <c:strCache>
                <c:ptCount val="1"/>
                <c:pt idx="0">
                  <c:v>Acumulado</c:v>
                </c:pt>
              </c:strCache>
            </c:strRef>
          </c:tx>
          <c:spPr>
            <a:solidFill>
              <a:srgbClr val="CC0066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Pt>
            <c:idx val="18"/>
            <c:invertIfNegative val="0"/>
            <c:bubble3D val="0"/>
            <c:spPr>
              <a:solidFill>
                <a:srgbClr val="000099"/>
              </a:solidFill>
              <a:ln w="3175">
                <a:solidFill>
                  <a:srgbClr val="FFFFFF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1.4716295178128641E-3"/>
                  <c:y val="-0.29125906431507381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8.4154506593411577E-3"/>
                  <c:y val="-0.27159142842993683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3.9004709903490043E-3"/>
                  <c:y val="-0.25144555043827072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5.707913453823453E-3"/>
                  <c:y val="-0.28314394662931286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2.2549512917102977E-3"/>
                  <c:y val="-0.28332816888454981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3.2594008175995271E-3"/>
                  <c:y val="0.9319606087735004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>
                <c:manualLayout>
                  <c:x val="3.1690772482862038E-3"/>
                  <c:y val="0.9319606087735004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layout>
                <c:manualLayout>
                  <c:x val="3.0787536789727695E-3"/>
                  <c:y val="0.9319606087735004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6666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layout>
                <c:manualLayout>
                  <c:x val="2.9882498230938393E-3"/>
                  <c:y val="0.9319606087735004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layout>
                <c:manualLayout>
                  <c:x val="-2.2537623552637311E-3"/>
                  <c:y val="0.9319606087735004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layout>
                <c:manualLayout>
                  <c:x val="2.8076026844669707E-3"/>
                  <c:y val="0.9319606087735004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7"/>
              <c:layout>
                <c:manualLayout>
                  <c:x val="-1.2096156374235604E-3"/>
                  <c:y val="-0.2234531060975869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1.912066691145472E-3"/>
                  <c:y val="-0.24884068736690937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9900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Dados!$B$99:$AA$99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Dados!$B$102:$AA$102</c:f>
              <c:numCache>
                <c:formatCode>0.0</c:formatCode>
                <c:ptCount val="19"/>
                <c:pt idx="0">
                  <c:v>97.9</c:v>
                </c:pt>
                <c:pt idx="1">
                  <c:v>87</c:v>
                </c:pt>
                <c:pt idx="2">
                  <c:v>83.5</c:v>
                </c:pt>
                <c:pt idx="3">
                  <c:v>95.6</c:v>
                </c:pt>
                <c:pt idx="4">
                  <c:v>97.2</c:v>
                </c:pt>
                <c:pt idx="17">
                  <c:v>74.3</c:v>
                </c:pt>
                <c:pt idx="18">
                  <c:v>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5633120"/>
        <c:axId val="285633512"/>
      </c:barChart>
      <c:lineChart>
        <c:grouping val="standard"/>
        <c:varyColors val="0"/>
        <c:ser>
          <c:idx val="46"/>
          <c:order val="0"/>
          <c:tx>
            <c:strRef>
              <c:f>Dados!$A$100</c:f>
              <c:strCache>
                <c:ptCount val="1"/>
                <c:pt idx="0">
                  <c:v>Real  16/17</c:v>
                </c:pt>
              </c:strCache>
            </c:strRef>
          </c:tx>
          <c:spPr>
            <a:ln w="25400">
              <a:solidFill>
                <a:srgbClr val="CC0066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C0066"/>
              </a:solidFill>
              <a:ln>
                <a:solidFill>
                  <a:srgbClr val="CC0066"/>
                </a:solidFill>
                <a:prstDash val="solid"/>
              </a:ln>
            </c:spPr>
          </c:marker>
          <c:dLbls>
            <c:dLbl>
              <c:idx val="11"/>
              <c:layout>
                <c:manualLayout>
                  <c:x val="-3.6845135290731149E-2"/>
                  <c:y val="-2.87511230907457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rgbClr val="CC0066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Dados!$B$99:$AA$99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Dados!$B$100:$AA$100</c:f>
              <c:numCache>
                <c:formatCode>0.0</c:formatCode>
                <c:ptCount val="19"/>
                <c:pt idx="5">
                  <c:v>33.299999999999997</c:v>
                </c:pt>
                <c:pt idx="6">
                  <c:v>100</c:v>
                </c:pt>
                <c:pt idx="7">
                  <c:v>57.1</c:v>
                </c:pt>
                <c:pt idx="8">
                  <c:v>92.3</c:v>
                </c:pt>
                <c:pt idx="9">
                  <c:v>100</c:v>
                </c:pt>
                <c:pt idx="10">
                  <c:v>20</c:v>
                </c:pt>
                <c:pt idx="11">
                  <c:v>81.3</c:v>
                </c:pt>
                <c:pt idx="12">
                  <c:v>28.6</c:v>
                </c:pt>
              </c:numCache>
            </c:numRef>
          </c:val>
          <c:smooth val="0"/>
        </c:ser>
        <c:ser>
          <c:idx val="43"/>
          <c:order val="1"/>
          <c:tx>
            <c:strRef>
              <c:f>Dados!$A$101</c:f>
              <c:strCache>
                <c:ptCount val="1"/>
                <c:pt idx="0">
                  <c:v>Meta  16/17</c:v>
                </c:pt>
              </c:strCache>
            </c:strRef>
          </c:tx>
          <c:spPr>
            <a:ln w="25400">
              <a:solidFill>
                <a:srgbClr val="000099"/>
              </a:solidFill>
              <a:prstDash val="solid"/>
            </a:ln>
          </c:spPr>
          <c:marker>
            <c:symbol val="none"/>
          </c:marker>
          <c:dPt>
            <c:idx val="4"/>
            <c:marker>
              <c:symbol val="square"/>
              <c:size val="6"/>
              <c:spPr>
                <a:solidFill>
                  <a:srgbClr val="000099"/>
                </a:solidFill>
                <a:ln>
                  <a:solidFill>
                    <a:srgbClr val="000099"/>
                  </a:solidFill>
                  <a:prstDash val="solid"/>
                </a:ln>
              </c:spPr>
            </c:marker>
            <c:bubble3D val="0"/>
          </c:dPt>
          <c:dLbls>
            <c:dLbl>
              <c:idx val="1"/>
              <c:layout>
                <c:manualLayout>
                  <c:x val="-1.3587116722029681E-2"/>
                  <c:y val="1.3428827215756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99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Dados!$B$99:$AA$99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Dados!$B$101:$AA$101</c:f>
              <c:numCache>
                <c:formatCode>0.0</c:formatCode>
                <c:ptCount val="19"/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</c:numCache>
            </c:numRef>
          </c:val>
          <c:smooth val="0"/>
        </c:ser>
        <c:ser>
          <c:idx val="1"/>
          <c:order val="3"/>
          <c:tx>
            <c:strRef>
              <c:f>Dados!$A$103</c:f>
              <c:strCache>
                <c:ptCount val="1"/>
                <c:pt idx="0">
                  <c:v>Acum Meta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20"/>
            <c:spPr>
              <a:solidFill>
                <a:srgbClr val="000099"/>
              </a:solidFill>
              <a:ln>
                <a:solidFill>
                  <a:srgbClr val="000099"/>
                </a:solidFill>
                <a:prstDash val="solid"/>
              </a:ln>
            </c:spPr>
          </c:marker>
          <c:cat>
            <c:strRef>
              <c:f>Dados!$B$99:$AA$99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Dados!$B$103:$AA$103</c:f>
              <c:numCache>
                <c:formatCode>0.0</c:formatCode>
                <c:ptCount val="19"/>
                <c:pt idx="0">
                  <c:v>97</c:v>
                </c:pt>
                <c:pt idx="1">
                  <c:v>97</c:v>
                </c:pt>
                <c:pt idx="2">
                  <c:v>97</c:v>
                </c:pt>
                <c:pt idx="3">
                  <c:v>80</c:v>
                </c:pt>
                <c:pt idx="4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5633120"/>
        <c:axId val="285633512"/>
      </c:lineChart>
      <c:catAx>
        <c:axId val="285633120"/>
        <c:scaling>
          <c:orientation val="minMax"/>
        </c:scaling>
        <c:delete val="0"/>
        <c:axPos val="b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25400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2856335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85633512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r>
                  <a:rPr lang="pt-BR"/>
                  <a:t>% de Execução</a:t>
                </a:r>
              </a:p>
            </c:rich>
          </c:tx>
          <c:layout>
            <c:manualLayout>
              <c:xMode val="edge"/>
              <c:yMode val="edge"/>
              <c:x val="2.2323945258138071E-2"/>
              <c:y val="0.3679498553246882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969696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285633120"/>
        <c:crosses val="autoZero"/>
        <c:crossBetween val="between"/>
        <c:maj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27990843113522729"/>
          <c:y val="0.934646376750076"/>
          <c:w val="0.48941037810688176"/>
          <c:h val="5.640115740249451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pt-BR" sz="900" b="0" i="0" u="none" strike="noStrike" kern="1200" baseline="0">
              <a:solidFill>
                <a:srgbClr val="000000"/>
              </a:solidFill>
              <a:latin typeface="Frutiger 55 Roman"/>
              <a:ea typeface="Frutiger 55 Roman"/>
              <a:cs typeface="Frutiger 55 Roman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75" b="1" i="0" u="none" strike="noStrike" baseline="0">
                <a:solidFill>
                  <a:srgbClr val="0099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Total - MEHE</a:t>
            </a:r>
          </a:p>
        </c:rich>
      </c:tx>
      <c:layout>
        <c:manualLayout>
          <c:xMode val="edge"/>
          <c:yMode val="edge"/>
          <c:x val="0.36960283610382033"/>
          <c:y val="1.35501727134244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53540587219343"/>
          <c:y val="0.19783197831978319"/>
          <c:w val="0.88255613126079446"/>
          <c:h val="0.54200542005420049"/>
        </c:manualLayout>
      </c:layout>
      <c:barChart>
        <c:barDir val="col"/>
        <c:grouping val="stacked"/>
        <c:varyColors val="0"/>
        <c:ser>
          <c:idx val="0"/>
          <c:order val="2"/>
          <c:tx>
            <c:strRef>
              <c:f>Dados!$A$110</c:f>
              <c:strCache>
                <c:ptCount val="1"/>
                <c:pt idx="0">
                  <c:v>Acumulado</c:v>
                </c:pt>
              </c:strCache>
            </c:strRef>
          </c:tx>
          <c:spPr>
            <a:solidFill>
              <a:srgbClr val="CC0066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Pt>
            <c:idx val="18"/>
            <c:invertIfNegative val="0"/>
            <c:bubble3D val="0"/>
            <c:spPr>
              <a:solidFill>
                <a:srgbClr val="000099"/>
              </a:solidFill>
              <a:ln w="3175">
                <a:solidFill>
                  <a:srgbClr val="FFFFFF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3.3388013998250005E-3"/>
                  <c:y val="-0.2942973817646091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3.520705745115215E-3"/>
                  <c:y val="-0.29337452709419498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3.2420166229221348E-3"/>
                  <c:y val="-0.23502556730817367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1.3331146106736658E-3"/>
                  <c:y val="-0.25899175409613306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2.3388743073782443E-3"/>
                  <c:y val="-0.25232694687006085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2.9586342226212868E-3"/>
                  <c:y val="0.9322493224932249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>
                <c:manualLayout>
                  <c:x val="3.1405288537021863E-3"/>
                  <c:y val="0.9322493224932249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layout>
                <c:manualLayout>
                  <c:x val="3.3222421950771302E-3"/>
                  <c:y val="0.9322493224932249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6666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layout>
                <c:manualLayout>
                  <c:x val="1.7770211094049273E-3"/>
                  <c:y val="0.9322493224932249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layout>
                <c:manualLayout>
                  <c:x val="2.3161873402699056E-4"/>
                  <c:y val="0.9322493224932249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layout>
                <c:manualLayout>
                  <c:x val="2.140629081860771E-3"/>
                  <c:y val="0.9322493224932249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7"/>
              <c:layout>
                <c:manualLayout>
                  <c:x val="-5.6638232720909888E-3"/>
                  <c:y val="-0.20088251911290381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8.8491542723826192E-4"/>
                  <c:y val="-0.2380146895806961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layout>
                <c:manualLayout>
                  <c:x val="-9.1134150653448057E-2"/>
                  <c:y val="-0.1477795796559523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9900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Dados!$B$107:$AA$107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Dados!$B$110:$AA$110</c:f>
              <c:numCache>
                <c:formatCode>0.0</c:formatCode>
                <c:ptCount val="19"/>
                <c:pt idx="0">
                  <c:v>93.5</c:v>
                </c:pt>
                <c:pt idx="1">
                  <c:v>96.1</c:v>
                </c:pt>
                <c:pt idx="2">
                  <c:v>75.8</c:v>
                </c:pt>
                <c:pt idx="3">
                  <c:v>85.3</c:v>
                </c:pt>
                <c:pt idx="4">
                  <c:v>84.5</c:v>
                </c:pt>
                <c:pt idx="17">
                  <c:v>64.599999999999994</c:v>
                </c:pt>
                <c:pt idx="18">
                  <c:v>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83157856"/>
        <c:axId val="183158248"/>
      </c:barChart>
      <c:lineChart>
        <c:grouping val="standard"/>
        <c:varyColors val="0"/>
        <c:ser>
          <c:idx val="46"/>
          <c:order val="0"/>
          <c:tx>
            <c:strRef>
              <c:f>Dados!$A$108</c:f>
              <c:strCache>
                <c:ptCount val="1"/>
                <c:pt idx="0">
                  <c:v>Real  16/17</c:v>
                </c:pt>
              </c:strCache>
            </c:strRef>
          </c:tx>
          <c:spPr>
            <a:ln w="25400">
              <a:solidFill>
                <a:srgbClr val="CC0066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C0066"/>
              </a:solidFill>
              <a:ln>
                <a:solidFill>
                  <a:srgbClr val="CC0066"/>
                </a:solidFill>
                <a:prstDash val="solid"/>
              </a:ln>
            </c:spPr>
          </c:marker>
          <c:dLbls>
            <c:dLbl>
              <c:idx val="5"/>
              <c:layout>
                <c:manualLayout>
                  <c:x val="-1.8518518518518563E-2"/>
                  <c:y val="-3.99636693914623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3.9351851851851936E-2"/>
                  <c:y val="3.99636693914623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3.4722222222222307E-2"/>
                  <c:y val="-3.63306085376930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rgbClr val="CC0066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strRef>
              <c:f>Dados!$B$107:$AA$107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Dados!$B$108:$AA$108</c:f>
              <c:numCache>
                <c:formatCode>0.0</c:formatCode>
                <c:ptCount val="19"/>
                <c:pt idx="5">
                  <c:v>80.2</c:v>
                </c:pt>
                <c:pt idx="6">
                  <c:v>45</c:v>
                </c:pt>
                <c:pt idx="7">
                  <c:v>92.2</c:v>
                </c:pt>
                <c:pt idx="8">
                  <c:v>32.6</c:v>
                </c:pt>
                <c:pt idx="9">
                  <c:v>91.9</c:v>
                </c:pt>
                <c:pt idx="10">
                  <c:v>98.2</c:v>
                </c:pt>
                <c:pt idx="11">
                  <c:v>93.5</c:v>
                </c:pt>
                <c:pt idx="12">
                  <c:v>14.2</c:v>
                </c:pt>
              </c:numCache>
            </c:numRef>
          </c:val>
          <c:smooth val="0"/>
        </c:ser>
        <c:ser>
          <c:idx val="43"/>
          <c:order val="1"/>
          <c:tx>
            <c:strRef>
              <c:f>Dados!$A$109</c:f>
              <c:strCache>
                <c:ptCount val="1"/>
                <c:pt idx="0">
                  <c:v>Meta  16/17</c:v>
                </c:pt>
              </c:strCache>
            </c:strRef>
          </c:tx>
          <c:spPr>
            <a:ln w="25400">
              <a:solidFill>
                <a:srgbClr val="000099"/>
              </a:solidFill>
              <a:prstDash val="solid"/>
            </a:ln>
          </c:spPr>
          <c:marker>
            <c:symbol val="none"/>
          </c:marker>
          <c:dPt>
            <c:idx val="4"/>
            <c:marker>
              <c:symbol val="square"/>
              <c:size val="6"/>
              <c:spPr>
                <a:solidFill>
                  <a:srgbClr val="000099"/>
                </a:solidFill>
                <a:ln>
                  <a:solidFill>
                    <a:srgbClr val="000099"/>
                  </a:solidFill>
                  <a:prstDash val="solid"/>
                </a:ln>
              </c:spPr>
            </c:marker>
            <c:bubble3D val="0"/>
          </c:dPt>
          <c:dLbls>
            <c:dLbl>
              <c:idx val="1"/>
              <c:layout>
                <c:manualLayout>
                  <c:x val="-1.498101793297511E-2"/>
                  <c:y val="1.35501355013550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99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Dados!$B$107:$AA$107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Dados!$B$109:$AA$109</c:f>
              <c:numCache>
                <c:formatCode>0.0</c:formatCode>
                <c:ptCount val="19"/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</c:numCache>
            </c:numRef>
          </c:val>
          <c:smooth val="0"/>
        </c:ser>
        <c:ser>
          <c:idx val="1"/>
          <c:order val="3"/>
          <c:tx>
            <c:strRef>
              <c:f>Dados!$A$111</c:f>
              <c:strCache>
                <c:ptCount val="1"/>
                <c:pt idx="0">
                  <c:v>Acum Meta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20"/>
            <c:spPr>
              <a:solidFill>
                <a:srgbClr val="000099"/>
              </a:solidFill>
              <a:ln>
                <a:solidFill>
                  <a:srgbClr val="000099"/>
                </a:solidFill>
                <a:prstDash val="solid"/>
              </a:ln>
            </c:spPr>
          </c:marker>
          <c:cat>
            <c:strRef>
              <c:f>Dados!$B$107:$AA$107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Dados!$B$111:$AA$111</c:f>
              <c:numCache>
                <c:formatCode>0.0</c:formatCode>
                <c:ptCount val="19"/>
                <c:pt idx="0">
                  <c:v>97</c:v>
                </c:pt>
                <c:pt idx="1">
                  <c:v>97</c:v>
                </c:pt>
                <c:pt idx="2">
                  <c:v>97</c:v>
                </c:pt>
                <c:pt idx="3">
                  <c:v>80</c:v>
                </c:pt>
                <c:pt idx="4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157856"/>
        <c:axId val="183158248"/>
      </c:lineChart>
      <c:catAx>
        <c:axId val="183157856"/>
        <c:scaling>
          <c:orientation val="minMax"/>
        </c:scaling>
        <c:delete val="0"/>
        <c:axPos val="b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25400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1831582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3158248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r>
                  <a:rPr lang="pt-BR"/>
                  <a:t>% de Execução</a:t>
                </a:r>
              </a:p>
            </c:rich>
          </c:tx>
          <c:layout>
            <c:manualLayout>
              <c:xMode val="edge"/>
              <c:yMode val="edge"/>
              <c:x val="2.417960775736366E-2"/>
              <c:y val="0.3604336787601822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969696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183157856"/>
        <c:crosses val="autoZero"/>
        <c:crossBetween val="between"/>
        <c:maj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27806558034412365"/>
          <c:y val="0.93224942250066145"/>
          <c:w val="0.49222805482648002"/>
          <c:h val="5.691061096926919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pt-BR" sz="900" b="0" i="0" u="none" strike="noStrike" kern="1200" baseline="0">
              <a:solidFill>
                <a:srgbClr val="000000"/>
              </a:solidFill>
              <a:latin typeface="Frutiger 55 Roman"/>
              <a:ea typeface="Frutiger 55 Roman"/>
              <a:cs typeface="Frutiger 55 Roman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99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Oficina de Veículos</a:t>
            </a:r>
          </a:p>
        </c:rich>
      </c:tx>
      <c:layout>
        <c:manualLayout>
          <c:xMode val="edge"/>
          <c:yMode val="edge"/>
          <c:x val="0.31092691403175987"/>
          <c:y val="3.15699532123701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865874363327674"/>
          <c:y val="0.20534434263459803"/>
          <c:w val="0.87096774193548387"/>
          <c:h val="0.543081748283608"/>
        </c:manualLayout>
      </c:layout>
      <c:barChart>
        <c:barDir val="col"/>
        <c:grouping val="stacked"/>
        <c:varyColors val="0"/>
        <c:ser>
          <c:idx val="0"/>
          <c:order val="2"/>
          <c:tx>
            <c:strRef>
              <c:f>Dados!$A$127</c:f>
              <c:strCache>
                <c:ptCount val="1"/>
                <c:pt idx="0">
                  <c:v>Acumulado</c:v>
                </c:pt>
              </c:strCache>
            </c:strRef>
          </c:tx>
          <c:spPr>
            <a:solidFill>
              <a:srgbClr val="CC0066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Pt>
            <c:idx val="18"/>
            <c:invertIfNegative val="0"/>
            <c:bubble3D val="0"/>
            <c:spPr>
              <a:solidFill>
                <a:srgbClr val="000099"/>
              </a:solidFill>
              <a:ln w="3175">
                <a:solidFill>
                  <a:srgbClr val="FFFFFF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2.5486155651687175E-3"/>
                  <c:y val="-0.2564227433527331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4.8594185692126439E-3"/>
                  <c:y val="-0.27453897067214428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4.8157498510259878E-3"/>
                  <c:y val="-0.20157965308684239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8.4790094479091332E-4"/>
                  <c:y val="-0.196007075202556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1.9703689551804292E-3"/>
                  <c:y val="-8.7251512039255963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2.5485914344059819E-3"/>
                  <c:y val="0.9321552395912673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>
                <c:manualLayout>
                  <c:x val="2.5486882195483382E-3"/>
                  <c:y val="0.9321552395912673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layout>
                <c:manualLayout>
                  <c:x val="2.5486068595381348E-3"/>
                  <c:y val="0.9321552395912673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6666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layout>
                <c:manualLayout>
                  <c:x val="2.5487036446804911E-3"/>
                  <c:y val="0.9321552395912673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layout>
                <c:manualLayout>
                  <c:x val="-2.5447563231397186E-3"/>
                  <c:y val="0.9321552395912673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layout>
                <c:manualLayout>
                  <c:x val="8.5092620054256791E-4"/>
                  <c:y val="0.9321552395912673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7"/>
              <c:layout>
                <c:manualLayout>
                  <c:x val="-3.0828295509855029E-3"/>
                  <c:y val="-0.1081727148236905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2.024590946928861E-3"/>
                  <c:y val="-0.2530802807257788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009900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Dados!$B$124:$AA$124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Dados!$B$127:$AA$127</c:f>
              <c:numCache>
                <c:formatCode>0.0</c:formatCode>
                <c:ptCount val="19"/>
                <c:pt idx="0">
                  <c:v>89.6</c:v>
                </c:pt>
                <c:pt idx="1">
                  <c:v>95.6</c:v>
                </c:pt>
                <c:pt idx="2">
                  <c:v>61.8</c:v>
                </c:pt>
                <c:pt idx="3">
                  <c:v>64.2</c:v>
                </c:pt>
                <c:pt idx="4">
                  <c:v>18.600000000000001</c:v>
                </c:pt>
                <c:pt idx="17">
                  <c:v>29.4</c:v>
                </c:pt>
                <c:pt idx="18">
                  <c:v>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83159032"/>
        <c:axId val="183159424"/>
      </c:barChart>
      <c:lineChart>
        <c:grouping val="standard"/>
        <c:varyColors val="0"/>
        <c:ser>
          <c:idx val="46"/>
          <c:order val="0"/>
          <c:tx>
            <c:strRef>
              <c:f>Dados!$A$125</c:f>
              <c:strCache>
                <c:ptCount val="1"/>
                <c:pt idx="0">
                  <c:v>Real  16/17</c:v>
                </c:pt>
              </c:strCache>
            </c:strRef>
          </c:tx>
          <c:spPr>
            <a:ln w="25400">
              <a:solidFill>
                <a:srgbClr val="CC0066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C0066"/>
              </a:solidFill>
              <a:ln>
                <a:solidFill>
                  <a:srgbClr val="CC0066"/>
                </a:solidFill>
                <a:prstDash val="solid"/>
              </a:ln>
            </c:spPr>
          </c:marker>
          <c:dLbls>
            <c:dLbl>
              <c:idx val="5"/>
              <c:layout>
                <c:manualLayout>
                  <c:x val="-1.3864818024263431E-2"/>
                  <c:y val="-2.89855072463769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1.1554015020219527E-2"/>
                  <c:y val="-3.26086956521739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1.1554015020219527E-2"/>
                  <c:y val="-2.89855072463768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1.617562102830742E-2"/>
                  <c:y val="-3.6231884057971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rgbClr val="CC0066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strRef>
              <c:f>Dados!$B$124:$AA$124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Dados!$B$125:$AA$125</c:f>
              <c:numCache>
                <c:formatCode>0.0</c:formatCode>
                <c:ptCount val="19"/>
                <c:pt idx="5">
                  <c:v>14.3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66.7</c:v>
                </c:pt>
                <c:pt idx="10">
                  <c:v>42.9</c:v>
                </c:pt>
                <c:pt idx="11">
                  <c:v>80.8</c:v>
                </c:pt>
                <c:pt idx="12">
                  <c:v>55.6</c:v>
                </c:pt>
              </c:numCache>
            </c:numRef>
          </c:val>
          <c:smooth val="0"/>
        </c:ser>
        <c:ser>
          <c:idx val="43"/>
          <c:order val="1"/>
          <c:tx>
            <c:strRef>
              <c:f>Dados!$A$126</c:f>
              <c:strCache>
                <c:ptCount val="1"/>
                <c:pt idx="0">
                  <c:v>Meta  16/17</c:v>
                </c:pt>
              </c:strCache>
            </c:strRef>
          </c:tx>
          <c:spPr>
            <a:ln w="25400">
              <a:solidFill>
                <a:srgbClr val="000099"/>
              </a:solidFill>
              <a:prstDash val="solid"/>
            </a:ln>
          </c:spPr>
          <c:marker>
            <c:symbol val="none"/>
          </c:marker>
          <c:dPt>
            <c:idx val="4"/>
            <c:marker>
              <c:symbol val="square"/>
              <c:size val="6"/>
              <c:spPr>
                <a:solidFill>
                  <a:srgbClr val="000099"/>
                </a:solidFill>
                <a:ln>
                  <a:solidFill>
                    <a:srgbClr val="000099"/>
                  </a:solidFill>
                  <a:prstDash val="solid"/>
                </a:ln>
              </c:spPr>
            </c:marker>
            <c:bubble3D val="0"/>
          </c:dPt>
          <c:dLbls>
            <c:dLbl>
              <c:idx val="1"/>
              <c:layout>
                <c:manualLayout>
                  <c:x val="-1.3292369828369092E-2"/>
                  <c:y val="1.35094962259603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25" b="0" i="0" u="none" strike="noStrike" baseline="0">
                    <a:solidFill>
                      <a:srgbClr val="000099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Dados!$B$124:$AA$124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Dados!$B$126:$AA$126</c:f>
              <c:numCache>
                <c:formatCode>0.0</c:formatCode>
                <c:ptCount val="19"/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</c:numCache>
            </c:numRef>
          </c:val>
          <c:smooth val="0"/>
        </c:ser>
        <c:ser>
          <c:idx val="1"/>
          <c:order val="3"/>
          <c:tx>
            <c:strRef>
              <c:f>Dados!$A$128</c:f>
              <c:strCache>
                <c:ptCount val="1"/>
                <c:pt idx="0">
                  <c:v>Acum Meta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20"/>
            <c:spPr>
              <a:solidFill>
                <a:srgbClr val="000099"/>
              </a:solidFill>
              <a:ln>
                <a:solidFill>
                  <a:srgbClr val="000099"/>
                </a:solidFill>
                <a:prstDash val="solid"/>
              </a:ln>
            </c:spPr>
          </c:marker>
          <c:cat>
            <c:strRef>
              <c:f>Dados!$B$124:$AA$124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Dados!$B$128:$AA$128</c:f>
              <c:numCache>
                <c:formatCode>0.0</c:formatCode>
                <c:ptCount val="19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85</c:v>
                </c:pt>
                <c:pt idx="4">
                  <c:v>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159032"/>
        <c:axId val="183159424"/>
      </c:lineChart>
      <c:catAx>
        <c:axId val="183159032"/>
        <c:scaling>
          <c:orientation val="minMax"/>
        </c:scaling>
        <c:delete val="0"/>
        <c:axPos val="b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25400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1831594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315942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r>
                  <a:rPr lang="pt-BR"/>
                  <a:t>% de Execução</a:t>
                </a:r>
              </a:p>
            </c:rich>
          </c:tx>
          <c:layout>
            <c:manualLayout>
              <c:xMode val="edge"/>
              <c:yMode val="edge"/>
              <c:x val="2.3769065261989564E-2"/>
              <c:y val="0.367458347597854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969696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183159032"/>
        <c:crosses val="autoZero"/>
        <c:crossBetween val="between"/>
        <c:maj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30963541169138953"/>
          <c:y val="0.93485706949674763"/>
          <c:w val="0.48387086796126222"/>
          <c:h val="5.673998630605958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pt-BR" sz="900" b="0" i="0" u="none" strike="noStrike" kern="1200" baseline="0">
              <a:solidFill>
                <a:srgbClr val="000000"/>
              </a:solidFill>
              <a:latin typeface="Frutiger 55 Roman"/>
              <a:ea typeface="Frutiger 55 Roman"/>
              <a:cs typeface="Frutiger 55 Roman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99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Solda de Conectores</a:t>
            </a:r>
          </a:p>
        </c:rich>
      </c:tx>
      <c:layout>
        <c:manualLayout>
          <c:xMode val="edge"/>
          <c:yMode val="edge"/>
          <c:x val="0.29730300176949287"/>
          <c:y val="2.06749971470957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865874363327677"/>
          <c:y val="0.19606087735004477"/>
          <c:w val="0.88455008488964326"/>
          <c:h val="0.5452103849597133"/>
        </c:manualLayout>
      </c:layout>
      <c:barChart>
        <c:barDir val="col"/>
        <c:grouping val="stacked"/>
        <c:varyColors val="0"/>
        <c:ser>
          <c:idx val="0"/>
          <c:order val="2"/>
          <c:tx>
            <c:strRef>
              <c:f>Dados!$A$30</c:f>
              <c:strCache>
                <c:ptCount val="1"/>
                <c:pt idx="0">
                  <c:v>Acumulado</c:v>
                </c:pt>
              </c:strCache>
            </c:strRef>
          </c:tx>
          <c:spPr>
            <a:solidFill>
              <a:srgbClr val="CC0066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Pt>
            <c:idx val="18"/>
            <c:invertIfNegative val="0"/>
            <c:bubble3D val="0"/>
            <c:spPr>
              <a:solidFill>
                <a:srgbClr val="000099"/>
              </a:solidFill>
              <a:ln w="3175">
                <a:solidFill>
                  <a:srgbClr val="FFFFFF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1.128524382898532E-3"/>
                  <c:y val="-0.29083021553528687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2.1115411866451167E-3"/>
                  <c:y val="-0.2877371302423913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3.2249348380845809E-3"/>
                  <c:y val="-0.2639298756133744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6.2209728116741038E-4"/>
                  <c:y val="-0.25043421202784438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2.9319905202490936E-3"/>
                  <c:y val="-0.25278414926395065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2.8166914204750507E-3"/>
                  <c:y val="0.9319606087735006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>
                <c:manualLayout>
                  <c:x val="2.1018917079511103E-3"/>
                  <c:y val="0.9319606087735006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layout>
                <c:manualLayout>
                  <c:x val="1.386913850274496E-3"/>
                  <c:y val="0.9319606087735006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6666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layout>
                <c:manualLayout>
                  <c:x val="2.3699070070205197E-3"/>
                  <c:y val="0.9319606087735006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layout>
                <c:manualLayout>
                  <c:x val="1.6551072944965769E-3"/>
                  <c:y val="0.93196060877350062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layout>
                <c:manualLayout>
                  <c:x val="2.637922306089929E-3"/>
                  <c:y val="0.9319606087735006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7"/>
              <c:layout>
                <c:manualLayout>
                  <c:x val="-1.4095898324667823E-3"/>
                  <c:y val="-0.2693289969188634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1.552059025550749E-3"/>
                  <c:y val="-0.24894043135912355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layout>
                <c:manualLayout>
                  <c:x val="-9.0479599590352275E-2"/>
                  <c:y val="-0.10562421570673697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9900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Dados!$B$27:$AA$27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Dados!$B$30:$AA$30</c:f>
              <c:numCache>
                <c:formatCode>0.0</c:formatCode>
                <c:ptCount val="19"/>
                <c:pt idx="1">
                  <c:v>100</c:v>
                </c:pt>
                <c:pt idx="2">
                  <c:v>91.1</c:v>
                </c:pt>
                <c:pt idx="3">
                  <c:v>80.7</c:v>
                </c:pt>
                <c:pt idx="4">
                  <c:v>85.1</c:v>
                </c:pt>
                <c:pt idx="17">
                  <c:v>90.6</c:v>
                </c:pt>
                <c:pt idx="18">
                  <c:v>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35449000"/>
        <c:axId val="235449392"/>
      </c:barChart>
      <c:lineChart>
        <c:grouping val="standard"/>
        <c:varyColors val="0"/>
        <c:ser>
          <c:idx val="46"/>
          <c:order val="0"/>
          <c:tx>
            <c:strRef>
              <c:f>Dados!$A$28</c:f>
              <c:strCache>
                <c:ptCount val="1"/>
                <c:pt idx="0">
                  <c:v>Real  16/17</c:v>
                </c:pt>
              </c:strCache>
            </c:strRef>
          </c:tx>
          <c:spPr>
            <a:ln w="25400">
              <a:solidFill>
                <a:srgbClr val="CC0066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C0066"/>
              </a:solidFill>
              <a:ln>
                <a:solidFill>
                  <a:srgbClr val="CC0066"/>
                </a:solidFill>
                <a:prstDash val="solid"/>
              </a:ln>
            </c:spPr>
          </c:marker>
          <c:dLbls>
            <c:dLbl>
              <c:idx val="5"/>
              <c:layout>
                <c:manualLayout>
                  <c:x val="-3.4662045060658661E-2"/>
                  <c:y val="3.6231884057971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1.3864818024263516E-2"/>
                  <c:y val="-3.98550724637681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6.7013287117273335E-2"/>
                  <c:y val="-3.26086956521739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5.0837666088965915E-2"/>
                  <c:y val="-3.26086956521739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6.7013287117273251E-2"/>
                  <c:y val="-2.89855072463768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5.0837666088965915E-2"/>
                  <c:y val="-3.26086956521739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3.6972848064702482E-2"/>
                  <c:y val="3.6231884057971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rgbClr val="CC0066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strRef>
              <c:f>Dados!$B$27:$AA$27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Dados!$B$28:$AA$28</c:f>
              <c:numCache>
                <c:formatCode>0.0</c:formatCode>
                <c:ptCount val="19"/>
                <c:pt idx="5">
                  <c:v>76.900000000000006</c:v>
                </c:pt>
                <c:pt idx="6">
                  <c:v>83.3</c:v>
                </c:pt>
                <c:pt idx="7">
                  <c:v>100</c:v>
                </c:pt>
                <c:pt idx="8">
                  <c:v>100</c:v>
                </c:pt>
                <c:pt idx="9">
                  <c:v>66.7</c:v>
                </c:pt>
                <c:pt idx="10">
                  <c:v>100</c:v>
                </c:pt>
                <c:pt idx="11">
                  <c:v>100</c:v>
                </c:pt>
                <c:pt idx="12">
                  <c:v>78.3</c:v>
                </c:pt>
              </c:numCache>
            </c:numRef>
          </c:val>
          <c:smooth val="0"/>
        </c:ser>
        <c:ser>
          <c:idx val="43"/>
          <c:order val="1"/>
          <c:tx>
            <c:strRef>
              <c:f>Dados!$A$29</c:f>
              <c:strCache>
                <c:ptCount val="1"/>
                <c:pt idx="0">
                  <c:v>Meta  16/17</c:v>
                </c:pt>
              </c:strCache>
            </c:strRef>
          </c:tx>
          <c:spPr>
            <a:ln w="25400">
              <a:solidFill>
                <a:srgbClr val="000099"/>
              </a:solidFill>
              <a:prstDash val="solid"/>
            </a:ln>
          </c:spPr>
          <c:marker>
            <c:symbol val="none"/>
          </c:marker>
          <c:dPt>
            <c:idx val="4"/>
            <c:marker>
              <c:symbol val="square"/>
              <c:size val="6"/>
              <c:spPr>
                <a:solidFill>
                  <a:srgbClr val="000099"/>
                </a:solidFill>
                <a:ln>
                  <a:solidFill>
                    <a:srgbClr val="000099"/>
                  </a:solidFill>
                  <a:prstDash val="solid"/>
                </a:ln>
              </c:spPr>
            </c:marker>
            <c:bubble3D val="0"/>
          </c:dPt>
          <c:cat>
            <c:strRef>
              <c:f>Dados!$B$27:$AA$27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Dados!$B$29:$AA$29</c:f>
              <c:numCache>
                <c:formatCode>0.0</c:formatCode>
                <c:ptCount val="19"/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</c:numCache>
            </c:numRef>
          </c:val>
          <c:smooth val="0"/>
        </c:ser>
        <c:ser>
          <c:idx val="1"/>
          <c:order val="3"/>
          <c:tx>
            <c:strRef>
              <c:f>Dados!$A$31</c:f>
              <c:strCache>
                <c:ptCount val="1"/>
                <c:pt idx="0">
                  <c:v>Acum Meta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20"/>
            <c:spPr>
              <a:solidFill>
                <a:srgbClr val="000099"/>
              </a:solidFill>
              <a:ln>
                <a:solidFill>
                  <a:srgbClr val="000099"/>
                </a:solidFill>
                <a:prstDash val="solid"/>
              </a:ln>
            </c:spPr>
          </c:marker>
          <c:cat>
            <c:strRef>
              <c:f>Dados!$B$27:$AA$27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Dados!$B$31:$AA$31</c:f>
              <c:numCache>
                <c:formatCode>0.0</c:formatCode>
                <c:ptCount val="19"/>
                <c:pt idx="1">
                  <c:v>97</c:v>
                </c:pt>
                <c:pt idx="2">
                  <c:v>97</c:v>
                </c:pt>
                <c:pt idx="3">
                  <c:v>80</c:v>
                </c:pt>
                <c:pt idx="4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449000"/>
        <c:axId val="235449392"/>
      </c:lineChart>
      <c:catAx>
        <c:axId val="235449000"/>
        <c:scaling>
          <c:orientation val="minMax"/>
        </c:scaling>
        <c:delete val="0"/>
        <c:axPos val="b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25400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2354493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35449392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r>
                  <a:rPr lang="pt-BR"/>
                  <a:t>% de Execução</a:t>
                </a:r>
              </a:p>
            </c:rich>
          </c:tx>
          <c:layout>
            <c:manualLayout>
              <c:xMode val="edge"/>
              <c:yMode val="edge"/>
              <c:x val="2.3769101401184954E-2"/>
              <c:y val="0.35989244550952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969696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235449000"/>
        <c:crosses val="autoZero"/>
        <c:crossBetween val="between"/>
        <c:maj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3002176800438805"/>
          <c:y val="0.93103046901745978"/>
          <c:w val="0.4838709150993431"/>
          <c:h val="5.640106128038346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pt-BR" sz="900" b="0" i="0" u="none" strike="noStrike" kern="1200" baseline="0">
              <a:solidFill>
                <a:srgbClr val="000000"/>
              </a:solidFill>
              <a:latin typeface="Frutiger 55 Roman"/>
              <a:ea typeface="Frutiger 55 Roman"/>
              <a:cs typeface="Frutiger 55 Roman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99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SEIN / ELCE</a:t>
            </a:r>
          </a:p>
        </c:rich>
      </c:tx>
      <c:layout>
        <c:manualLayout>
          <c:xMode val="edge"/>
          <c:yMode val="edge"/>
          <c:x val="0.3822299248989024"/>
          <c:y val="2.796530868424055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865874363327674"/>
          <c:y val="0.20534434263459803"/>
          <c:w val="0.87096774193548387"/>
          <c:h val="0.543081748283608"/>
        </c:manualLayout>
      </c:layout>
      <c:barChart>
        <c:barDir val="col"/>
        <c:grouping val="stacked"/>
        <c:varyColors val="0"/>
        <c:ser>
          <c:idx val="0"/>
          <c:order val="2"/>
          <c:tx>
            <c:strRef>
              <c:f>Dados!$A$136</c:f>
              <c:strCache>
                <c:ptCount val="1"/>
                <c:pt idx="0">
                  <c:v>Acumulado</c:v>
                </c:pt>
              </c:strCache>
            </c:strRef>
          </c:tx>
          <c:spPr>
            <a:solidFill>
              <a:srgbClr val="CC0066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Pt>
            <c:idx val="17"/>
            <c:invertIfNegative val="0"/>
            <c:bubble3D val="0"/>
          </c:dPt>
          <c:dPt>
            <c:idx val="18"/>
            <c:invertIfNegative val="0"/>
            <c:bubble3D val="0"/>
            <c:spPr>
              <a:solidFill>
                <a:srgbClr val="000099"/>
              </a:solidFill>
              <a:ln w="3175">
                <a:solidFill>
                  <a:srgbClr val="FFFFFF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-2.0606176394328737E-3"/>
                  <c:y val="-0.2226298071436723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2.378125611248334E-4"/>
                  <c:y val="-0.25403172429533266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2.4800192870176227E-4"/>
                  <c:y val="-0.2194736391646696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3.7604224948484559E-3"/>
                  <c:y val="-0.26503252310852449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2.6647015743482671E-3"/>
                  <c:y val="-0.21781610179162386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2.5485914344059819E-3"/>
                  <c:y val="0.9321552395912673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>
                <c:manualLayout>
                  <c:x val="2.5486882195483382E-3"/>
                  <c:y val="0.9321552395912673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layout>
                <c:manualLayout>
                  <c:x val="2.5486068595381348E-3"/>
                  <c:y val="0.9321552395912673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6666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layout>
                <c:manualLayout>
                  <c:x val="2.5487036446804911E-3"/>
                  <c:y val="0.9321552395912673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layout>
                <c:manualLayout>
                  <c:x val="-2.5447563231397186E-3"/>
                  <c:y val="0.9321552395912673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layout>
                <c:manualLayout>
                  <c:x val="-3.7458660283721571E-3"/>
                  <c:y val="-0.2047760112920361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7"/>
              <c:layout>
                <c:manualLayout>
                  <c:x val="-7.5801616652354813E-4"/>
                  <c:y val="-0.2637849480771425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2.8621205711504435E-4"/>
                  <c:y val="-0.24583390391418461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009900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Dados!$B$133:$AA$133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Dados!$B$136:$AA$136</c:f>
              <c:numCache>
                <c:formatCode>0.0</c:formatCode>
                <c:ptCount val="19"/>
                <c:pt idx="0">
                  <c:v>70.2</c:v>
                </c:pt>
                <c:pt idx="1">
                  <c:v>82.7</c:v>
                </c:pt>
                <c:pt idx="2">
                  <c:v>72.599999999999994</c:v>
                </c:pt>
                <c:pt idx="3">
                  <c:v>76</c:v>
                </c:pt>
                <c:pt idx="4">
                  <c:v>70.900000000000006</c:v>
                </c:pt>
                <c:pt idx="17">
                  <c:v>86.9</c:v>
                </c:pt>
                <c:pt idx="18">
                  <c:v>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35450176"/>
        <c:axId val="243597296"/>
      </c:barChart>
      <c:lineChart>
        <c:grouping val="standard"/>
        <c:varyColors val="0"/>
        <c:ser>
          <c:idx val="46"/>
          <c:order val="0"/>
          <c:tx>
            <c:strRef>
              <c:f>Dados!$A$134</c:f>
              <c:strCache>
                <c:ptCount val="1"/>
                <c:pt idx="0">
                  <c:v>Real  16/17</c:v>
                </c:pt>
              </c:strCache>
            </c:strRef>
          </c:tx>
          <c:spPr>
            <a:ln w="25400">
              <a:solidFill>
                <a:srgbClr val="CC0066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C0066"/>
              </a:solidFill>
              <a:ln>
                <a:solidFill>
                  <a:srgbClr val="CC0066"/>
                </a:solidFill>
                <a:prstDash val="solid"/>
              </a:ln>
            </c:spPr>
          </c:marker>
          <c:dLbls>
            <c:dLbl>
              <c:idx val="5"/>
              <c:layout>
                <c:manualLayout>
                  <c:x val="-3.6972848064702482E-2"/>
                  <c:y val="-3.62318840579709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3.9283651068746345E-2"/>
                  <c:y val="3.6231884057971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4.6216060080878106E-2"/>
                  <c:y val="-3.26086956521739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3.4662045060658661E-2"/>
                  <c:y val="-3.6231884057971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rgbClr val="CC0066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Dados!$B$133:$AA$133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Dados!$B$134:$AA$134</c:f>
              <c:numCache>
                <c:formatCode>0.0</c:formatCode>
                <c:ptCount val="19"/>
                <c:pt idx="5">
                  <c:v>90.9</c:v>
                </c:pt>
                <c:pt idx="6">
                  <c:v>83.1</c:v>
                </c:pt>
                <c:pt idx="7">
                  <c:v>89.1</c:v>
                </c:pt>
                <c:pt idx="8">
                  <c:v>89.8</c:v>
                </c:pt>
                <c:pt idx="9">
                  <c:v>90.8</c:v>
                </c:pt>
                <c:pt idx="10">
                  <c:v>74.599999999999994</c:v>
                </c:pt>
                <c:pt idx="11">
                  <c:v>91</c:v>
                </c:pt>
                <c:pt idx="12">
                  <c:v>75.2</c:v>
                </c:pt>
              </c:numCache>
            </c:numRef>
          </c:val>
          <c:smooth val="0"/>
        </c:ser>
        <c:ser>
          <c:idx val="43"/>
          <c:order val="1"/>
          <c:tx>
            <c:strRef>
              <c:f>Dados!$A$135</c:f>
              <c:strCache>
                <c:ptCount val="1"/>
                <c:pt idx="0">
                  <c:v>Meta  16/17</c:v>
                </c:pt>
              </c:strCache>
            </c:strRef>
          </c:tx>
          <c:spPr>
            <a:ln w="25400">
              <a:solidFill>
                <a:srgbClr val="000099"/>
              </a:solidFill>
              <a:prstDash val="solid"/>
            </a:ln>
          </c:spPr>
          <c:marker>
            <c:symbol val="none"/>
          </c:marker>
          <c:dPt>
            <c:idx val="4"/>
            <c:marker>
              <c:symbol val="square"/>
              <c:size val="6"/>
              <c:spPr>
                <a:solidFill>
                  <a:srgbClr val="000099"/>
                </a:solidFill>
                <a:ln>
                  <a:solidFill>
                    <a:srgbClr val="000099"/>
                  </a:solidFill>
                  <a:prstDash val="solid"/>
                </a:ln>
              </c:spPr>
            </c:marker>
            <c:bubble3D val="0"/>
          </c:dPt>
          <c:dLbls>
            <c:dLbl>
              <c:idx val="1"/>
              <c:layout>
                <c:manualLayout>
                  <c:x val="-1.3292369828369092E-2"/>
                  <c:y val="1.35094962259603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25" b="0" i="0" u="none" strike="noStrike" baseline="0">
                    <a:solidFill>
                      <a:srgbClr val="000099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Dados!$B$133:$AA$133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Dados!$B$135:$AA$135</c:f>
              <c:numCache>
                <c:formatCode>0.0</c:formatCode>
                <c:ptCount val="19"/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</c:numCache>
            </c:numRef>
          </c:val>
          <c:smooth val="0"/>
        </c:ser>
        <c:ser>
          <c:idx val="1"/>
          <c:order val="3"/>
          <c:tx>
            <c:strRef>
              <c:f>Dados!$A$137</c:f>
              <c:strCache>
                <c:ptCount val="1"/>
                <c:pt idx="0">
                  <c:v>Acum Meta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20"/>
            <c:spPr>
              <a:solidFill>
                <a:srgbClr val="000099"/>
              </a:solidFill>
              <a:ln>
                <a:solidFill>
                  <a:srgbClr val="000099"/>
                </a:solidFill>
                <a:prstDash val="solid"/>
              </a:ln>
            </c:spPr>
          </c:marker>
          <c:cat>
            <c:strRef>
              <c:f>Dados!$B$133:$AA$133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Dados!$B$137:$AA$137</c:f>
              <c:numCache>
                <c:formatCode>0.0</c:formatCode>
                <c:ptCount val="19"/>
                <c:pt idx="0">
                  <c:v>97</c:v>
                </c:pt>
                <c:pt idx="1">
                  <c:v>97</c:v>
                </c:pt>
                <c:pt idx="2">
                  <c:v>97</c:v>
                </c:pt>
                <c:pt idx="3">
                  <c:v>80</c:v>
                </c:pt>
                <c:pt idx="4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450176"/>
        <c:axId val="243597296"/>
      </c:lineChart>
      <c:catAx>
        <c:axId val="235450176"/>
        <c:scaling>
          <c:orientation val="minMax"/>
        </c:scaling>
        <c:delete val="0"/>
        <c:axPos val="b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25400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2435972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4359729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r>
                  <a:rPr lang="pt-BR"/>
                  <a:t>% de Execução</a:t>
                </a:r>
              </a:p>
            </c:rich>
          </c:tx>
          <c:layout>
            <c:manualLayout>
              <c:xMode val="edge"/>
              <c:yMode val="edge"/>
              <c:x val="2.3769065261989564E-2"/>
              <c:y val="0.367458347597854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969696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235450176"/>
        <c:crosses val="autoZero"/>
        <c:crossBetween val="between"/>
        <c:maj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30963541169138953"/>
          <c:y val="0.93485706949674763"/>
          <c:w val="0.48387086796126222"/>
          <c:h val="5.673998630605958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Frutiger 55 Roman"/>
              <a:ea typeface="Frutiger 55 Roman"/>
              <a:cs typeface="Frutiger 55 Roman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75" b="1" i="0" u="none" strike="noStrike" baseline="0">
                <a:solidFill>
                  <a:srgbClr val="0099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Rev. 03</a:t>
            </a:r>
          </a:p>
        </c:rich>
      </c:tx>
      <c:layout>
        <c:manualLayout>
          <c:xMode val="edge"/>
          <c:yMode val="edge"/>
          <c:x val="0.43230925719060204"/>
          <c:y val="3.532994343009576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51032224352328"/>
          <c:y val="0.19241192411924118"/>
          <c:w val="0.89122621901940791"/>
          <c:h val="0.54742547425474253"/>
        </c:manualLayout>
      </c:layout>
      <c:barChart>
        <c:barDir val="col"/>
        <c:grouping val="stacked"/>
        <c:varyColors val="0"/>
        <c:ser>
          <c:idx val="0"/>
          <c:order val="2"/>
          <c:tx>
            <c:strRef>
              <c:f>Dados!$A$62</c:f>
              <c:strCache>
                <c:ptCount val="1"/>
                <c:pt idx="0">
                  <c:v>Acumulado</c:v>
                </c:pt>
              </c:strCache>
            </c:strRef>
          </c:tx>
          <c:spPr>
            <a:solidFill>
              <a:srgbClr val="CC0066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Pt>
            <c:idx val="18"/>
            <c:invertIfNegative val="0"/>
            <c:bubble3D val="0"/>
            <c:spPr>
              <a:solidFill>
                <a:srgbClr val="000099"/>
              </a:solidFill>
              <a:ln w="3175">
                <a:solidFill>
                  <a:srgbClr val="FFFFFF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-3.8842384961208344E-3"/>
                  <c:y val="-0.2912250652574612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2.5956098048297805E-3"/>
                  <c:y val="-0.2596365508807311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3.0867594837842502E-3"/>
                  <c:y val="-0.260269332818411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1.6601731011997203E-3"/>
                  <c:y val="-0.266440673117495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2.3118909444277522E-3"/>
                  <c:y val="-0.2118426341121528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2.5425730547957675E-3"/>
                  <c:y val="0.932249322493224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>
                <c:manualLayout>
                  <c:x val="2.0898356499010028E-3"/>
                  <c:y val="0.9322493224932249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layout>
                <c:manualLayout>
                  <c:x val="1.6370982450063486E-3"/>
                  <c:y val="0.9322493224932249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6666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layout>
                <c:manualLayout>
                  <c:x val="2.9048747764424646E-3"/>
                  <c:y val="0.932249322493224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layout>
                <c:manualLayout>
                  <c:x val="-2.709404437444943E-3"/>
                  <c:y val="0.932249322493224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layout>
                <c:manualLayout>
                  <c:x val="3.7197332372197454E-3"/>
                  <c:y val="0.932249322493224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7"/>
              <c:layout>
                <c:manualLayout>
                  <c:x val="-2.4417622537668913E-3"/>
                  <c:y val="-0.2564265842791448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1.1176198130942974E-3"/>
                  <c:y val="-0.24991110443619616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9900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CC0066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Dados!$B$59:$AA$59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Dados!$B$62:$AA$62</c:f>
              <c:numCache>
                <c:formatCode>0.0</c:formatCode>
                <c:ptCount val="19"/>
                <c:pt idx="0">
                  <c:v>93.2</c:v>
                </c:pt>
                <c:pt idx="1">
                  <c:v>86.5</c:v>
                </c:pt>
                <c:pt idx="2">
                  <c:v>91.7</c:v>
                </c:pt>
                <c:pt idx="3">
                  <c:v>91.3</c:v>
                </c:pt>
                <c:pt idx="4">
                  <c:v>73</c:v>
                </c:pt>
                <c:pt idx="17">
                  <c:v>84.6</c:v>
                </c:pt>
                <c:pt idx="18">
                  <c:v>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12887416"/>
        <c:axId val="212887808"/>
      </c:barChart>
      <c:lineChart>
        <c:grouping val="standard"/>
        <c:varyColors val="0"/>
        <c:ser>
          <c:idx val="46"/>
          <c:order val="0"/>
          <c:tx>
            <c:strRef>
              <c:f>Dados!$A$60</c:f>
              <c:strCache>
                <c:ptCount val="1"/>
                <c:pt idx="0">
                  <c:v>Real  16/17</c:v>
                </c:pt>
              </c:strCache>
            </c:strRef>
          </c:tx>
          <c:spPr>
            <a:ln w="25400">
              <a:solidFill>
                <a:srgbClr val="CC0066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C0066"/>
              </a:solidFill>
              <a:ln>
                <a:solidFill>
                  <a:srgbClr val="CC0066"/>
                </a:solidFill>
                <a:prstDash val="solid"/>
              </a:ln>
            </c:spPr>
          </c:marker>
          <c:dLbls>
            <c:dLbl>
              <c:idx val="6"/>
              <c:layout>
                <c:manualLayout>
                  <c:x val="-6.2283737024221499E-2"/>
                  <c:y val="-3.63306085376930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2.306805074971165E-2"/>
                  <c:y val="-3.63306085376930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4.1522491349480967E-2"/>
                  <c:y val="3.99636693914623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rgbClr val="CC0066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Dados!$B$59:$AA$59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Dados!$B$60:$AA$60</c:f>
              <c:numCache>
                <c:formatCode>0.0</c:formatCode>
                <c:ptCount val="19"/>
                <c:pt idx="5">
                  <c:v>61.9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smooth val="0"/>
        </c:ser>
        <c:ser>
          <c:idx val="43"/>
          <c:order val="1"/>
          <c:tx>
            <c:strRef>
              <c:f>Dados!$A$61</c:f>
              <c:strCache>
                <c:ptCount val="1"/>
                <c:pt idx="0">
                  <c:v>Meta  16/17</c:v>
                </c:pt>
              </c:strCache>
            </c:strRef>
          </c:tx>
          <c:spPr>
            <a:ln w="25400">
              <a:solidFill>
                <a:srgbClr val="000099"/>
              </a:solidFill>
              <a:prstDash val="solid"/>
            </a:ln>
          </c:spPr>
          <c:marker>
            <c:symbol val="none"/>
          </c:marker>
          <c:dPt>
            <c:idx val="4"/>
            <c:marker>
              <c:symbol val="square"/>
              <c:size val="6"/>
              <c:spPr>
                <a:solidFill>
                  <a:srgbClr val="000099"/>
                </a:solidFill>
                <a:ln>
                  <a:solidFill>
                    <a:srgbClr val="000099"/>
                  </a:solidFill>
                  <a:prstDash val="solid"/>
                </a:ln>
              </c:spPr>
            </c:marker>
            <c:bubble3D val="0"/>
          </c:dPt>
          <c:dLbls>
            <c:dLbl>
              <c:idx val="1"/>
              <c:layout>
                <c:manualLayout>
                  <c:x val="-1.4158856048847287E-2"/>
                  <c:y val="1.3550135501355014E-2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775" b="0" i="0" u="none" strike="noStrike" baseline="0">
                    <a:solidFill>
                      <a:srgbClr val="000099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Dados!$B$59:$AA$59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Dados!$B$61:$AA$61</c:f>
              <c:numCache>
                <c:formatCode>0.0</c:formatCode>
                <c:ptCount val="19"/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</c:numCache>
            </c:numRef>
          </c:val>
          <c:smooth val="0"/>
        </c:ser>
        <c:ser>
          <c:idx val="1"/>
          <c:order val="3"/>
          <c:tx>
            <c:strRef>
              <c:f>Dados!$A$63</c:f>
              <c:strCache>
                <c:ptCount val="1"/>
                <c:pt idx="0">
                  <c:v>Acum Meta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20"/>
            <c:spPr>
              <a:solidFill>
                <a:srgbClr val="000099"/>
              </a:solidFill>
              <a:ln>
                <a:solidFill>
                  <a:srgbClr val="000099"/>
                </a:solidFill>
                <a:prstDash val="solid"/>
              </a:ln>
            </c:spPr>
          </c:marker>
          <c:cat>
            <c:strRef>
              <c:f>Dados!$B$59:$AA$59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Dados!$B$63:$AA$63</c:f>
              <c:numCache>
                <c:formatCode>0.0</c:formatCode>
                <c:ptCount val="19"/>
                <c:pt idx="0">
                  <c:v>97</c:v>
                </c:pt>
                <c:pt idx="1">
                  <c:v>97</c:v>
                </c:pt>
                <c:pt idx="2">
                  <c:v>97</c:v>
                </c:pt>
                <c:pt idx="3">
                  <c:v>80</c:v>
                </c:pt>
                <c:pt idx="4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887416"/>
        <c:axId val="212887808"/>
      </c:lineChart>
      <c:catAx>
        <c:axId val="212887416"/>
        <c:scaling>
          <c:orientation val="minMax"/>
        </c:scaling>
        <c:delete val="0"/>
        <c:axPos val="b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25400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2128878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2887808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r>
                  <a:rPr lang="pt-BR"/>
                  <a:t>% de Execução</a:t>
                </a:r>
              </a:p>
            </c:rich>
          </c:tx>
          <c:layout>
            <c:manualLayout>
              <c:xMode val="edge"/>
              <c:yMode val="edge"/>
              <c:x val="2.4087222661181195E-2"/>
              <c:y val="0.357723472576827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969696"/>
            </a:solidFill>
            <a:prstDash val="solid"/>
          </a:ln>
        </c:spPr>
        <c:txPr>
          <a:bodyPr rot="0" vert="horz"/>
          <a:lstStyle/>
          <a:p>
            <a:pPr>
              <a:defRPr sz="775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212887416"/>
        <c:crosses val="autoZero"/>
        <c:crossBetween val="between"/>
        <c:maj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28044374211009093"/>
          <c:y val="0.93495934261623281"/>
          <c:w val="0.49034647485673288"/>
          <c:h val="5.691061096926919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pt-BR" sz="900" b="0" i="0" u="none" strike="noStrike" kern="1200" baseline="0">
              <a:solidFill>
                <a:srgbClr val="000000"/>
              </a:solidFill>
              <a:latin typeface="Frutiger 55 Roman"/>
              <a:ea typeface="Frutiger 55 Roman"/>
              <a:cs typeface="Frutiger 55 Roman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75" b="1" i="0" u="none" strike="noStrike" baseline="0">
                <a:solidFill>
                  <a:srgbClr val="0099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Total - COAT</a:t>
            </a:r>
          </a:p>
        </c:rich>
      </c:tx>
      <c:layout>
        <c:manualLayout>
          <c:xMode val="edge"/>
          <c:yMode val="edge"/>
          <c:x val="0.3492642744916401"/>
          <c:y val="1.71646391612492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51032224352328"/>
          <c:y val="0.19241192411924118"/>
          <c:w val="0.89122621901940791"/>
          <c:h val="0.54742547425474253"/>
        </c:manualLayout>
      </c:layout>
      <c:barChart>
        <c:barDir val="col"/>
        <c:grouping val="stacked"/>
        <c:varyColors val="0"/>
        <c:ser>
          <c:idx val="0"/>
          <c:order val="2"/>
          <c:tx>
            <c:strRef>
              <c:f>Dados!$A$119</c:f>
              <c:strCache>
                <c:ptCount val="1"/>
                <c:pt idx="0">
                  <c:v>Acumulado</c:v>
                </c:pt>
              </c:strCache>
            </c:strRef>
          </c:tx>
          <c:spPr>
            <a:solidFill>
              <a:srgbClr val="CC0066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Pt>
            <c:idx val="18"/>
            <c:invertIfNegative val="0"/>
            <c:bubble3D val="0"/>
            <c:spPr>
              <a:solidFill>
                <a:srgbClr val="000099"/>
              </a:solidFill>
              <a:ln w="3175">
                <a:solidFill>
                  <a:srgbClr val="FFFFFF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-3.8842384961208344E-3"/>
                  <c:y val="-0.2912250652574612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4.9024148798009247E-3"/>
                  <c:y val="-0.2923340985646549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7.700369633726601E-3"/>
                  <c:y val="-0.2277989843660846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5.260242123713817E-3"/>
                  <c:y val="-0.2482951044162958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2.3118909444277943E-3"/>
                  <c:y val="-0.244540682414698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2.5425730547957675E-3"/>
                  <c:y val="0.932249322493224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>
                <c:manualLayout>
                  <c:x val="2.0898356499010028E-3"/>
                  <c:y val="0.9322493224932249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layout>
                <c:manualLayout>
                  <c:x val="1.6370982450063486E-3"/>
                  <c:y val="0.9322493224932249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6666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layout>
                <c:manualLayout>
                  <c:x val="2.9048747764424646E-3"/>
                  <c:y val="0.932249322493224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layout>
                <c:manualLayout>
                  <c:x val="-2.709404437444943E-3"/>
                  <c:y val="0.932249322493224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layout>
                <c:manualLayout>
                  <c:x val="3.7197332372197454E-3"/>
                  <c:y val="0.932249322493224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7"/>
              <c:layout>
                <c:manualLayout>
                  <c:x val="-4.7485673287378872E-3"/>
                  <c:y val="-0.2310050781695766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1.1176198130942974E-3"/>
                  <c:y val="-0.24266461257560196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9900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CC0066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Dados!$B$116:$AA$116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Dados!$B$119:$AA$119</c:f>
              <c:numCache>
                <c:formatCode>0.0</c:formatCode>
                <c:ptCount val="19"/>
                <c:pt idx="2">
                  <c:v>74.099999999999994</c:v>
                </c:pt>
                <c:pt idx="3">
                  <c:v>82.2</c:v>
                </c:pt>
                <c:pt idx="4">
                  <c:v>81.900000000000006</c:v>
                </c:pt>
                <c:pt idx="17">
                  <c:v>73.5</c:v>
                </c:pt>
                <c:pt idx="18">
                  <c:v>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38610504"/>
        <c:axId val="238610896"/>
      </c:barChart>
      <c:lineChart>
        <c:grouping val="standard"/>
        <c:varyColors val="0"/>
        <c:ser>
          <c:idx val="46"/>
          <c:order val="0"/>
          <c:tx>
            <c:strRef>
              <c:f>Dados!$A$117</c:f>
              <c:strCache>
                <c:ptCount val="1"/>
                <c:pt idx="0">
                  <c:v>Real  16/17</c:v>
                </c:pt>
              </c:strCache>
            </c:strRef>
          </c:tx>
          <c:spPr>
            <a:ln w="25400">
              <a:solidFill>
                <a:srgbClr val="CC0066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C0066"/>
              </a:solidFill>
              <a:ln>
                <a:solidFill>
                  <a:srgbClr val="CC0066"/>
                </a:solidFill>
                <a:prstDash val="solid"/>
              </a:ln>
            </c:spPr>
          </c:marker>
          <c:dLbls>
            <c:dLbl>
              <c:idx val="6"/>
              <c:layout>
                <c:manualLayout>
                  <c:x val="-6.2283737024221499E-2"/>
                  <c:y val="-3.26086956521739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4.1522491349480967E-2"/>
                  <c:y val="-3.98550724637681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4.8442906574394547E-2"/>
                  <c:y val="5.07246376811594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rgbClr val="CC0066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Dados!$B$116:$AA$116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Dados!$B$117:$AA$117</c:f>
              <c:numCache>
                <c:formatCode>0.0</c:formatCode>
                <c:ptCount val="19"/>
                <c:pt idx="5">
                  <c:v>34</c:v>
                </c:pt>
                <c:pt idx="6">
                  <c:v>96.8</c:v>
                </c:pt>
                <c:pt idx="7">
                  <c:v>100</c:v>
                </c:pt>
                <c:pt idx="8">
                  <c:v>84.7</c:v>
                </c:pt>
                <c:pt idx="9">
                  <c:v>98.8</c:v>
                </c:pt>
                <c:pt idx="10">
                  <c:v>85.6</c:v>
                </c:pt>
                <c:pt idx="11">
                  <c:v>65.3</c:v>
                </c:pt>
                <c:pt idx="12">
                  <c:v>72</c:v>
                </c:pt>
              </c:numCache>
            </c:numRef>
          </c:val>
          <c:smooth val="0"/>
        </c:ser>
        <c:ser>
          <c:idx val="43"/>
          <c:order val="1"/>
          <c:tx>
            <c:strRef>
              <c:f>Dados!$A$118</c:f>
              <c:strCache>
                <c:ptCount val="1"/>
                <c:pt idx="0">
                  <c:v>Meta  16/17</c:v>
                </c:pt>
              </c:strCache>
            </c:strRef>
          </c:tx>
          <c:spPr>
            <a:ln w="25400">
              <a:solidFill>
                <a:srgbClr val="000099"/>
              </a:solidFill>
              <a:prstDash val="solid"/>
            </a:ln>
          </c:spPr>
          <c:marker>
            <c:symbol val="none"/>
          </c:marker>
          <c:dPt>
            <c:idx val="4"/>
            <c:marker>
              <c:symbol val="square"/>
              <c:size val="6"/>
              <c:spPr>
                <a:solidFill>
                  <a:srgbClr val="000099"/>
                </a:solidFill>
                <a:ln>
                  <a:solidFill>
                    <a:srgbClr val="000099"/>
                  </a:solidFill>
                  <a:prstDash val="solid"/>
                </a:ln>
              </c:spPr>
            </c:marker>
            <c:bubble3D val="0"/>
          </c:dPt>
          <c:dLbls>
            <c:dLbl>
              <c:idx val="1"/>
              <c:layout>
                <c:manualLayout>
                  <c:x val="-1.4158856048847287E-2"/>
                  <c:y val="1.3550135501355014E-2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775" b="0" i="0" u="none" strike="noStrike" baseline="0">
                    <a:solidFill>
                      <a:srgbClr val="000099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Dados!$B$116:$AA$116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Dados!$B$118:$AA$118</c:f>
              <c:numCache>
                <c:formatCode>0.0</c:formatCode>
                <c:ptCount val="19"/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</c:numCache>
            </c:numRef>
          </c:val>
          <c:smooth val="0"/>
        </c:ser>
        <c:ser>
          <c:idx val="1"/>
          <c:order val="3"/>
          <c:tx>
            <c:strRef>
              <c:f>Dados!$A$120</c:f>
              <c:strCache>
                <c:ptCount val="1"/>
                <c:pt idx="0">
                  <c:v>Acum Meta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20"/>
            <c:spPr>
              <a:solidFill>
                <a:srgbClr val="000099"/>
              </a:solidFill>
              <a:ln>
                <a:solidFill>
                  <a:srgbClr val="000099"/>
                </a:solidFill>
                <a:prstDash val="solid"/>
              </a:ln>
            </c:spPr>
          </c:marker>
          <c:cat>
            <c:strRef>
              <c:f>Dados!$B$116:$AA$116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Dados!$B$120:$AA$120</c:f>
              <c:numCache>
                <c:formatCode>0.0</c:formatCode>
                <c:ptCount val="19"/>
                <c:pt idx="2">
                  <c:v>97</c:v>
                </c:pt>
                <c:pt idx="3">
                  <c:v>80</c:v>
                </c:pt>
                <c:pt idx="4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610504"/>
        <c:axId val="238610896"/>
      </c:lineChart>
      <c:catAx>
        <c:axId val="238610504"/>
        <c:scaling>
          <c:orientation val="minMax"/>
        </c:scaling>
        <c:delete val="0"/>
        <c:axPos val="b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25400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2386108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38610896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r>
                  <a:rPr lang="pt-BR"/>
                  <a:t>% de Execução</a:t>
                </a:r>
              </a:p>
            </c:rich>
          </c:tx>
          <c:layout>
            <c:manualLayout>
              <c:xMode val="edge"/>
              <c:yMode val="edge"/>
              <c:x val="2.4087222661181195E-2"/>
              <c:y val="0.357723472576827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969696"/>
            </a:solidFill>
            <a:prstDash val="solid"/>
          </a:ln>
        </c:spPr>
        <c:txPr>
          <a:bodyPr rot="0" vert="horz"/>
          <a:lstStyle/>
          <a:p>
            <a:pPr>
              <a:defRPr sz="775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238610504"/>
        <c:crosses val="autoZero"/>
        <c:crossBetween val="between"/>
        <c:maj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28044374211009093"/>
          <c:y val="0.93495934261623281"/>
          <c:w val="0.49034647485673288"/>
          <c:h val="5.691061096926919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pt-BR" sz="900" b="0" i="0" u="none" strike="noStrike" kern="1200" baseline="0">
              <a:solidFill>
                <a:srgbClr val="000000"/>
              </a:solidFill>
              <a:latin typeface="Frutiger 55 Roman"/>
              <a:ea typeface="Frutiger 55 Roman"/>
              <a:cs typeface="Frutiger 55 Roman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75" b="1" i="0" u="none" strike="noStrike" baseline="0">
                <a:solidFill>
                  <a:srgbClr val="0099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Rev Externo</a:t>
            </a:r>
          </a:p>
        </c:rich>
      </c:tx>
      <c:layout>
        <c:manualLayout>
          <c:xMode val="edge"/>
          <c:yMode val="edge"/>
          <c:x val="0.3824355893781734"/>
          <c:y val="3.202070493277477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51032224352328"/>
          <c:y val="0.19241192411924118"/>
          <c:w val="0.89122621901940791"/>
          <c:h val="0.54742547425474253"/>
        </c:manualLayout>
      </c:layout>
      <c:barChart>
        <c:barDir val="col"/>
        <c:grouping val="stacked"/>
        <c:varyColors val="0"/>
        <c:ser>
          <c:idx val="0"/>
          <c:order val="2"/>
          <c:tx>
            <c:strRef>
              <c:f>Dados!$A$144</c:f>
              <c:strCache>
                <c:ptCount val="1"/>
                <c:pt idx="0">
                  <c:v>Acumulado</c:v>
                </c:pt>
              </c:strCache>
            </c:strRef>
          </c:tx>
          <c:spPr>
            <a:solidFill>
              <a:srgbClr val="CC0066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Pt>
            <c:idx val="18"/>
            <c:invertIfNegative val="0"/>
            <c:bubble3D val="0"/>
            <c:spPr>
              <a:solidFill>
                <a:srgbClr val="000099"/>
              </a:solidFill>
              <a:ln w="3175">
                <a:solidFill>
                  <a:srgbClr val="FFFFFF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-3.8842384961208344E-3"/>
                  <c:y val="-0.2912250652574612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4.9024148798009247E-3"/>
                  <c:y val="-0.2923340985646549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3.8336557411292448E-3"/>
                  <c:y val="-0.3111321847711815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1.6601046842911714E-3"/>
                  <c:y val="-0.1886891993653997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2.3118980912988315E-3"/>
                  <c:y val="-0.252332010030779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2.5425730547957675E-3"/>
                  <c:y val="0.932249322493224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>
                <c:manualLayout>
                  <c:x val="2.0898356499010028E-3"/>
                  <c:y val="0.9322493224932249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layout>
                <c:manualLayout>
                  <c:x val="1.6370982450063486E-3"/>
                  <c:y val="0.9322493224932249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6666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layout>
                <c:manualLayout>
                  <c:x val="2.9048747764424646E-3"/>
                  <c:y val="0.932249322493224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layout>
                <c:manualLayout>
                  <c:x val="-2.709404437444943E-3"/>
                  <c:y val="0.932249322493224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layout>
                <c:manualLayout>
                  <c:x val="3.7197332372197454E-3"/>
                  <c:y val="0.932249322493224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7"/>
              <c:layout>
                <c:manualLayout>
                  <c:x val="-1.7497809584097117E-5"/>
                  <c:y val="-0.1891521359272987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1.1176198130942974E-3"/>
                  <c:y val="-0.24266461257560196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9900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CC0066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Dados!$B$141:$AA$141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Dados!$B$144:$AA$144</c:f>
              <c:numCache>
                <c:formatCode>0.0</c:formatCode>
                <c:ptCount val="19"/>
                <c:pt idx="3">
                  <c:v>58.5</c:v>
                </c:pt>
                <c:pt idx="4">
                  <c:v>78.2</c:v>
                </c:pt>
                <c:pt idx="17">
                  <c:v>54.7</c:v>
                </c:pt>
                <c:pt idx="18">
                  <c:v>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38611680"/>
        <c:axId val="186902488"/>
      </c:barChart>
      <c:lineChart>
        <c:grouping val="standard"/>
        <c:varyColors val="0"/>
        <c:ser>
          <c:idx val="46"/>
          <c:order val="0"/>
          <c:tx>
            <c:strRef>
              <c:f>Dados!$A$142</c:f>
              <c:strCache>
                <c:ptCount val="1"/>
                <c:pt idx="0">
                  <c:v>Real  16/17</c:v>
                </c:pt>
              </c:strCache>
            </c:strRef>
          </c:tx>
          <c:spPr>
            <a:ln w="25400">
              <a:solidFill>
                <a:srgbClr val="CC0066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C0066"/>
              </a:solidFill>
              <a:ln>
                <a:solidFill>
                  <a:srgbClr val="CC0066"/>
                </a:solidFill>
                <a:prstDash val="solid"/>
              </a:ln>
            </c:spPr>
          </c:marker>
          <c:dLbls>
            <c:dLbl>
              <c:idx val="5"/>
              <c:layout>
                <c:manualLayout>
                  <c:x val="-8.4875547249962092E-17"/>
                  <c:y val="-3.34261838440111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4.8611102250819799E-2"/>
                  <c:y val="-3.71402042711235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3.0092587107650438E-2"/>
                  <c:y val="-3.71402042711235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rgbClr val="CC0066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Dados!$B$141:$AA$141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Dados!$B$142:$AA$142</c:f>
              <c:numCache>
                <c:formatCode>0.0</c:formatCode>
                <c:ptCount val="19"/>
                <c:pt idx="5">
                  <c:v>0</c:v>
                </c:pt>
                <c:pt idx="6">
                  <c:v>100</c:v>
                </c:pt>
                <c:pt idx="7">
                  <c:v>100</c:v>
                </c:pt>
                <c:pt idx="8">
                  <c:v>90.6</c:v>
                </c:pt>
                <c:pt idx="9">
                  <c:v>97.7</c:v>
                </c:pt>
                <c:pt idx="10">
                  <c:v>77.599999999999994</c:v>
                </c:pt>
                <c:pt idx="11">
                  <c:v>55.8</c:v>
                </c:pt>
                <c:pt idx="12">
                  <c:v>39.5</c:v>
                </c:pt>
              </c:numCache>
            </c:numRef>
          </c:val>
          <c:smooth val="0"/>
        </c:ser>
        <c:ser>
          <c:idx val="43"/>
          <c:order val="1"/>
          <c:tx>
            <c:strRef>
              <c:f>Dados!$A$143</c:f>
              <c:strCache>
                <c:ptCount val="1"/>
                <c:pt idx="0">
                  <c:v>Meta  16/17</c:v>
                </c:pt>
              </c:strCache>
            </c:strRef>
          </c:tx>
          <c:spPr>
            <a:ln w="25400">
              <a:solidFill>
                <a:srgbClr val="000099"/>
              </a:solidFill>
              <a:prstDash val="solid"/>
            </a:ln>
          </c:spPr>
          <c:marker>
            <c:symbol val="none"/>
          </c:marker>
          <c:dPt>
            <c:idx val="4"/>
            <c:marker>
              <c:symbol val="square"/>
              <c:size val="6"/>
              <c:spPr>
                <a:solidFill>
                  <a:srgbClr val="000099"/>
                </a:solidFill>
                <a:ln>
                  <a:solidFill>
                    <a:srgbClr val="000099"/>
                  </a:solidFill>
                  <a:prstDash val="solid"/>
                </a:ln>
              </c:spPr>
            </c:marker>
            <c:bubble3D val="0"/>
          </c:dPt>
          <c:dLbls>
            <c:dLbl>
              <c:idx val="1"/>
              <c:layout>
                <c:manualLayout>
                  <c:x val="-1.4158856048847287E-2"/>
                  <c:y val="1.3550135501355014E-2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775" b="0" i="0" u="none" strike="noStrike" baseline="0">
                    <a:solidFill>
                      <a:srgbClr val="000099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Dados!$B$141:$AA$141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Dados!$B$143:$AA$143</c:f>
              <c:numCache>
                <c:formatCode>0.0</c:formatCode>
                <c:ptCount val="19"/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</c:numCache>
            </c:numRef>
          </c:val>
          <c:smooth val="0"/>
        </c:ser>
        <c:ser>
          <c:idx val="1"/>
          <c:order val="3"/>
          <c:tx>
            <c:strRef>
              <c:f>Dados!$A$145</c:f>
              <c:strCache>
                <c:ptCount val="1"/>
                <c:pt idx="0">
                  <c:v>Acum Meta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20"/>
            <c:spPr>
              <a:solidFill>
                <a:srgbClr val="000099"/>
              </a:solidFill>
              <a:ln>
                <a:solidFill>
                  <a:srgbClr val="000099"/>
                </a:solidFill>
                <a:prstDash val="solid"/>
              </a:ln>
            </c:spPr>
          </c:marker>
          <c:cat>
            <c:strRef>
              <c:f>Dados!$B$141:$AA$141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Dados!$B$145:$AA$145</c:f>
              <c:numCache>
                <c:formatCode>0.0</c:formatCode>
                <c:ptCount val="19"/>
                <c:pt idx="3">
                  <c:v>80</c:v>
                </c:pt>
                <c:pt idx="4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611680"/>
        <c:axId val="186902488"/>
      </c:lineChart>
      <c:catAx>
        <c:axId val="238611680"/>
        <c:scaling>
          <c:orientation val="minMax"/>
        </c:scaling>
        <c:delete val="0"/>
        <c:axPos val="b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25400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1869024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6902488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r>
                  <a:rPr lang="pt-BR"/>
                  <a:t>% de Execução</a:t>
                </a:r>
              </a:p>
            </c:rich>
          </c:tx>
          <c:layout>
            <c:manualLayout>
              <c:xMode val="edge"/>
              <c:yMode val="edge"/>
              <c:x val="2.4087222661181195E-2"/>
              <c:y val="0.357723472576827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969696"/>
            </a:solidFill>
            <a:prstDash val="solid"/>
          </a:ln>
        </c:spPr>
        <c:txPr>
          <a:bodyPr rot="0" vert="horz"/>
          <a:lstStyle/>
          <a:p>
            <a:pPr>
              <a:defRPr sz="775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238611680"/>
        <c:crosses val="autoZero"/>
        <c:crossBetween val="between"/>
        <c:maj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28044374211009093"/>
          <c:y val="0.93495934261623281"/>
          <c:w val="0.49034647485673288"/>
          <c:h val="5.691061096926919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pt-BR" sz="900" b="0" i="0" u="none" strike="noStrike" kern="1200" baseline="0">
              <a:solidFill>
                <a:srgbClr val="000000"/>
              </a:solidFill>
              <a:latin typeface="Frutiger 55 Roman"/>
              <a:ea typeface="Frutiger 55 Roman"/>
              <a:cs typeface="Frutiger 55 Roman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75" b="1" i="0" u="none" strike="noStrike" baseline="0">
                <a:solidFill>
                  <a:srgbClr val="0099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Rev Interno</a:t>
            </a:r>
          </a:p>
        </c:rich>
      </c:tx>
      <c:layout>
        <c:manualLayout>
          <c:xMode val="edge"/>
          <c:yMode val="edge"/>
          <c:x val="0.37668605857257537"/>
          <c:y val="2.79463180310008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51032224352328"/>
          <c:y val="0.19241192411924118"/>
          <c:w val="0.89122621901940791"/>
          <c:h val="0.54742547425474253"/>
        </c:manualLayout>
      </c:layout>
      <c:barChart>
        <c:barDir val="col"/>
        <c:grouping val="stacked"/>
        <c:varyColors val="0"/>
        <c:ser>
          <c:idx val="0"/>
          <c:order val="2"/>
          <c:tx>
            <c:strRef>
              <c:f>Dados!$A$153</c:f>
              <c:strCache>
                <c:ptCount val="1"/>
                <c:pt idx="0">
                  <c:v>Acumulado</c:v>
                </c:pt>
              </c:strCache>
            </c:strRef>
          </c:tx>
          <c:spPr>
            <a:solidFill>
              <a:srgbClr val="CC0066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Pt>
            <c:idx val="18"/>
            <c:invertIfNegative val="0"/>
            <c:bubble3D val="0"/>
            <c:spPr>
              <a:solidFill>
                <a:srgbClr val="000099"/>
              </a:solidFill>
              <a:ln w="3175">
                <a:solidFill>
                  <a:srgbClr val="FFFFFF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-3.8842384961208344E-3"/>
                  <c:y val="-0.2912250652574612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4.9024148798009247E-3"/>
                  <c:y val="-0.2923340985646549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3.8336557411292448E-3"/>
                  <c:y val="-0.3111321847711815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1.6601731011997203E-3"/>
                  <c:y val="-0.255541490556187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2.3118759639580715E-3"/>
                  <c:y val="-0.2192663652892445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2.5425730547957675E-3"/>
                  <c:y val="0.932249322493224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>
                <c:manualLayout>
                  <c:x val="2.0898356499010028E-3"/>
                  <c:y val="0.9322493224932249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layout>
                <c:manualLayout>
                  <c:x val="1.6370982450063486E-3"/>
                  <c:y val="0.9322493224932249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6666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layout>
                <c:manualLayout>
                  <c:x val="2.9048747764424646E-3"/>
                  <c:y val="0.932249322493224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layout>
                <c:manualLayout>
                  <c:x val="-2.709404437444943E-3"/>
                  <c:y val="0.932249322493224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layout>
                <c:manualLayout>
                  <c:x val="3.7197332372197454E-3"/>
                  <c:y val="0.932249322493224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7"/>
              <c:layout>
                <c:manualLayout>
                  <c:x val="-6.5301115711051584E-5"/>
                  <c:y val="-0.3057186719584580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1.1176198130942974E-3"/>
                  <c:y val="-0.24266461257560196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9900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CC0066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Dados!$B$150:$AA$150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Dados!$B$153:$AA$153</c:f>
              <c:numCache>
                <c:formatCode>0.0</c:formatCode>
                <c:ptCount val="19"/>
                <c:pt idx="3">
                  <c:v>83.7</c:v>
                </c:pt>
                <c:pt idx="4">
                  <c:v>70.900000000000006</c:v>
                </c:pt>
                <c:pt idx="17">
                  <c:v>100</c:v>
                </c:pt>
                <c:pt idx="18">
                  <c:v>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86903272"/>
        <c:axId val="186903664"/>
      </c:barChart>
      <c:lineChart>
        <c:grouping val="standard"/>
        <c:varyColors val="0"/>
        <c:ser>
          <c:idx val="46"/>
          <c:order val="0"/>
          <c:tx>
            <c:strRef>
              <c:f>Dados!$A$151</c:f>
              <c:strCache>
                <c:ptCount val="1"/>
                <c:pt idx="0">
                  <c:v>Real  16/17</c:v>
                </c:pt>
              </c:strCache>
            </c:strRef>
          </c:tx>
          <c:spPr>
            <a:ln w="25400">
              <a:solidFill>
                <a:srgbClr val="CC0066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C0066"/>
              </a:solidFill>
              <a:ln>
                <a:solidFill>
                  <a:srgbClr val="CC0066"/>
                </a:solidFill>
                <a:prstDash val="solid"/>
              </a:ln>
            </c:spPr>
          </c:marker>
          <c:dLbls>
            <c:dLbl>
              <c:idx val="5"/>
              <c:layout>
                <c:manualLayout>
                  <c:x val="-4.8109965635738834E-2"/>
                  <c:y val="-3.23450134770889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2.5200458190148912E-2"/>
                  <c:y val="-3.23450134770889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1.1454753722794959E-2"/>
                  <c:y val="-4.3126684636118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4.5819014891179842E-3"/>
                  <c:y val="4.3126684636118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"/>
                  <c:y val="-3.23450134770889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6.8728522336770599E-3"/>
                  <c:y val="5.39083557951482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1.3745704467354037E-2"/>
                  <c:y val="-4.3126684636118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2.7491408934708073E-2"/>
                  <c:y val="3.59389038634321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rgbClr val="CC0066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strRef>
              <c:f>Dados!$B$150:$AA$150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Dados!$B$151:$AA$151</c:f>
              <c:numCache>
                <c:formatCode>0.0</c:formatCode>
                <c:ptCount val="19"/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smooth val="0"/>
        </c:ser>
        <c:ser>
          <c:idx val="43"/>
          <c:order val="1"/>
          <c:tx>
            <c:strRef>
              <c:f>Dados!$A$152</c:f>
              <c:strCache>
                <c:ptCount val="1"/>
                <c:pt idx="0">
                  <c:v>Meta  16/17</c:v>
                </c:pt>
              </c:strCache>
            </c:strRef>
          </c:tx>
          <c:spPr>
            <a:ln w="25400">
              <a:solidFill>
                <a:srgbClr val="000099"/>
              </a:solidFill>
              <a:prstDash val="solid"/>
            </a:ln>
          </c:spPr>
          <c:marker>
            <c:symbol val="none"/>
          </c:marker>
          <c:dPt>
            <c:idx val="4"/>
            <c:marker>
              <c:symbol val="square"/>
              <c:size val="6"/>
              <c:spPr>
                <a:solidFill>
                  <a:srgbClr val="000099"/>
                </a:solidFill>
                <a:ln>
                  <a:solidFill>
                    <a:srgbClr val="000099"/>
                  </a:solidFill>
                  <a:prstDash val="solid"/>
                </a:ln>
              </c:spPr>
            </c:marker>
            <c:bubble3D val="0"/>
          </c:dPt>
          <c:dLbls>
            <c:dLbl>
              <c:idx val="1"/>
              <c:layout>
                <c:manualLayout>
                  <c:x val="-1.4158856048847287E-2"/>
                  <c:y val="1.3550135501355014E-2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775" b="0" i="0" u="none" strike="noStrike" baseline="0">
                    <a:solidFill>
                      <a:srgbClr val="000099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Dados!$B$150:$AA$150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Dados!$B$152:$AA$152</c:f>
              <c:numCache>
                <c:formatCode>0.0</c:formatCode>
                <c:ptCount val="19"/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</c:numCache>
            </c:numRef>
          </c:val>
          <c:smooth val="0"/>
        </c:ser>
        <c:ser>
          <c:idx val="1"/>
          <c:order val="3"/>
          <c:tx>
            <c:strRef>
              <c:f>Dados!$A$154</c:f>
              <c:strCache>
                <c:ptCount val="1"/>
                <c:pt idx="0">
                  <c:v>Acum Meta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20"/>
            <c:spPr>
              <a:solidFill>
                <a:srgbClr val="000099"/>
              </a:solidFill>
              <a:ln>
                <a:solidFill>
                  <a:srgbClr val="000099"/>
                </a:solidFill>
                <a:prstDash val="solid"/>
              </a:ln>
            </c:spPr>
          </c:marker>
          <c:cat>
            <c:strRef>
              <c:f>Dados!$B$150:$AA$150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Dados!$B$154:$AA$154</c:f>
              <c:numCache>
                <c:formatCode>0.0</c:formatCode>
                <c:ptCount val="19"/>
                <c:pt idx="3">
                  <c:v>80</c:v>
                </c:pt>
                <c:pt idx="4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903272"/>
        <c:axId val="186903664"/>
      </c:lineChart>
      <c:catAx>
        <c:axId val="186903272"/>
        <c:scaling>
          <c:orientation val="minMax"/>
        </c:scaling>
        <c:delete val="0"/>
        <c:axPos val="b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25400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1869036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6903664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r>
                  <a:rPr lang="pt-BR"/>
                  <a:t>% de Execução</a:t>
                </a:r>
              </a:p>
            </c:rich>
          </c:tx>
          <c:layout>
            <c:manualLayout>
              <c:xMode val="edge"/>
              <c:yMode val="edge"/>
              <c:x val="2.4087222661181195E-2"/>
              <c:y val="0.357723472576827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969696"/>
            </a:solidFill>
            <a:prstDash val="solid"/>
          </a:ln>
        </c:spPr>
        <c:txPr>
          <a:bodyPr rot="0" vert="horz"/>
          <a:lstStyle/>
          <a:p>
            <a:pPr>
              <a:defRPr sz="775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186903272"/>
        <c:crosses val="autoZero"/>
        <c:crossBetween val="between"/>
        <c:maj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28044374211009093"/>
          <c:y val="0.93495934261623281"/>
          <c:w val="0.49034647485673288"/>
          <c:h val="5.691061096926919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pt-BR" sz="900" b="0" i="0" u="none" strike="noStrike" kern="1200" baseline="0">
              <a:solidFill>
                <a:srgbClr val="000000"/>
              </a:solidFill>
              <a:latin typeface="Frutiger 55 Roman"/>
              <a:ea typeface="Frutiger 55 Roman"/>
              <a:cs typeface="Frutiger 55 Roman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75" b="1" i="0" u="none" strike="noStrike" baseline="0">
                <a:solidFill>
                  <a:srgbClr val="0099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Total - Manutenção</a:t>
            </a:r>
          </a:p>
        </c:rich>
      </c:tx>
      <c:layout>
        <c:manualLayout>
          <c:xMode val="edge"/>
          <c:yMode val="edge"/>
          <c:x val="0.31493452014150403"/>
          <c:y val="2.05802576564721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904532429660115E-2"/>
          <c:y val="0.20143240823634737"/>
          <c:w val="0.88252342034154752"/>
          <c:h val="0.54789615040286477"/>
        </c:manualLayout>
      </c:layout>
      <c:barChart>
        <c:barDir val="col"/>
        <c:grouping val="stacked"/>
        <c:varyColors val="0"/>
        <c:ser>
          <c:idx val="0"/>
          <c:order val="2"/>
          <c:tx>
            <c:strRef>
              <c:f>Dados!$A$94</c:f>
              <c:strCache>
                <c:ptCount val="1"/>
                <c:pt idx="0">
                  <c:v>Acumulado</c:v>
                </c:pt>
              </c:strCache>
            </c:strRef>
          </c:tx>
          <c:spPr>
            <a:solidFill>
              <a:srgbClr val="CC0066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Pt>
            <c:idx val="18"/>
            <c:invertIfNegative val="0"/>
            <c:bubble3D val="0"/>
            <c:spPr>
              <a:solidFill>
                <a:srgbClr val="000099"/>
              </a:solidFill>
              <a:ln w="3175">
                <a:solidFill>
                  <a:srgbClr val="FFFFFF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-1.2516261554262132E-3"/>
                  <c:y val="-0.26440449660773535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1.3403628894214309E-3"/>
                  <c:y val="-0.2696147887174480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5.9313020655026817E-3"/>
                  <c:y val="-0.2439096999667494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3.8651603332192173E-3"/>
                  <c:y val="-0.24718947867365637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3.980372018715052E-4"/>
                  <c:y val="-0.21873039454973789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2.2800198672260027E-3"/>
                  <c:y val="0.931960608773500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>
                <c:manualLayout>
                  <c:x val="2.5533546928572098E-3"/>
                  <c:y val="0.931960608773500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layout>
                <c:manualLayout>
                  <c:x val="2.8265079151928258E-3"/>
                  <c:y val="0.931960608773500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6666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layout>
                <c:manualLayout>
                  <c:x val="3.0998427408240334E-3"/>
                  <c:y val="0.931960608773500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layout>
                <c:manualLayout>
                  <c:x val="-3.548756353244701E-3"/>
                  <c:y val="0.931960608773500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layout>
                <c:manualLayout>
                  <c:x val="1.8527302729303487E-4"/>
                  <c:y val="0.931960608773500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7"/>
              <c:layout>
                <c:manualLayout>
                  <c:x val="-3.4837384457379311E-3"/>
                  <c:y val="-0.20064746623653176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9.3648293963254591E-4"/>
                  <c:y val="-0.25787918019681499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9900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Dados!$B$91:$AA$91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Dados!$B$94:$AA$94</c:f>
              <c:numCache>
                <c:formatCode>0.0</c:formatCode>
                <c:ptCount val="19"/>
                <c:pt idx="0">
                  <c:v>88.9</c:v>
                </c:pt>
                <c:pt idx="1">
                  <c:v>88.1</c:v>
                </c:pt>
                <c:pt idx="2">
                  <c:v>78.5</c:v>
                </c:pt>
                <c:pt idx="3">
                  <c:v>83.5</c:v>
                </c:pt>
                <c:pt idx="4">
                  <c:v>69.8</c:v>
                </c:pt>
                <c:pt idx="17">
                  <c:v>61.3</c:v>
                </c:pt>
                <c:pt idx="18">
                  <c:v>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4850944"/>
        <c:axId val="284851336"/>
      </c:barChart>
      <c:lineChart>
        <c:grouping val="standard"/>
        <c:varyColors val="0"/>
        <c:ser>
          <c:idx val="46"/>
          <c:order val="0"/>
          <c:tx>
            <c:strRef>
              <c:f>Dados!$A$92</c:f>
              <c:strCache>
                <c:ptCount val="1"/>
                <c:pt idx="0">
                  <c:v>Real  16/17</c:v>
                </c:pt>
              </c:strCache>
            </c:strRef>
          </c:tx>
          <c:spPr>
            <a:ln w="25400">
              <a:solidFill>
                <a:srgbClr val="CC0066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C0066"/>
              </a:solidFill>
              <a:ln>
                <a:solidFill>
                  <a:srgbClr val="CC0066"/>
                </a:solidFill>
                <a:prstDash val="solid"/>
              </a:ln>
            </c:spPr>
          </c:marker>
          <c:dLbls>
            <c:dLbl>
              <c:idx val="5"/>
              <c:layout>
                <c:manualLayout>
                  <c:x val="-2.0869565217391348E-2"/>
                  <c:y val="-3.9532794249775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4.6376811594202982E-2"/>
                  <c:y val="3.9532794249775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rgbClr val="CC0066"/>
                    </a:solidFill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strRef>
              <c:f>Dados!$B$91:$AA$91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Dados!$B$92:$AA$92</c:f>
              <c:numCache>
                <c:formatCode>0.0</c:formatCode>
                <c:ptCount val="19"/>
                <c:pt idx="5">
                  <c:v>64</c:v>
                </c:pt>
                <c:pt idx="6">
                  <c:v>54.6</c:v>
                </c:pt>
                <c:pt idx="7">
                  <c:v>89.5</c:v>
                </c:pt>
                <c:pt idx="8">
                  <c:v>55.2</c:v>
                </c:pt>
                <c:pt idx="9">
                  <c:v>76.900000000000006</c:v>
                </c:pt>
                <c:pt idx="10">
                  <c:v>50.6</c:v>
                </c:pt>
                <c:pt idx="11">
                  <c:v>71.5</c:v>
                </c:pt>
                <c:pt idx="12">
                  <c:v>35.9</c:v>
                </c:pt>
              </c:numCache>
            </c:numRef>
          </c:val>
          <c:smooth val="0"/>
        </c:ser>
        <c:ser>
          <c:idx val="43"/>
          <c:order val="1"/>
          <c:tx>
            <c:strRef>
              <c:f>Dados!$A$93</c:f>
              <c:strCache>
                <c:ptCount val="1"/>
                <c:pt idx="0">
                  <c:v>Meta  16/17</c:v>
                </c:pt>
              </c:strCache>
            </c:strRef>
          </c:tx>
          <c:spPr>
            <a:ln w="25400">
              <a:solidFill>
                <a:srgbClr val="000099"/>
              </a:solidFill>
              <a:prstDash val="solid"/>
            </a:ln>
          </c:spPr>
          <c:marker>
            <c:symbol val="none"/>
          </c:marker>
          <c:dPt>
            <c:idx val="4"/>
            <c:marker>
              <c:symbol val="square"/>
              <c:size val="6"/>
              <c:spPr>
                <a:solidFill>
                  <a:srgbClr val="000099"/>
                </a:solidFill>
                <a:ln>
                  <a:solidFill>
                    <a:srgbClr val="000099"/>
                  </a:solidFill>
                  <a:prstDash val="solid"/>
                </a:ln>
              </c:spPr>
            </c:marker>
            <c:bubble3D val="0"/>
          </c:dPt>
          <c:dLbls>
            <c:dLbl>
              <c:idx val="1"/>
              <c:layout>
                <c:manualLayout>
                  <c:x val="-1.4870811596551577E-2"/>
                  <c:y val="1.3428827215756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99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Dados!$B$91:$AA$91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Dados!$B$93:$AA$93</c:f>
              <c:numCache>
                <c:formatCode>0.0</c:formatCode>
                <c:ptCount val="19"/>
                <c:pt idx="5">
                  <c:v>81</c:v>
                </c:pt>
                <c:pt idx="6">
                  <c:v>81</c:v>
                </c:pt>
                <c:pt idx="7">
                  <c:v>81</c:v>
                </c:pt>
                <c:pt idx="8">
                  <c:v>81</c:v>
                </c:pt>
                <c:pt idx="9">
                  <c:v>81</c:v>
                </c:pt>
                <c:pt idx="10">
                  <c:v>81</c:v>
                </c:pt>
                <c:pt idx="11">
                  <c:v>81</c:v>
                </c:pt>
                <c:pt idx="12">
                  <c:v>81</c:v>
                </c:pt>
                <c:pt idx="13">
                  <c:v>81</c:v>
                </c:pt>
                <c:pt idx="14">
                  <c:v>81</c:v>
                </c:pt>
                <c:pt idx="15">
                  <c:v>81</c:v>
                </c:pt>
                <c:pt idx="16">
                  <c:v>81</c:v>
                </c:pt>
              </c:numCache>
            </c:numRef>
          </c:val>
          <c:smooth val="0"/>
        </c:ser>
        <c:ser>
          <c:idx val="1"/>
          <c:order val="3"/>
          <c:tx>
            <c:strRef>
              <c:f>Dados!$A$95</c:f>
              <c:strCache>
                <c:ptCount val="1"/>
                <c:pt idx="0">
                  <c:v>Acum Meta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20"/>
            <c:spPr>
              <a:solidFill>
                <a:srgbClr val="000099"/>
              </a:solidFill>
              <a:ln>
                <a:solidFill>
                  <a:srgbClr val="000099"/>
                </a:solidFill>
                <a:prstDash val="solid"/>
              </a:ln>
            </c:spPr>
          </c:marker>
          <c:cat>
            <c:strRef>
              <c:f>Dados!$B$91:$AA$91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Dados!$B$95:$AA$95</c:f>
              <c:numCache>
                <c:formatCode>0.0</c:formatCode>
                <c:ptCount val="19"/>
                <c:pt idx="0">
                  <c:v>97</c:v>
                </c:pt>
                <c:pt idx="1">
                  <c:v>97</c:v>
                </c:pt>
                <c:pt idx="2">
                  <c:v>97</c:v>
                </c:pt>
                <c:pt idx="3">
                  <c:v>81</c:v>
                </c:pt>
                <c:pt idx="4">
                  <c:v>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4850944"/>
        <c:axId val="284851336"/>
      </c:lineChart>
      <c:catAx>
        <c:axId val="284850944"/>
        <c:scaling>
          <c:orientation val="minMax"/>
        </c:scaling>
        <c:delete val="0"/>
        <c:axPos val="b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25400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2848513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8485133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r>
                  <a:rPr lang="pt-BR"/>
                  <a:t>% de Execução</a:t>
                </a:r>
              </a:p>
            </c:rich>
          </c:tx>
          <c:layout>
            <c:manualLayout>
              <c:xMode val="edge"/>
              <c:yMode val="edge"/>
              <c:x val="1.0382563049184069E-2"/>
              <c:y val="0.3679498553246882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969696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284850944"/>
        <c:crosses val="autoZero"/>
        <c:crossBetween val="between"/>
        <c:maj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27860047928791509"/>
          <c:y val="0.934646376750076"/>
          <c:w val="0.49317484879607443"/>
          <c:h val="5.640115740249451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Frutiger 55 Roman"/>
              <a:ea typeface="Frutiger 55 Roman"/>
              <a:cs typeface="Frutiger 55 Roman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99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Fab. Conector</a:t>
            </a:r>
          </a:p>
        </c:rich>
      </c:tx>
      <c:layout>
        <c:manualLayout>
          <c:xMode val="edge"/>
          <c:yMode val="edge"/>
          <c:x val="0.35269694027972531"/>
          <c:y val="4.254028191980089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07045353931979"/>
          <c:y val="0.19783197831978319"/>
          <c:w val="0.88449320917042151"/>
          <c:h val="0.54200542005420049"/>
        </c:manualLayout>
      </c:layout>
      <c:barChart>
        <c:barDir val="col"/>
        <c:grouping val="stacked"/>
        <c:varyColors val="0"/>
        <c:ser>
          <c:idx val="0"/>
          <c:order val="2"/>
          <c:tx>
            <c:strRef>
              <c:f>Dados!$A$54</c:f>
              <c:strCache>
                <c:ptCount val="1"/>
                <c:pt idx="0">
                  <c:v>Acumulado</c:v>
                </c:pt>
              </c:strCache>
            </c:strRef>
          </c:tx>
          <c:spPr>
            <a:solidFill>
              <a:srgbClr val="CC0066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Pt>
            <c:idx val="18"/>
            <c:invertIfNegative val="0"/>
            <c:bubble3D val="0"/>
            <c:spPr>
              <a:solidFill>
                <a:srgbClr val="000099"/>
              </a:solidFill>
              <a:ln w="3175">
                <a:solidFill>
                  <a:srgbClr val="FFFFFF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-2.2275554596771292E-3"/>
                  <c:y val="-0.28616733535011118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4.0835220939848269E-3"/>
                  <c:y val="-0.28703126005707053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1.5996116923740697E-3"/>
                  <c:y val="-0.26479292268302973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1378492072052636E-3"/>
                  <c:y val="-0.2420717028899998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3.8014597490381775E-3"/>
                  <c:y val="-0.2941552060760797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1.4792475028799323E-3"/>
                  <c:y val="0.9322493224932249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>
                <c:manualLayout>
                  <c:x val="2.6452458126015057E-3"/>
                  <c:y val="0.9322493224932249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layout>
                <c:manualLayout>
                  <c:x val="2.1071970375475934E-3"/>
                  <c:y val="0.9322493224932249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6666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layout>
                <c:manualLayout>
                  <c:x val="1.5689695107173355E-3"/>
                  <c:y val="0.9322493224932249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layout>
                <c:manualLayout>
                  <c:x val="-2.3777096892166963E-3"/>
                  <c:y val="0.9322493224932249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layout>
                <c:manualLayout>
                  <c:x val="4.9251445705681979E-4"/>
                  <c:y val="0.9322493224932249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7"/>
              <c:layout>
                <c:manualLayout>
                  <c:x val="-5.6412468989321541E-4"/>
                  <c:y val="-0.22082745106452975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3.3937367418113832E-3"/>
                  <c:y val="-0.23980175502585341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9900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Dados!$B$51:$AA$51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Dados!$B$54:$AA$54</c:f>
              <c:numCache>
                <c:formatCode>0.0</c:formatCode>
                <c:ptCount val="19"/>
                <c:pt idx="4">
                  <c:v>98.1</c:v>
                </c:pt>
                <c:pt idx="17">
                  <c:v>71.2</c:v>
                </c:pt>
                <c:pt idx="18">
                  <c:v>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4852120"/>
        <c:axId val="284852512"/>
      </c:barChart>
      <c:lineChart>
        <c:grouping val="standard"/>
        <c:varyColors val="0"/>
        <c:ser>
          <c:idx val="46"/>
          <c:order val="0"/>
          <c:tx>
            <c:strRef>
              <c:f>Dados!$A$52</c:f>
              <c:strCache>
                <c:ptCount val="1"/>
                <c:pt idx="0">
                  <c:v>Real  16/17</c:v>
                </c:pt>
              </c:strCache>
            </c:strRef>
          </c:tx>
          <c:spPr>
            <a:ln w="25400">
              <a:solidFill>
                <a:srgbClr val="CC0066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C0066"/>
              </a:solidFill>
              <a:ln>
                <a:solidFill>
                  <a:srgbClr val="CC0066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rgbClr val="CC0066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Dados!$B$51:$AA$51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Dados!$B$52:$AA$52</c:f>
              <c:numCache>
                <c:formatCode>0.0</c:formatCode>
                <c:ptCount val="19"/>
                <c:pt idx="5">
                  <c:v>33.299999999999997</c:v>
                </c:pt>
                <c:pt idx="6">
                  <c:v>100</c:v>
                </c:pt>
                <c:pt idx="7">
                  <c:v>61.5</c:v>
                </c:pt>
                <c:pt idx="8">
                  <c:v>92.3</c:v>
                </c:pt>
                <c:pt idx="9">
                  <c:v>100</c:v>
                </c:pt>
                <c:pt idx="10">
                  <c:v>20</c:v>
                </c:pt>
                <c:pt idx="11">
                  <c:v>72.7</c:v>
                </c:pt>
                <c:pt idx="12">
                  <c:v>100</c:v>
                </c:pt>
              </c:numCache>
            </c:numRef>
          </c:val>
          <c:smooth val="0"/>
        </c:ser>
        <c:ser>
          <c:idx val="43"/>
          <c:order val="1"/>
          <c:tx>
            <c:strRef>
              <c:f>Dados!$A$53</c:f>
              <c:strCache>
                <c:ptCount val="1"/>
                <c:pt idx="0">
                  <c:v>Meta  16/17</c:v>
                </c:pt>
              </c:strCache>
            </c:strRef>
          </c:tx>
          <c:spPr>
            <a:ln w="25400">
              <a:solidFill>
                <a:srgbClr val="000099"/>
              </a:solidFill>
              <a:prstDash val="solid"/>
            </a:ln>
          </c:spPr>
          <c:marker>
            <c:symbol val="none"/>
          </c:marker>
          <c:dPt>
            <c:idx val="4"/>
            <c:marker>
              <c:symbol val="square"/>
              <c:size val="6"/>
              <c:spPr>
                <a:solidFill>
                  <a:srgbClr val="000099"/>
                </a:solidFill>
                <a:ln>
                  <a:solidFill>
                    <a:srgbClr val="000099"/>
                  </a:solidFill>
                  <a:prstDash val="solid"/>
                </a:ln>
              </c:spPr>
            </c:marker>
            <c:bubble3D val="0"/>
          </c:dPt>
          <c:dLbls>
            <c:dLbl>
              <c:idx val="1"/>
              <c:layout>
                <c:manualLayout>
                  <c:x val="-1.4145213634067901E-2"/>
                  <c:y val="1.35501355013550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99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Dados!$B$51:$AA$51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Dados!$B$53:$AA$53</c:f>
              <c:numCache>
                <c:formatCode>0.0</c:formatCode>
                <c:ptCount val="19"/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</c:numCache>
            </c:numRef>
          </c:val>
          <c:smooth val="0"/>
        </c:ser>
        <c:ser>
          <c:idx val="1"/>
          <c:order val="3"/>
          <c:tx>
            <c:strRef>
              <c:f>Dados!$A$55</c:f>
              <c:strCache>
                <c:ptCount val="1"/>
                <c:pt idx="0">
                  <c:v>Acum Meta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20"/>
            <c:spPr>
              <a:solidFill>
                <a:srgbClr val="000099"/>
              </a:solidFill>
              <a:ln>
                <a:solidFill>
                  <a:srgbClr val="000099"/>
                </a:solidFill>
                <a:prstDash val="solid"/>
              </a:ln>
            </c:spPr>
          </c:marker>
          <c:cat>
            <c:strRef>
              <c:f>Dados!$B$51:$AA$51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Dados!$B$55:$AA$55</c:f>
              <c:numCache>
                <c:formatCode>0.0</c:formatCode>
                <c:ptCount val="19"/>
                <c:pt idx="0">
                  <c:v>97</c:v>
                </c:pt>
                <c:pt idx="1">
                  <c:v>97</c:v>
                </c:pt>
                <c:pt idx="2">
                  <c:v>97</c:v>
                </c:pt>
                <c:pt idx="3">
                  <c:v>80</c:v>
                </c:pt>
                <c:pt idx="4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4852120"/>
        <c:axId val="284852512"/>
      </c:lineChart>
      <c:catAx>
        <c:axId val="284852120"/>
        <c:scaling>
          <c:orientation val="minMax"/>
        </c:scaling>
        <c:delete val="0"/>
        <c:axPos val="b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25400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2848525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84852512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r>
                  <a:rPr lang="pt-BR"/>
                  <a:t>% de Execução</a:t>
                </a:r>
              </a:p>
            </c:rich>
          </c:tx>
          <c:layout>
            <c:manualLayout>
              <c:xMode val="edge"/>
              <c:yMode val="edge"/>
              <c:x val="2.3859166576780642E-2"/>
              <c:y val="0.3604336787601822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969696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284852120"/>
        <c:crosses val="autoZero"/>
        <c:crossBetween val="between"/>
        <c:maj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28290152087153492"/>
          <c:y val="0.93495934261623281"/>
          <c:w val="0.48570434688814584"/>
          <c:h val="5.691061096926919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pt-BR" sz="900" b="0" i="0" u="none" strike="noStrike" kern="1200" baseline="0">
              <a:solidFill>
                <a:srgbClr val="000000"/>
              </a:solidFill>
              <a:latin typeface="Frutiger 55 Roman"/>
              <a:ea typeface="Frutiger 55 Roman"/>
              <a:cs typeface="Frutiger 55 Roman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orientation="landscape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99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CORJ - R &amp; d</a:t>
            </a:r>
          </a:p>
        </c:rich>
      </c:tx>
      <c:layout>
        <c:manualLayout>
          <c:xMode val="edge"/>
          <c:yMode val="edge"/>
          <c:x val="0.36869698913285753"/>
          <c:y val="3.15699532123701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865874363327674"/>
          <c:y val="0.20534434263459803"/>
          <c:w val="0.87096774193548387"/>
          <c:h val="0.543081748283608"/>
        </c:manualLayout>
      </c:layout>
      <c:barChart>
        <c:barDir val="col"/>
        <c:grouping val="stacked"/>
        <c:varyColors val="0"/>
        <c:ser>
          <c:idx val="0"/>
          <c:order val="2"/>
          <c:tx>
            <c:strRef>
              <c:f>Dados!$A$163</c:f>
              <c:strCache>
                <c:ptCount val="1"/>
                <c:pt idx="0">
                  <c:v>Acumulado</c:v>
                </c:pt>
              </c:strCache>
            </c:strRef>
          </c:tx>
          <c:spPr>
            <a:solidFill>
              <a:srgbClr val="CC0066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Pt>
            <c:idx val="18"/>
            <c:invertIfNegative val="0"/>
            <c:bubble3D val="0"/>
            <c:spPr>
              <a:solidFill>
                <a:srgbClr val="000099"/>
              </a:solidFill>
              <a:ln w="3175">
                <a:solidFill>
                  <a:srgbClr val="FFFFFF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2.5486155651687175E-3"/>
                  <c:y val="-0.2564227433527331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4.8594185692126439E-3"/>
                  <c:y val="-0.27453897067214428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4.8157498510259878E-3"/>
                  <c:y val="-0.20157965308684239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8.4790094479091332E-4"/>
                  <c:y val="-0.196007075202556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1.9703689551804292E-3"/>
                  <c:y val="-8.7251512039255963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2.5485914344059819E-3"/>
                  <c:y val="0.9321552395912673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>
                <c:manualLayout>
                  <c:x val="2.5486882195483382E-3"/>
                  <c:y val="0.9321552395912673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layout>
                <c:manualLayout>
                  <c:x val="2.5486068595381348E-3"/>
                  <c:y val="0.9321552395912673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6666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layout>
                <c:manualLayout>
                  <c:x val="2.5487036446804911E-3"/>
                  <c:y val="0.9321552395912673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layout>
                <c:manualLayout>
                  <c:x val="-2.5447563231397186E-3"/>
                  <c:y val="0.9321552395912673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layout>
                <c:manualLayout>
                  <c:x val="8.5092620054256791E-4"/>
                  <c:y val="0.9321552395912673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7"/>
              <c:layout>
                <c:manualLayout>
                  <c:x val="-7.7202654694159768E-4"/>
                  <c:y val="-0.16252054091064705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CC0066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2.024590946928861E-3"/>
                  <c:y val="-0.2530802807257788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000099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009900"/>
                      </a:solidFill>
                      <a:latin typeface="Frutiger 55 Roman"/>
                      <a:ea typeface="Frutiger 55 Roman"/>
                      <a:cs typeface="Frutiger 55 Roman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Dados!$B$160:$AA$160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Dados!$B$163:$AA$163</c:f>
              <c:numCache>
                <c:formatCode>0.0</c:formatCode>
                <c:ptCount val="19"/>
                <c:pt idx="17">
                  <c:v>53.6</c:v>
                </c:pt>
                <c:pt idx="18">
                  <c:v>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95029768"/>
        <c:axId val="295030160"/>
      </c:barChart>
      <c:lineChart>
        <c:grouping val="standard"/>
        <c:varyColors val="0"/>
        <c:ser>
          <c:idx val="46"/>
          <c:order val="0"/>
          <c:tx>
            <c:strRef>
              <c:f>Dados!$A$161</c:f>
              <c:strCache>
                <c:ptCount val="1"/>
                <c:pt idx="0">
                  <c:v>Real  16/17</c:v>
                </c:pt>
              </c:strCache>
            </c:strRef>
          </c:tx>
          <c:spPr>
            <a:ln w="25400">
              <a:solidFill>
                <a:srgbClr val="CC0066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C0066"/>
              </a:solidFill>
              <a:ln>
                <a:solidFill>
                  <a:srgbClr val="CC0066"/>
                </a:solidFill>
                <a:prstDash val="solid"/>
              </a:ln>
            </c:spPr>
          </c:marker>
          <c:dLbls>
            <c:dLbl>
              <c:idx val="5"/>
              <c:layout>
                <c:manualLayout>
                  <c:x val="-6.4702484113229347E-2"/>
                  <c:y val="-2.89855072463768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1.1554015020219527E-2"/>
                  <c:y val="2.53623188405797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rgbClr val="CC0066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strRef>
              <c:f>Dados!$B$160:$AA$160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Dados!$B$161:$AA$161</c:f>
              <c:numCache>
                <c:formatCode>0.0</c:formatCode>
                <c:ptCount val="19"/>
                <c:pt idx="5">
                  <c:v>20</c:v>
                </c:pt>
                <c:pt idx="6">
                  <c:v>22.2</c:v>
                </c:pt>
                <c:pt idx="7">
                  <c:v>57.1</c:v>
                </c:pt>
                <c:pt idx="8">
                  <c:v>70.8</c:v>
                </c:pt>
                <c:pt idx="9">
                  <c:v>93.9</c:v>
                </c:pt>
                <c:pt idx="10">
                  <c:v>82.4</c:v>
                </c:pt>
                <c:pt idx="11">
                  <c:v>58.8</c:v>
                </c:pt>
                <c:pt idx="12">
                  <c:v>12.5</c:v>
                </c:pt>
              </c:numCache>
            </c:numRef>
          </c:val>
          <c:smooth val="0"/>
        </c:ser>
        <c:ser>
          <c:idx val="43"/>
          <c:order val="1"/>
          <c:tx>
            <c:strRef>
              <c:f>Dados!$A$162</c:f>
              <c:strCache>
                <c:ptCount val="1"/>
                <c:pt idx="0">
                  <c:v>Meta  16/17</c:v>
                </c:pt>
              </c:strCache>
            </c:strRef>
          </c:tx>
          <c:spPr>
            <a:ln w="25400">
              <a:solidFill>
                <a:srgbClr val="000099"/>
              </a:solidFill>
              <a:prstDash val="solid"/>
            </a:ln>
          </c:spPr>
          <c:marker>
            <c:symbol val="none"/>
          </c:marker>
          <c:dPt>
            <c:idx val="4"/>
            <c:marker>
              <c:symbol val="square"/>
              <c:size val="6"/>
              <c:spPr>
                <a:solidFill>
                  <a:srgbClr val="000099"/>
                </a:solidFill>
                <a:ln>
                  <a:solidFill>
                    <a:srgbClr val="000099"/>
                  </a:solidFill>
                  <a:prstDash val="solid"/>
                </a:ln>
              </c:spPr>
            </c:marker>
            <c:bubble3D val="0"/>
          </c:dPt>
          <c:dLbls>
            <c:dLbl>
              <c:idx val="1"/>
              <c:layout>
                <c:manualLayout>
                  <c:x val="-1.3292369828369092E-2"/>
                  <c:y val="1.35094962259603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25" b="0" i="0" u="none" strike="noStrike" baseline="0">
                    <a:solidFill>
                      <a:srgbClr val="000099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Dados!$B$160:$AA$160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Dados!$B$162:$AA$162</c:f>
              <c:numCache>
                <c:formatCode>0.0</c:formatCode>
                <c:ptCount val="19"/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</c:numCache>
            </c:numRef>
          </c:val>
          <c:smooth val="0"/>
        </c:ser>
        <c:ser>
          <c:idx val="1"/>
          <c:order val="3"/>
          <c:tx>
            <c:strRef>
              <c:f>Dados!$A$164</c:f>
              <c:strCache>
                <c:ptCount val="1"/>
                <c:pt idx="0">
                  <c:v>Acum Meta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20"/>
            <c:spPr>
              <a:solidFill>
                <a:srgbClr val="000099"/>
              </a:solidFill>
              <a:ln>
                <a:solidFill>
                  <a:srgbClr val="000099"/>
                </a:solidFill>
                <a:prstDash val="solid"/>
              </a:ln>
            </c:spPr>
          </c:marker>
          <c:cat>
            <c:strRef>
              <c:f>Dados!$B$160:$AA$160</c:f>
              <c:strCache>
                <c:ptCount val="19"/>
                <c:pt idx="0">
                  <c:v>Bdg 11/12</c:v>
                </c:pt>
                <c:pt idx="1">
                  <c:v>Bdg 12/13</c:v>
                </c:pt>
                <c:pt idx="2">
                  <c:v>Bdg 13/14</c:v>
                </c:pt>
                <c:pt idx="3">
                  <c:v>Bdg 14/15</c:v>
                </c:pt>
                <c:pt idx="4">
                  <c:v>Bdg 15/16</c:v>
                </c:pt>
                <c:pt idx="5">
                  <c:v>jul/16</c:v>
                </c:pt>
                <c:pt idx="6">
                  <c:v>ago/16</c:v>
                </c:pt>
                <c:pt idx="7">
                  <c:v>set/16</c:v>
                </c:pt>
                <c:pt idx="8">
                  <c:v>out/16</c:v>
                </c:pt>
                <c:pt idx="9">
                  <c:v>nov/16</c:v>
                </c:pt>
                <c:pt idx="10">
                  <c:v>dez/16</c:v>
                </c:pt>
                <c:pt idx="11">
                  <c:v>jan/17</c:v>
                </c:pt>
                <c:pt idx="12">
                  <c:v>fev/17</c:v>
                </c:pt>
                <c:pt idx="13">
                  <c:v>mar/17</c:v>
                </c:pt>
                <c:pt idx="14">
                  <c:v>abr/17</c:v>
                </c:pt>
                <c:pt idx="15">
                  <c:v>mai/17</c:v>
                </c:pt>
                <c:pt idx="16">
                  <c:v>jun/17</c:v>
                </c:pt>
                <c:pt idx="17">
                  <c:v>Acum.  16/17 </c:v>
                </c:pt>
                <c:pt idx="18">
                  <c:v>Meta  16/17 </c:v>
                </c:pt>
              </c:strCache>
            </c:strRef>
          </c:cat>
          <c:val>
            <c:numRef>
              <c:f>Dados!$B$164:$AA$164</c:f>
              <c:numCache>
                <c:formatCode>0.0</c:formatCode>
                <c:ptCount val="19"/>
                <c:pt idx="3">
                  <c:v>80</c:v>
                </c:pt>
                <c:pt idx="4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029768"/>
        <c:axId val="295030160"/>
      </c:lineChart>
      <c:catAx>
        <c:axId val="295029768"/>
        <c:scaling>
          <c:orientation val="minMax"/>
        </c:scaling>
        <c:delete val="0"/>
        <c:axPos val="b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25400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2950301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5030160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E8E8E8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Frutiger 55 Roman"/>
                    <a:ea typeface="Frutiger 55 Roman"/>
                    <a:cs typeface="Frutiger 55 Roman"/>
                  </a:defRPr>
                </a:pPr>
                <a:r>
                  <a:rPr lang="pt-BR"/>
                  <a:t>% de Execução</a:t>
                </a:r>
              </a:p>
            </c:rich>
          </c:tx>
          <c:layout>
            <c:manualLayout>
              <c:xMode val="edge"/>
              <c:yMode val="edge"/>
              <c:x val="2.3769065261989564E-2"/>
              <c:y val="0.367458347597854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969696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Frutiger 55 Roman"/>
                <a:ea typeface="Frutiger 55 Roman"/>
                <a:cs typeface="Frutiger 55 Roman"/>
              </a:defRPr>
            </a:pPr>
            <a:endParaRPr lang="pt-BR"/>
          </a:p>
        </c:txPr>
        <c:crossAx val="295029768"/>
        <c:crosses val="autoZero"/>
        <c:crossBetween val="between"/>
        <c:maj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30963541169138953"/>
          <c:y val="0.93485706949674763"/>
          <c:w val="0.48387086796126222"/>
          <c:h val="5.673998630605958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pt-BR" sz="900" b="0" i="0" u="none" strike="noStrike" kern="1200" baseline="0">
              <a:solidFill>
                <a:srgbClr val="000000"/>
              </a:solidFill>
              <a:latin typeface="Frutiger 55 Roman"/>
              <a:ea typeface="Frutiger 55 Roman"/>
              <a:cs typeface="Frutiger 55 Roman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009800"/>
                </a:solidFill>
              </a:defRPr>
            </a:pPr>
            <a:r>
              <a:rPr lang="pt-BR" sz="2000">
                <a:solidFill>
                  <a:srgbClr val="009800"/>
                </a:solidFill>
              </a:rPr>
              <a:t>Total</a:t>
            </a:r>
            <a:r>
              <a:rPr lang="pt-BR" sz="2000" baseline="0">
                <a:solidFill>
                  <a:srgbClr val="009800"/>
                </a:solidFill>
              </a:rPr>
              <a:t> PM01 / PM02 x Encerradas NEXE</a:t>
            </a:r>
          </a:p>
          <a:p>
            <a:pPr>
              <a:defRPr>
                <a:solidFill>
                  <a:srgbClr val="009800"/>
                </a:solidFill>
              </a:defRPr>
            </a:pPr>
            <a:r>
              <a:rPr lang="pt-BR" baseline="0">
                <a:solidFill>
                  <a:srgbClr val="009800"/>
                </a:solidFill>
              </a:rPr>
              <a:t>(Fab 04)</a:t>
            </a:r>
            <a:endParaRPr lang="pt-BR">
              <a:solidFill>
                <a:srgbClr val="009800"/>
              </a:solidFill>
            </a:endParaRPr>
          </a:p>
        </c:rich>
      </c:tx>
      <c:layout>
        <c:manualLayout>
          <c:xMode val="edge"/>
          <c:yMode val="edge"/>
          <c:x val="0.20665664160401004"/>
          <c:y val="1.441441441441441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'Dados NEXe'!$A$6</c:f>
              <c:strCache>
                <c:ptCount val="1"/>
                <c:pt idx="0">
                  <c:v>TotaL Encerrada NEXE (Não Executar)</c:v>
                </c:pt>
              </c:strCache>
            </c:strRef>
          </c:tx>
          <c:spPr>
            <a:solidFill>
              <a:srgbClr val="CC0066"/>
            </a:solidFill>
            <a:ln>
              <a:solidFill>
                <a:srgbClr val="CC006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CC0066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'Dados NEXe'!$B$4:$M$4</c:f>
              <c:numCache>
                <c:formatCode>mmm\-yy</c:formatCode>
                <c:ptCount val="12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42736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</c:numCache>
            </c:numRef>
          </c:cat>
          <c:val>
            <c:numRef>
              <c:f>'Dados NEXe'!$B$6:$M$6</c:f>
              <c:numCache>
                <c:formatCode>0</c:formatCode>
                <c:ptCount val="12"/>
                <c:pt idx="0">
                  <c:v>64</c:v>
                </c:pt>
                <c:pt idx="1">
                  <c:v>33</c:v>
                </c:pt>
                <c:pt idx="2">
                  <c:v>35</c:v>
                </c:pt>
                <c:pt idx="3">
                  <c:v>28</c:v>
                </c:pt>
                <c:pt idx="4">
                  <c:v>39</c:v>
                </c:pt>
                <c:pt idx="5">
                  <c:v>1</c:v>
                </c:pt>
                <c:pt idx="6">
                  <c:v>27</c:v>
                </c:pt>
                <c:pt idx="7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598864"/>
        <c:axId val="243598472"/>
      </c:barChart>
      <c:lineChart>
        <c:grouping val="standard"/>
        <c:varyColors val="0"/>
        <c:ser>
          <c:idx val="0"/>
          <c:order val="0"/>
          <c:tx>
            <c:strRef>
              <c:f>'Dados NEXe'!$A$5</c:f>
              <c:strCache>
                <c:ptCount val="1"/>
                <c:pt idx="0">
                  <c:v>Total PM01 / PM02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16"/>
            <c:spPr>
              <a:solidFill>
                <a:srgbClr val="000099"/>
              </a:solidFill>
              <a:ln>
                <a:solidFill>
                  <a:srgbClr val="000099"/>
                </a:solidFill>
              </a:ln>
            </c:spPr>
          </c:marker>
          <c:cat>
            <c:numRef>
              <c:f>'Dados NEXe'!$B$4:$M$4</c:f>
              <c:numCache>
                <c:formatCode>mmm\-yy</c:formatCode>
                <c:ptCount val="12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42736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</c:numCache>
            </c:numRef>
          </c:cat>
          <c:val>
            <c:numRef>
              <c:f>'Dados NEXe'!$B$5:$M$5</c:f>
              <c:numCache>
                <c:formatCode>0</c:formatCode>
                <c:ptCount val="12"/>
                <c:pt idx="0">
                  <c:v>197</c:v>
                </c:pt>
                <c:pt idx="1">
                  <c:v>180</c:v>
                </c:pt>
                <c:pt idx="2">
                  <c:v>158</c:v>
                </c:pt>
                <c:pt idx="3">
                  <c:v>236</c:v>
                </c:pt>
                <c:pt idx="4">
                  <c:v>219</c:v>
                </c:pt>
                <c:pt idx="5">
                  <c:v>236</c:v>
                </c:pt>
                <c:pt idx="6">
                  <c:v>171</c:v>
                </c:pt>
                <c:pt idx="7">
                  <c:v>147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598864"/>
        <c:axId val="243598472"/>
      </c:lineChart>
      <c:dateAx>
        <c:axId val="2435988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243598472"/>
        <c:crosses val="autoZero"/>
        <c:auto val="1"/>
        <c:lblOffset val="100"/>
        <c:baseTimeUnit val="months"/>
      </c:dateAx>
      <c:valAx>
        <c:axId val="2435984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050" b="1"/>
                </a:pPr>
                <a:r>
                  <a:rPr lang="en-US" sz="1050" b="1"/>
                  <a:t>N º de Ots</a:t>
                </a:r>
              </a:p>
            </c:rich>
          </c:tx>
          <c:layout>
            <c:manualLayout>
              <c:xMode val="edge"/>
              <c:yMode val="edge"/>
              <c:x val="6.0150375939849628E-3"/>
              <c:y val="0.41130254664112931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243598864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009800"/>
                </a:solidFill>
              </a:defRPr>
            </a:pPr>
            <a:r>
              <a:rPr lang="pt-BR" sz="2000">
                <a:solidFill>
                  <a:srgbClr val="009800"/>
                </a:solidFill>
              </a:rPr>
              <a:t>Total</a:t>
            </a:r>
            <a:r>
              <a:rPr lang="pt-BR" sz="2000" baseline="0">
                <a:solidFill>
                  <a:srgbClr val="009800"/>
                </a:solidFill>
              </a:rPr>
              <a:t> PM01 / PM02 x Encerradas NEXE</a:t>
            </a:r>
          </a:p>
          <a:p>
            <a:pPr>
              <a:defRPr>
                <a:solidFill>
                  <a:srgbClr val="009800"/>
                </a:solidFill>
              </a:defRPr>
            </a:pPr>
            <a:r>
              <a:rPr lang="pt-BR" baseline="0">
                <a:solidFill>
                  <a:srgbClr val="009800"/>
                </a:solidFill>
              </a:rPr>
              <a:t>(Fab 01)</a:t>
            </a:r>
            <a:endParaRPr lang="pt-BR">
              <a:solidFill>
                <a:srgbClr val="009800"/>
              </a:solidFill>
            </a:endParaRPr>
          </a:p>
        </c:rich>
      </c:tx>
      <c:layout>
        <c:manualLayout>
          <c:xMode val="edge"/>
          <c:yMode val="edge"/>
          <c:x val="0.20665664160401004"/>
          <c:y val="1.441441441441441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'Dados NEXe'!$A$13</c:f>
              <c:strCache>
                <c:ptCount val="1"/>
                <c:pt idx="0">
                  <c:v>TotaL Encerrada NEXE (Não Executar)</c:v>
                </c:pt>
              </c:strCache>
            </c:strRef>
          </c:tx>
          <c:spPr>
            <a:solidFill>
              <a:srgbClr val="CC0066"/>
            </a:solidFill>
            <a:ln>
              <a:solidFill>
                <a:srgbClr val="CC006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CC0066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'Dados NEXe'!$B$11:$M$11</c:f>
              <c:numCache>
                <c:formatCode>mmm\-yy</c:formatCode>
                <c:ptCount val="12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42736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</c:numCache>
            </c:numRef>
          </c:cat>
          <c:val>
            <c:numRef>
              <c:f>'Dados NEXe'!$B$13:$M$13</c:f>
              <c:numCache>
                <c:formatCode>0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10</c:v>
                </c:pt>
                <c:pt idx="3">
                  <c:v>4</c:v>
                </c:pt>
                <c:pt idx="4">
                  <c:v>7</c:v>
                </c:pt>
                <c:pt idx="5">
                  <c:v>16</c:v>
                </c:pt>
                <c:pt idx="6">
                  <c:v>27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597688"/>
        <c:axId val="295028984"/>
      </c:barChart>
      <c:lineChart>
        <c:grouping val="standard"/>
        <c:varyColors val="0"/>
        <c:ser>
          <c:idx val="0"/>
          <c:order val="0"/>
          <c:tx>
            <c:strRef>
              <c:f>'Dados NEXe'!$A$12</c:f>
              <c:strCache>
                <c:ptCount val="1"/>
                <c:pt idx="0">
                  <c:v>Total PM01 / PM02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16"/>
            <c:spPr>
              <a:solidFill>
                <a:srgbClr val="000099"/>
              </a:solidFill>
              <a:ln>
                <a:solidFill>
                  <a:srgbClr val="000099"/>
                </a:solidFill>
              </a:ln>
            </c:spPr>
          </c:marker>
          <c:cat>
            <c:numRef>
              <c:f>'Dados NEXe'!$B$11:$M$11</c:f>
              <c:numCache>
                <c:formatCode>mmm\-yy</c:formatCode>
                <c:ptCount val="12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42736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</c:numCache>
            </c:numRef>
          </c:cat>
          <c:val>
            <c:numRef>
              <c:f>'Dados NEXe'!$B$12:$M$12</c:f>
              <c:numCache>
                <c:formatCode>0</c:formatCode>
                <c:ptCount val="12"/>
                <c:pt idx="0">
                  <c:v>136</c:v>
                </c:pt>
                <c:pt idx="1">
                  <c:v>150</c:v>
                </c:pt>
                <c:pt idx="2">
                  <c:v>121</c:v>
                </c:pt>
                <c:pt idx="3">
                  <c:v>151</c:v>
                </c:pt>
                <c:pt idx="4">
                  <c:v>137</c:v>
                </c:pt>
                <c:pt idx="5">
                  <c:v>171</c:v>
                </c:pt>
                <c:pt idx="6">
                  <c:v>120</c:v>
                </c:pt>
                <c:pt idx="7">
                  <c:v>142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597688"/>
        <c:axId val="295028984"/>
      </c:lineChart>
      <c:dateAx>
        <c:axId val="2435976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295028984"/>
        <c:crosses val="autoZero"/>
        <c:auto val="1"/>
        <c:lblOffset val="100"/>
        <c:baseTimeUnit val="months"/>
      </c:dateAx>
      <c:valAx>
        <c:axId val="2950289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050" b="1"/>
                </a:pPr>
                <a:r>
                  <a:rPr lang="en-US" sz="1050" b="1"/>
                  <a:t>N º de Ots</a:t>
                </a:r>
              </a:p>
            </c:rich>
          </c:tx>
          <c:layout>
            <c:manualLayout>
              <c:xMode val="edge"/>
              <c:yMode val="edge"/>
              <c:x val="6.0150375939849628E-3"/>
              <c:y val="0.41130254664112931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243597688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009800"/>
                </a:solidFill>
              </a:defRPr>
            </a:pPr>
            <a:r>
              <a:rPr lang="pt-BR" sz="2000">
                <a:solidFill>
                  <a:srgbClr val="009800"/>
                </a:solidFill>
              </a:rPr>
              <a:t>Total</a:t>
            </a:r>
            <a:r>
              <a:rPr lang="pt-BR" sz="2000" baseline="0">
                <a:solidFill>
                  <a:srgbClr val="009800"/>
                </a:solidFill>
              </a:rPr>
              <a:t> PM01 / PM02 x Encerradas NEXE</a:t>
            </a:r>
          </a:p>
          <a:p>
            <a:pPr>
              <a:defRPr>
                <a:solidFill>
                  <a:srgbClr val="009800"/>
                </a:solidFill>
              </a:defRPr>
            </a:pPr>
            <a:r>
              <a:rPr lang="pt-BR" baseline="0">
                <a:solidFill>
                  <a:srgbClr val="009800"/>
                </a:solidFill>
              </a:rPr>
              <a:t>(Fab 10)</a:t>
            </a:r>
            <a:endParaRPr lang="pt-BR">
              <a:solidFill>
                <a:srgbClr val="009800"/>
              </a:solidFill>
            </a:endParaRPr>
          </a:p>
        </c:rich>
      </c:tx>
      <c:layout>
        <c:manualLayout>
          <c:xMode val="edge"/>
          <c:yMode val="edge"/>
          <c:x val="0.20665664160401004"/>
          <c:y val="1.441441441441441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'Dados NEXe'!$A$20</c:f>
              <c:strCache>
                <c:ptCount val="1"/>
                <c:pt idx="0">
                  <c:v>TotaL Encerrada NEXE (Não Executar)</c:v>
                </c:pt>
              </c:strCache>
            </c:strRef>
          </c:tx>
          <c:spPr>
            <a:solidFill>
              <a:srgbClr val="CC0066"/>
            </a:solidFill>
            <a:ln>
              <a:solidFill>
                <a:srgbClr val="CC006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CC0066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'Dados NEXe'!$B$18:$M$18</c:f>
              <c:numCache>
                <c:formatCode>mmm\-yy</c:formatCode>
                <c:ptCount val="12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42736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</c:numCache>
            </c:numRef>
          </c:cat>
          <c:val>
            <c:numRef>
              <c:f>'Dados NEXe'!$B$20:$M$20</c:f>
              <c:numCache>
                <c:formatCode>0</c:formatCode>
                <c:ptCount val="12"/>
                <c:pt idx="0">
                  <c:v>7</c:v>
                </c:pt>
                <c:pt idx="1">
                  <c:v>6</c:v>
                </c:pt>
                <c:pt idx="2">
                  <c:v>17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5766456"/>
        <c:axId val="225766848"/>
      </c:barChart>
      <c:lineChart>
        <c:grouping val="standard"/>
        <c:varyColors val="0"/>
        <c:ser>
          <c:idx val="0"/>
          <c:order val="0"/>
          <c:tx>
            <c:strRef>
              <c:f>'Dados NEXe'!$A$19</c:f>
              <c:strCache>
                <c:ptCount val="1"/>
                <c:pt idx="0">
                  <c:v>Total PM01 / PM02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16"/>
            <c:spPr>
              <a:solidFill>
                <a:srgbClr val="000099"/>
              </a:solidFill>
              <a:ln>
                <a:solidFill>
                  <a:srgbClr val="000099"/>
                </a:solidFill>
              </a:ln>
            </c:spPr>
          </c:marker>
          <c:cat>
            <c:numRef>
              <c:f>'Dados NEXe'!$B$18:$M$18</c:f>
              <c:numCache>
                <c:formatCode>mmm\-yy</c:formatCode>
                <c:ptCount val="12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42736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</c:numCache>
            </c:numRef>
          </c:cat>
          <c:val>
            <c:numRef>
              <c:f>'Dados NEXe'!$B$19:$M$19</c:f>
              <c:numCache>
                <c:formatCode>0</c:formatCode>
                <c:ptCount val="12"/>
                <c:pt idx="0">
                  <c:v>60</c:v>
                </c:pt>
                <c:pt idx="1">
                  <c:v>40</c:v>
                </c:pt>
                <c:pt idx="2">
                  <c:v>56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766456"/>
        <c:axId val="225766848"/>
      </c:lineChart>
      <c:dateAx>
        <c:axId val="2257664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225766848"/>
        <c:crosses val="autoZero"/>
        <c:auto val="1"/>
        <c:lblOffset val="100"/>
        <c:baseTimeUnit val="months"/>
      </c:dateAx>
      <c:valAx>
        <c:axId val="2257668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050" b="1"/>
                </a:pPr>
                <a:r>
                  <a:rPr lang="en-US" sz="1050" b="1"/>
                  <a:t>N º de Ots</a:t>
                </a:r>
              </a:p>
            </c:rich>
          </c:tx>
          <c:layout>
            <c:manualLayout>
              <c:xMode val="edge"/>
              <c:yMode val="edge"/>
              <c:x val="6.0150375939849628E-3"/>
              <c:y val="0.41130254664112931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22576645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009800"/>
                </a:solidFill>
              </a:defRPr>
            </a:pPr>
            <a:r>
              <a:rPr lang="pt-BR" sz="2000">
                <a:solidFill>
                  <a:srgbClr val="009800"/>
                </a:solidFill>
              </a:rPr>
              <a:t>Total</a:t>
            </a:r>
            <a:r>
              <a:rPr lang="pt-BR" sz="2000" baseline="0">
                <a:solidFill>
                  <a:srgbClr val="009800"/>
                </a:solidFill>
              </a:rPr>
              <a:t> PM01 / PM02 x Encerradas NEXE</a:t>
            </a:r>
          </a:p>
          <a:p>
            <a:pPr>
              <a:defRPr>
                <a:solidFill>
                  <a:srgbClr val="009800"/>
                </a:solidFill>
              </a:defRPr>
            </a:pPr>
            <a:r>
              <a:rPr lang="pt-BR" baseline="0">
                <a:solidFill>
                  <a:srgbClr val="009800"/>
                </a:solidFill>
              </a:rPr>
              <a:t>(Soda de Conectores)</a:t>
            </a:r>
            <a:endParaRPr lang="pt-BR">
              <a:solidFill>
                <a:srgbClr val="009800"/>
              </a:solidFill>
            </a:endParaRPr>
          </a:p>
        </c:rich>
      </c:tx>
      <c:layout>
        <c:manualLayout>
          <c:xMode val="edge"/>
          <c:yMode val="edge"/>
          <c:x val="0.20665664160401004"/>
          <c:y val="1.441441441441441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'Dados NEXe'!$A$27</c:f>
              <c:strCache>
                <c:ptCount val="1"/>
                <c:pt idx="0">
                  <c:v>TotaL Encerrada NEXE (Não Executar)</c:v>
                </c:pt>
              </c:strCache>
            </c:strRef>
          </c:tx>
          <c:spPr>
            <a:solidFill>
              <a:srgbClr val="CC0066"/>
            </a:solidFill>
            <a:ln>
              <a:solidFill>
                <a:srgbClr val="CC006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CC0066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'Dados NEXe'!$B$25:$M$25</c:f>
              <c:numCache>
                <c:formatCode>mmm\-yy</c:formatCode>
                <c:ptCount val="12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42736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</c:numCache>
            </c:numRef>
          </c:cat>
          <c:val>
            <c:numRef>
              <c:f>'Dados NEXe'!$B$27:$M$27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5767632"/>
        <c:axId val="225768024"/>
      </c:barChart>
      <c:lineChart>
        <c:grouping val="standard"/>
        <c:varyColors val="0"/>
        <c:ser>
          <c:idx val="0"/>
          <c:order val="0"/>
          <c:tx>
            <c:strRef>
              <c:f>'Dados NEXe'!$A$26</c:f>
              <c:strCache>
                <c:ptCount val="1"/>
                <c:pt idx="0">
                  <c:v>Total PM01 / PM02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16"/>
            <c:spPr>
              <a:solidFill>
                <a:srgbClr val="000099"/>
              </a:solidFill>
              <a:ln>
                <a:solidFill>
                  <a:srgbClr val="000099"/>
                </a:solidFill>
              </a:ln>
            </c:spPr>
          </c:marker>
          <c:cat>
            <c:numRef>
              <c:f>'Dados NEXe'!$B$25:$M$25</c:f>
              <c:numCache>
                <c:formatCode>mmm\-yy</c:formatCode>
                <c:ptCount val="12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42736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</c:numCache>
            </c:numRef>
          </c:cat>
          <c:val>
            <c:numRef>
              <c:f>'Dados NEXe'!$B$26:$M$26</c:f>
              <c:numCache>
                <c:formatCode>0</c:formatCode>
                <c:ptCount val="12"/>
                <c:pt idx="0">
                  <c:v>13</c:v>
                </c:pt>
                <c:pt idx="1">
                  <c:v>14</c:v>
                </c:pt>
                <c:pt idx="2">
                  <c:v>16</c:v>
                </c:pt>
                <c:pt idx="3">
                  <c:v>16</c:v>
                </c:pt>
                <c:pt idx="4">
                  <c:v>8</c:v>
                </c:pt>
                <c:pt idx="5">
                  <c:v>27</c:v>
                </c:pt>
                <c:pt idx="6">
                  <c:v>16</c:v>
                </c:pt>
                <c:pt idx="7">
                  <c:v>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767632"/>
        <c:axId val="225768024"/>
      </c:lineChart>
      <c:dateAx>
        <c:axId val="2257676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225768024"/>
        <c:crosses val="autoZero"/>
        <c:auto val="1"/>
        <c:lblOffset val="100"/>
        <c:baseTimeUnit val="months"/>
      </c:dateAx>
      <c:valAx>
        <c:axId val="2257680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050" b="1"/>
                </a:pPr>
                <a:r>
                  <a:rPr lang="en-US" sz="1050" b="1"/>
                  <a:t>N º de Ots</a:t>
                </a:r>
              </a:p>
            </c:rich>
          </c:tx>
          <c:layout>
            <c:manualLayout>
              <c:xMode val="edge"/>
              <c:yMode val="edge"/>
              <c:x val="6.0150375939849628E-3"/>
              <c:y val="0.41130254664112931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22576763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009800"/>
                </a:solidFill>
              </a:defRPr>
            </a:pPr>
            <a:r>
              <a:rPr lang="pt-BR" sz="2000">
                <a:solidFill>
                  <a:srgbClr val="009800"/>
                </a:solidFill>
              </a:rPr>
              <a:t>Total</a:t>
            </a:r>
            <a:r>
              <a:rPr lang="pt-BR" sz="2000" baseline="0">
                <a:solidFill>
                  <a:srgbClr val="009800"/>
                </a:solidFill>
              </a:rPr>
              <a:t> PM01 / PM02 x Encerradas NEXE</a:t>
            </a:r>
          </a:p>
          <a:p>
            <a:pPr>
              <a:defRPr>
                <a:solidFill>
                  <a:srgbClr val="009800"/>
                </a:solidFill>
              </a:defRPr>
            </a:pPr>
            <a:r>
              <a:rPr lang="pt-BR" baseline="0">
                <a:solidFill>
                  <a:srgbClr val="009800"/>
                </a:solidFill>
              </a:rPr>
              <a:t>(Fab 06)</a:t>
            </a:r>
            <a:endParaRPr lang="pt-BR">
              <a:solidFill>
                <a:srgbClr val="009800"/>
              </a:solidFill>
            </a:endParaRPr>
          </a:p>
        </c:rich>
      </c:tx>
      <c:layout>
        <c:manualLayout>
          <c:xMode val="edge"/>
          <c:yMode val="edge"/>
          <c:x val="0.20665664160401004"/>
          <c:y val="1.441441441441441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'Dados NEXe'!$A$34</c:f>
              <c:strCache>
                <c:ptCount val="1"/>
                <c:pt idx="0">
                  <c:v>TotaL Encerrada NEXE (Não Executar)</c:v>
                </c:pt>
              </c:strCache>
            </c:strRef>
          </c:tx>
          <c:spPr>
            <a:solidFill>
              <a:srgbClr val="CC0066"/>
            </a:solidFill>
            <a:ln>
              <a:solidFill>
                <a:srgbClr val="CC006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CC0066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'Dados NEXe'!$B$32:$M$32</c:f>
              <c:numCache>
                <c:formatCode>mmm\-yy</c:formatCode>
                <c:ptCount val="12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42736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</c:numCache>
            </c:numRef>
          </c:cat>
          <c:val>
            <c:numRef>
              <c:f>'Dados NEXe'!$B$34:$M$34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646992"/>
        <c:axId val="185647384"/>
      </c:barChart>
      <c:lineChart>
        <c:grouping val="standard"/>
        <c:varyColors val="0"/>
        <c:ser>
          <c:idx val="0"/>
          <c:order val="0"/>
          <c:tx>
            <c:strRef>
              <c:f>'Dados NEXe'!$A$33</c:f>
              <c:strCache>
                <c:ptCount val="1"/>
                <c:pt idx="0">
                  <c:v>Total PM01 / PM02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16"/>
            <c:spPr>
              <a:solidFill>
                <a:srgbClr val="000099"/>
              </a:solidFill>
              <a:ln>
                <a:solidFill>
                  <a:srgbClr val="000099"/>
                </a:solidFill>
              </a:ln>
            </c:spPr>
          </c:marker>
          <c:cat>
            <c:numRef>
              <c:f>'Dados NEXe'!$B$32:$M$32</c:f>
              <c:numCache>
                <c:formatCode>mmm\-yy</c:formatCode>
                <c:ptCount val="12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42736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</c:numCache>
            </c:numRef>
          </c:cat>
          <c:val>
            <c:numRef>
              <c:f>'Dados NEXe'!$B$33:$M$33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5</c:v>
                </c:pt>
                <c:pt idx="7">
                  <c:v>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646992"/>
        <c:axId val="185647384"/>
      </c:lineChart>
      <c:dateAx>
        <c:axId val="1856469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85647384"/>
        <c:crosses val="autoZero"/>
        <c:auto val="1"/>
        <c:lblOffset val="100"/>
        <c:baseTimeUnit val="months"/>
      </c:dateAx>
      <c:valAx>
        <c:axId val="1856473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050" b="1"/>
                </a:pPr>
                <a:r>
                  <a:rPr lang="en-US" sz="1050" b="1"/>
                  <a:t>N º de Ots</a:t>
                </a:r>
              </a:p>
            </c:rich>
          </c:tx>
          <c:layout>
            <c:manualLayout>
              <c:xMode val="edge"/>
              <c:yMode val="edge"/>
              <c:x val="6.0150375939849628E-3"/>
              <c:y val="0.41130254664112931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18564699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009800"/>
                </a:solidFill>
              </a:defRPr>
            </a:pPr>
            <a:r>
              <a:rPr lang="pt-BR" sz="2000">
                <a:solidFill>
                  <a:srgbClr val="009800"/>
                </a:solidFill>
              </a:rPr>
              <a:t>Total</a:t>
            </a:r>
            <a:r>
              <a:rPr lang="pt-BR" sz="2000" baseline="0">
                <a:solidFill>
                  <a:srgbClr val="009800"/>
                </a:solidFill>
              </a:rPr>
              <a:t> PM01 / PM02 x Encerradas NEXE</a:t>
            </a:r>
          </a:p>
          <a:p>
            <a:pPr>
              <a:defRPr>
                <a:solidFill>
                  <a:srgbClr val="009800"/>
                </a:solidFill>
              </a:defRPr>
            </a:pPr>
            <a:r>
              <a:rPr lang="pt-BR" baseline="0">
                <a:solidFill>
                  <a:srgbClr val="009800"/>
                </a:solidFill>
              </a:rPr>
              <a:t>(Toto)</a:t>
            </a:r>
            <a:endParaRPr lang="pt-BR">
              <a:solidFill>
                <a:srgbClr val="009800"/>
              </a:solidFill>
            </a:endParaRPr>
          </a:p>
        </c:rich>
      </c:tx>
      <c:layout>
        <c:manualLayout>
          <c:xMode val="edge"/>
          <c:yMode val="edge"/>
          <c:x val="0.20665664160401004"/>
          <c:y val="1.441441441441441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'Dados NEXe'!$A$41</c:f>
              <c:strCache>
                <c:ptCount val="1"/>
                <c:pt idx="0">
                  <c:v>TotaL Encerrada NEXE (Não Executar)</c:v>
                </c:pt>
              </c:strCache>
            </c:strRef>
          </c:tx>
          <c:spPr>
            <a:solidFill>
              <a:srgbClr val="CC0066"/>
            </a:solidFill>
            <a:ln>
              <a:solidFill>
                <a:srgbClr val="CC006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CC0066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'Dados NEXe'!$B$39:$M$39</c:f>
              <c:numCache>
                <c:formatCode>mmm\-yy</c:formatCode>
                <c:ptCount val="12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42736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</c:numCache>
            </c:numRef>
          </c:cat>
          <c:val>
            <c:numRef>
              <c:f>'Dados NEXe'!$B$41:$M$41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648168"/>
        <c:axId val="283583120"/>
      </c:barChart>
      <c:lineChart>
        <c:grouping val="standard"/>
        <c:varyColors val="0"/>
        <c:ser>
          <c:idx val="0"/>
          <c:order val="0"/>
          <c:tx>
            <c:strRef>
              <c:f>'Dados NEXe'!$A$40</c:f>
              <c:strCache>
                <c:ptCount val="1"/>
                <c:pt idx="0">
                  <c:v>Total PM01 / PM02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16"/>
            <c:spPr>
              <a:solidFill>
                <a:srgbClr val="000099"/>
              </a:solidFill>
              <a:ln>
                <a:solidFill>
                  <a:srgbClr val="000099"/>
                </a:solidFill>
              </a:ln>
            </c:spPr>
          </c:marker>
          <c:cat>
            <c:numRef>
              <c:f>'Dados NEXe'!$B$39:$M$39</c:f>
              <c:numCache>
                <c:formatCode>mmm\-yy</c:formatCode>
                <c:ptCount val="12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42736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</c:numCache>
            </c:numRef>
          </c:cat>
          <c:val>
            <c:numRef>
              <c:f>'Dados NEXe'!$B$40:$M$40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648168"/>
        <c:axId val="283583120"/>
      </c:lineChart>
      <c:dateAx>
        <c:axId val="18564816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283583120"/>
        <c:crosses val="autoZero"/>
        <c:auto val="1"/>
        <c:lblOffset val="100"/>
        <c:baseTimeUnit val="months"/>
      </c:dateAx>
      <c:valAx>
        <c:axId val="2835831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050" b="1"/>
                </a:pPr>
                <a:r>
                  <a:rPr lang="en-US" sz="1050" b="1"/>
                  <a:t>N º de Ots</a:t>
                </a:r>
              </a:p>
            </c:rich>
          </c:tx>
          <c:layout>
            <c:manualLayout>
              <c:xMode val="edge"/>
              <c:yMode val="edge"/>
              <c:x val="6.0150375939849628E-3"/>
              <c:y val="0.41130254664112931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18564816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009800"/>
                </a:solidFill>
              </a:defRPr>
            </a:pPr>
            <a:r>
              <a:rPr lang="pt-BR" sz="2000">
                <a:solidFill>
                  <a:srgbClr val="009800"/>
                </a:solidFill>
              </a:rPr>
              <a:t>Total</a:t>
            </a:r>
            <a:r>
              <a:rPr lang="pt-BR" sz="2000" baseline="0">
                <a:solidFill>
                  <a:srgbClr val="009800"/>
                </a:solidFill>
              </a:rPr>
              <a:t> PM01 / PM02 x Encerradas NEXE</a:t>
            </a:r>
          </a:p>
          <a:p>
            <a:pPr>
              <a:defRPr>
                <a:solidFill>
                  <a:srgbClr val="009800"/>
                </a:solidFill>
              </a:defRPr>
            </a:pPr>
            <a:r>
              <a:rPr lang="pt-BR" baseline="0">
                <a:solidFill>
                  <a:srgbClr val="009800"/>
                </a:solidFill>
              </a:rPr>
              <a:t>(Rev 03)</a:t>
            </a:r>
            <a:endParaRPr lang="pt-BR">
              <a:solidFill>
                <a:srgbClr val="009800"/>
              </a:solidFill>
            </a:endParaRPr>
          </a:p>
        </c:rich>
      </c:tx>
      <c:layout>
        <c:manualLayout>
          <c:xMode val="edge"/>
          <c:yMode val="edge"/>
          <c:x val="0.20665664160401004"/>
          <c:y val="1.441441441441441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'Dados NEXe'!$A$48</c:f>
              <c:strCache>
                <c:ptCount val="1"/>
                <c:pt idx="0">
                  <c:v>TotaL Encerrada NEXE (Não Executar)</c:v>
                </c:pt>
              </c:strCache>
            </c:strRef>
          </c:tx>
          <c:spPr>
            <a:solidFill>
              <a:srgbClr val="CC0066"/>
            </a:solidFill>
            <a:ln>
              <a:solidFill>
                <a:srgbClr val="CC0066"/>
              </a:solidFill>
            </a:ln>
          </c:spPr>
          <c:invertIfNegative val="0"/>
          <c:dLbls>
            <c:dLbl>
              <c:idx val="0"/>
              <c:layout>
                <c:manualLayout>
                  <c:x val="-1.0025062656641603E-2"/>
                  <c:y val="1.0810810810810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6.0150375939849628E-3"/>
                  <c:y val="1.0810810810810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0"/>
                  <c:y val="5.04504504504504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CC0066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'Dados NEXe'!$B$46:$M$46</c:f>
              <c:numCache>
                <c:formatCode>mmm\-yy</c:formatCode>
                <c:ptCount val="12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42736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</c:numCache>
            </c:numRef>
          </c:cat>
          <c:val>
            <c:numRef>
              <c:f>'Dados NEXe'!$B$48:$M$48</c:f>
              <c:numCache>
                <c:formatCode>0</c:formatCode>
                <c:ptCount val="12"/>
                <c:pt idx="0">
                  <c:v>4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18</c:v>
                </c:pt>
                <c:pt idx="6">
                  <c:v>18</c:v>
                </c:pt>
                <c:pt idx="7">
                  <c:v>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3583904"/>
        <c:axId val="283584296"/>
      </c:barChart>
      <c:lineChart>
        <c:grouping val="standard"/>
        <c:varyColors val="0"/>
        <c:ser>
          <c:idx val="0"/>
          <c:order val="0"/>
          <c:tx>
            <c:strRef>
              <c:f>'Dados NEXe'!$A$47</c:f>
              <c:strCache>
                <c:ptCount val="1"/>
                <c:pt idx="0">
                  <c:v>Total PM01 / PM02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16"/>
            <c:spPr>
              <a:solidFill>
                <a:srgbClr val="000099"/>
              </a:solidFill>
              <a:ln>
                <a:solidFill>
                  <a:srgbClr val="000099"/>
                </a:solidFill>
              </a:ln>
            </c:spPr>
          </c:marker>
          <c:cat>
            <c:numRef>
              <c:f>'Dados NEXe'!$B$46:$M$46</c:f>
              <c:numCache>
                <c:formatCode>mmm\-yy</c:formatCode>
                <c:ptCount val="12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42736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</c:numCache>
            </c:numRef>
          </c:cat>
          <c:val>
            <c:numRef>
              <c:f>'Dados NEXe'!$B$47:$M$47</c:f>
              <c:numCache>
                <c:formatCode>0</c:formatCode>
                <c:ptCount val="12"/>
                <c:pt idx="0">
                  <c:v>25</c:v>
                </c:pt>
                <c:pt idx="1">
                  <c:v>22</c:v>
                </c:pt>
                <c:pt idx="2">
                  <c:v>22</c:v>
                </c:pt>
                <c:pt idx="3">
                  <c:v>19</c:v>
                </c:pt>
                <c:pt idx="4">
                  <c:v>22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583904"/>
        <c:axId val="283584296"/>
      </c:lineChart>
      <c:dateAx>
        <c:axId val="2835839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283584296"/>
        <c:crosses val="autoZero"/>
        <c:auto val="1"/>
        <c:lblOffset val="100"/>
        <c:baseTimeUnit val="months"/>
      </c:dateAx>
      <c:valAx>
        <c:axId val="2835842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050" b="1"/>
                </a:pPr>
                <a:r>
                  <a:rPr lang="en-US" sz="1050" b="1"/>
                  <a:t>N º de Ots</a:t>
                </a:r>
              </a:p>
            </c:rich>
          </c:tx>
          <c:layout>
            <c:manualLayout>
              <c:xMode val="edge"/>
              <c:yMode val="edge"/>
              <c:x val="6.0150375939849628E-3"/>
              <c:y val="0.41130254664112931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28358390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009800"/>
                </a:solidFill>
              </a:defRPr>
            </a:pPr>
            <a:r>
              <a:rPr lang="pt-BR" sz="2000">
                <a:solidFill>
                  <a:srgbClr val="009800"/>
                </a:solidFill>
              </a:rPr>
              <a:t>Total</a:t>
            </a:r>
            <a:r>
              <a:rPr lang="pt-BR" sz="2000" baseline="0">
                <a:solidFill>
                  <a:srgbClr val="009800"/>
                </a:solidFill>
              </a:rPr>
              <a:t> PM01 / PM02 x Encerradas NEXE</a:t>
            </a:r>
          </a:p>
          <a:p>
            <a:pPr>
              <a:defRPr>
                <a:solidFill>
                  <a:srgbClr val="009800"/>
                </a:solidFill>
              </a:defRPr>
            </a:pPr>
            <a:r>
              <a:rPr lang="pt-BR" baseline="0">
                <a:solidFill>
                  <a:srgbClr val="009800"/>
                </a:solidFill>
              </a:rPr>
              <a:t>(Rev 04)</a:t>
            </a:r>
            <a:endParaRPr lang="pt-BR">
              <a:solidFill>
                <a:srgbClr val="009800"/>
              </a:solidFill>
            </a:endParaRPr>
          </a:p>
        </c:rich>
      </c:tx>
      <c:layout>
        <c:manualLayout>
          <c:xMode val="edge"/>
          <c:yMode val="edge"/>
          <c:x val="0.20665664160401004"/>
          <c:y val="1.441441441441441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'Dados NEXe'!$A$55</c:f>
              <c:strCache>
                <c:ptCount val="1"/>
                <c:pt idx="0">
                  <c:v>TotaL Encerrada NEXE (Não Executar)</c:v>
                </c:pt>
              </c:strCache>
            </c:strRef>
          </c:tx>
          <c:spPr>
            <a:solidFill>
              <a:srgbClr val="CC0066"/>
            </a:solidFill>
            <a:ln>
              <a:solidFill>
                <a:srgbClr val="CC006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CC0066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'Dados NEXe'!$B$53:$M$53</c:f>
              <c:numCache>
                <c:formatCode>mmm\-yy</c:formatCode>
                <c:ptCount val="12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42736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</c:numCache>
            </c:numRef>
          </c:cat>
          <c:val>
            <c:numRef>
              <c:f>'Dados NEXe'!$B$55:$M$55</c:f>
              <c:numCache>
                <c:formatCode>0</c:formatCode>
                <c:ptCount val="12"/>
                <c:pt idx="0">
                  <c:v>30</c:v>
                </c:pt>
                <c:pt idx="1">
                  <c:v>17</c:v>
                </c:pt>
                <c:pt idx="2">
                  <c:v>24</c:v>
                </c:pt>
                <c:pt idx="3">
                  <c:v>16</c:v>
                </c:pt>
                <c:pt idx="4">
                  <c:v>27</c:v>
                </c:pt>
                <c:pt idx="5">
                  <c:v>16</c:v>
                </c:pt>
                <c:pt idx="6">
                  <c:v>33</c:v>
                </c:pt>
                <c:pt idx="7">
                  <c:v>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3754400"/>
        <c:axId val="223754792"/>
      </c:barChart>
      <c:lineChart>
        <c:grouping val="standard"/>
        <c:varyColors val="0"/>
        <c:ser>
          <c:idx val="0"/>
          <c:order val="0"/>
          <c:tx>
            <c:strRef>
              <c:f>'Dados NEXe'!$A$54</c:f>
              <c:strCache>
                <c:ptCount val="1"/>
                <c:pt idx="0">
                  <c:v>Total PM01 / PM02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16"/>
            <c:spPr>
              <a:solidFill>
                <a:srgbClr val="000099"/>
              </a:solidFill>
              <a:ln>
                <a:solidFill>
                  <a:srgbClr val="000099"/>
                </a:solidFill>
              </a:ln>
            </c:spPr>
          </c:marker>
          <c:cat>
            <c:numRef>
              <c:f>'Dados NEXe'!$B$53:$M$53</c:f>
              <c:numCache>
                <c:formatCode>mmm\-yy</c:formatCode>
                <c:ptCount val="12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42736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</c:numCache>
            </c:numRef>
          </c:cat>
          <c:val>
            <c:numRef>
              <c:f>'Dados NEXe'!$B$54:$M$54</c:f>
              <c:numCache>
                <c:formatCode>0</c:formatCode>
                <c:ptCount val="12"/>
                <c:pt idx="0">
                  <c:v>75</c:v>
                </c:pt>
                <c:pt idx="1">
                  <c:v>59</c:v>
                </c:pt>
                <c:pt idx="2">
                  <c:v>66</c:v>
                </c:pt>
                <c:pt idx="3">
                  <c:v>52</c:v>
                </c:pt>
                <c:pt idx="4">
                  <c:v>59</c:v>
                </c:pt>
                <c:pt idx="5">
                  <c:v>53</c:v>
                </c:pt>
                <c:pt idx="6">
                  <c:v>71</c:v>
                </c:pt>
                <c:pt idx="7">
                  <c:v>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754400"/>
        <c:axId val="223754792"/>
      </c:lineChart>
      <c:dateAx>
        <c:axId val="2237544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223754792"/>
        <c:crosses val="autoZero"/>
        <c:auto val="1"/>
        <c:lblOffset val="100"/>
        <c:baseTimeUnit val="months"/>
      </c:dateAx>
      <c:valAx>
        <c:axId val="223754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050" b="1"/>
                </a:pPr>
                <a:r>
                  <a:rPr lang="en-US" sz="1050" b="1"/>
                  <a:t>N º de Ots</a:t>
                </a:r>
              </a:p>
            </c:rich>
          </c:tx>
          <c:layout>
            <c:manualLayout>
              <c:xMode val="edge"/>
              <c:yMode val="edge"/>
              <c:x val="6.0150375939849628E-3"/>
              <c:y val="0.41130254664112931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22375440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009800"/>
                </a:solidFill>
              </a:defRPr>
            </a:pPr>
            <a:r>
              <a:rPr lang="pt-BR" sz="2000">
                <a:solidFill>
                  <a:srgbClr val="009800"/>
                </a:solidFill>
              </a:rPr>
              <a:t>Total</a:t>
            </a:r>
            <a:r>
              <a:rPr lang="pt-BR" sz="2000" baseline="0">
                <a:solidFill>
                  <a:srgbClr val="009800"/>
                </a:solidFill>
              </a:rPr>
              <a:t> PM01 / PM02 x Encerradas NEXE</a:t>
            </a:r>
          </a:p>
          <a:p>
            <a:pPr>
              <a:defRPr>
                <a:solidFill>
                  <a:srgbClr val="009800"/>
                </a:solidFill>
              </a:defRPr>
            </a:pPr>
            <a:r>
              <a:rPr lang="pt-BR" baseline="0">
                <a:solidFill>
                  <a:srgbClr val="009800"/>
                </a:solidFill>
              </a:rPr>
              <a:t>(Pontes)</a:t>
            </a:r>
            <a:endParaRPr lang="pt-BR">
              <a:solidFill>
                <a:srgbClr val="009800"/>
              </a:solidFill>
            </a:endParaRPr>
          </a:p>
        </c:rich>
      </c:tx>
      <c:layout>
        <c:manualLayout>
          <c:xMode val="edge"/>
          <c:yMode val="edge"/>
          <c:x val="0.20665664160401004"/>
          <c:y val="1.441441441441441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'Dados NEXe'!$A$77</c:f>
              <c:strCache>
                <c:ptCount val="1"/>
                <c:pt idx="0">
                  <c:v>TotaL Encerrada NEXE (Não Executar)</c:v>
                </c:pt>
              </c:strCache>
            </c:strRef>
          </c:tx>
          <c:spPr>
            <a:solidFill>
              <a:srgbClr val="CC0066"/>
            </a:solidFill>
            <a:ln>
              <a:solidFill>
                <a:srgbClr val="CC0066"/>
              </a:solidFill>
            </a:ln>
          </c:spPr>
          <c:invertIfNegative val="0"/>
          <c:dLbls>
            <c:dLbl>
              <c:idx val="0"/>
              <c:layout>
                <c:manualLayout>
                  <c:x val="-1.0025062656641603E-2"/>
                  <c:y val="1.0810810810810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6.0150375939849628E-3"/>
                  <c:y val="1.0810810810810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0"/>
                  <c:y val="5.04504504504504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CC0066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'Dados NEXe'!$B$75:$M$75</c:f>
              <c:numCache>
                <c:formatCode>mmm\-yy</c:formatCode>
                <c:ptCount val="12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42736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</c:numCache>
            </c:numRef>
          </c:cat>
          <c:val>
            <c:numRef>
              <c:f>'Dados NEXe'!$B$77:$M$77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3755576"/>
        <c:axId val="223755968"/>
      </c:barChart>
      <c:lineChart>
        <c:grouping val="standard"/>
        <c:varyColors val="0"/>
        <c:ser>
          <c:idx val="0"/>
          <c:order val="0"/>
          <c:tx>
            <c:strRef>
              <c:f>'Dados NEXe'!$A$76</c:f>
              <c:strCache>
                <c:ptCount val="1"/>
                <c:pt idx="0">
                  <c:v>Total PM01 / PM02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16"/>
            <c:spPr>
              <a:solidFill>
                <a:srgbClr val="000099"/>
              </a:solidFill>
              <a:ln>
                <a:solidFill>
                  <a:srgbClr val="000099"/>
                </a:solidFill>
              </a:ln>
            </c:spPr>
          </c:marker>
          <c:cat>
            <c:numRef>
              <c:f>'Dados NEXe'!$B$75:$M$75</c:f>
              <c:numCache>
                <c:formatCode>mmm\-yy</c:formatCode>
                <c:ptCount val="12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42736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</c:numCache>
            </c:numRef>
          </c:cat>
          <c:val>
            <c:numRef>
              <c:f>'Dados NEXe'!$B$76:$M$76</c:f>
              <c:numCache>
                <c:formatCode>0</c:formatCode>
                <c:ptCount val="12"/>
                <c:pt idx="0">
                  <c:v>88</c:v>
                </c:pt>
                <c:pt idx="1">
                  <c:v>96</c:v>
                </c:pt>
                <c:pt idx="2">
                  <c:v>42</c:v>
                </c:pt>
                <c:pt idx="3">
                  <c:v>107</c:v>
                </c:pt>
                <c:pt idx="4">
                  <c:v>97</c:v>
                </c:pt>
                <c:pt idx="5">
                  <c:v>111</c:v>
                </c:pt>
                <c:pt idx="6">
                  <c:v>73</c:v>
                </c:pt>
                <c:pt idx="7">
                  <c:v>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755576"/>
        <c:axId val="223755968"/>
      </c:lineChart>
      <c:dateAx>
        <c:axId val="2237555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223755968"/>
        <c:crosses val="autoZero"/>
        <c:auto val="1"/>
        <c:lblOffset val="100"/>
        <c:baseTimeUnit val="months"/>
      </c:dateAx>
      <c:valAx>
        <c:axId val="2237559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050" b="1"/>
                </a:pPr>
                <a:r>
                  <a:rPr lang="en-US" sz="1050" b="1"/>
                  <a:t>N º de Ots</a:t>
                </a:r>
              </a:p>
            </c:rich>
          </c:tx>
          <c:layout>
            <c:manualLayout>
              <c:xMode val="edge"/>
              <c:yMode val="edge"/>
              <c:x val="6.0150375939849628E-3"/>
              <c:y val="0.41130254664112931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22375557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009800"/>
                </a:solidFill>
              </a:defRPr>
            </a:pPr>
            <a:r>
              <a:rPr lang="pt-BR" sz="2000">
                <a:solidFill>
                  <a:srgbClr val="009800"/>
                </a:solidFill>
              </a:rPr>
              <a:t>Total</a:t>
            </a:r>
            <a:r>
              <a:rPr lang="pt-BR" sz="2000" baseline="0">
                <a:solidFill>
                  <a:srgbClr val="009800"/>
                </a:solidFill>
              </a:rPr>
              <a:t> PM01 / PM02 x Encerradas NEXE</a:t>
            </a:r>
          </a:p>
          <a:p>
            <a:pPr>
              <a:defRPr>
                <a:solidFill>
                  <a:srgbClr val="009800"/>
                </a:solidFill>
              </a:defRPr>
            </a:pPr>
            <a:r>
              <a:rPr lang="pt-BR" baseline="0">
                <a:solidFill>
                  <a:srgbClr val="009800"/>
                </a:solidFill>
              </a:rPr>
              <a:t>(NDT)</a:t>
            </a:r>
            <a:endParaRPr lang="pt-BR">
              <a:solidFill>
                <a:srgbClr val="009800"/>
              </a:solidFill>
            </a:endParaRPr>
          </a:p>
        </c:rich>
      </c:tx>
      <c:layout>
        <c:manualLayout>
          <c:xMode val="edge"/>
          <c:yMode val="edge"/>
          <c:x val="0.20665664160401004"/>
          <c:y val="1.441441441441441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'Dados NEXe'!$A$85</c:f>
              <c:strCache>
                <c:ptCount val="1"/>
                <c:pt idx="0">
                  <c:v>TotaL Encerrada NEXE (Não Executar)</c:v>
                </c:pt>
              </c:strCache>
            </c:strRef>
          </c:tx>
          <c:spPr>
            <a:solidFill>
              <a:srgbClr val="CC0066"/>
            </a:solidFill>
            <a:ln>
              <a:solidFill>
                <a:srgbClr val="CC006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CC0066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'Dados NEXe'!$B$83:$M$83</c:f>
              <c:numCache>
                <c:formatCode>mmm\-yy</c:formatCode>
                <c:ptCount val="12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42736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</c:numCache>
            </c:numRef>
          </c:cat>
          <c:val>
            <c:numRef>
              <c:f>'Dados NEXe'!$B$85:$M$85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330216"/>
        <c:axId val="184330608"/>
      </c:barChart>
      <c:lineChart>
        <c:grouping val="standard"/>
        <c:varyColors val="0"/>
        <c:ser>
          <c:idx val="0"/>
          <c:order val="0"/>
          <c:tx>
            <c:strRef>
              <c:f>'Dados NEXe'!$A$84</c:f>
              <c:strCache>
                <c:ptCount val="1"/>
                <c:pt idx="0">
                  <c:v>Total PM01 / PM02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16"/>
            <c:spPr>
              <a:solidFill>
                <a:srgbClr val="000099"/>
              </a:solidFill>
              <a:ln>
                <a:solidFill>
                  <a:srgbClr val="000099"/>
                </a:solidFill>
              </a:ln>
            </c:spPr>
          </c:marker>
          <c:cat>
            <c:numRef>
              <c:f>'Dados NEXe'!$B$83:$M$83</c:f>
              <c:numCache>
                <c:formatCode>mmm\-yy</c:formatCode>
                <c:ptCount val="12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42736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</c:numCache>
            </c:numRef>
          </c:cat>
          <c:val>
            <c:numRef>
              <c:f>'Dados NEXe'!$B$84:$M$84</c:f>
              <c:numCache>
                <c:formatCode>0</c:formatCode>
                <c:ptCount val="12"/>
                <c:pt idx="0">
                  <c:v>41</c:v>
                </c:pt>
                <c:pt idx="1">
                  <c:v>31</c:v>
                </c:pt>
                <c:pt idx="2">
                  <c:v>34</c:v>
                </c:pt>
                <c:pt idx="3">
                  <c:v>36</c:v>
                </c:pt>
                <c:pt idx="4">
                  <c:v>29</c:v>
                </c:pt>
                <c:pt idx="5">
                  <c:v>32</c:v>
                </c:pt>
                <c:pt idx="6">
                  <c:v>29</c:v>
                </c:pt>
                <c:pt idx="7">
                  <c:v>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330216"/>
        <c:axId val="184330608"/>
      </c:lineChart>
      <c:dateAx>
        <c:axId val="1843302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84330608"/>
        <c:crosses val="autoZero"/>
        <c:auto val="1"/>
        <c:lblOffset val="100"/>
        <c:baseTimeUnit val="months"/>
      </c:dateAx>
      <c:valAx>
        <c:axId val="1843306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050" b="1"/>
                </a:pPr>
                <a:r>
                  <a:rPr lang="en-US" sz="1050" b="1"/>
                  <a:t>N º de Ots</a:t>
                </a:r>
              </a:p>
            </c:rich>
          </c:tx>
          <c:layout>
            <c:manualLayout>
              <c:xMode val="edge"/>
              <c:yMode val="edge"/>
              <c:x val="6.0150375939849628E-3"/>
              <c:y val="0.41130254664112931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18433021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009800"/>
                </a:solidFill>
              </a:defRPr>
            </a:pPr>
            <a:r>
              <a:rPr lang="pt-BR" sz="2000">
                <a:solidFill>
                  <a:srgbClr val="009800"/>
                </a:solidFill>
              </a:rPr>
              <a:t>Total</a:t>
            </a:r>
            <a:r>
              <a:rPr lang="pt-BR" sz="2000" baseline="0">
                <a:solidFill>
                  <a:srgbClr val="009800"/>
                </a:solidFill>
              </a:rPr>
              <a:t> PM01 / PM02 x Encerradas NEXE</a:t>
            </a:r>
          </a:p>
          <a:p>
            <a:pPr>
              <a:defRPr>
                <a:solidFill>
                  <a:srgbClr val="009800"/>
                </a:solidFill>
              </a:defRPr>
            </a:pPr>
            <a:r>
              <a:rPr lang="pt-BR" baseline="0">
                <a:solidFill>
                  <a:srgbClr val="009800"/>
                </a:solidFill>
              </a:rPr>
              <a:t>(Rev Externo)</a:t>
            </a:r>
            <a:endParaRPr lang="pt-BR">
              <a:solidFill>
                <a:srgbClr val="009800"/>
              </a:solidFill>
            </a:endParaRPr>
          </a:p>
        </c:rich>
      </c:tx>
      <c:layout>
        <c:manualLayout>
          <c:xMode val="edge"/>
          <c:yMode val="edge"/>
          <c:x val="0.20665664160401004"/>
          <c:y val="1.441441441441441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'Dados NEXe'!$A$62</c:f>
              <c:strCache>
                <c:ptCount val="1"/>
                <c:pt idx="0">
                  <c:v>TotaL Encerrada NEXE (Não Executar)</c:v>
                </c:pt>
              </c:strCache>
            </c:strRef>
          </c:tx>
          <c:spPr>
            <a:solidFill>
              <a:srgbClr val="CC0066"/>
            </a:solidFill>
            <a:ln>
              <a:solidFill>
                <a:srgbClr val="CC0066"/>
              </a:solidFill>
            </a:ln>
          </c:spPr>
          <c:invertIfNegative val="0"/>
          <c:dLbls>
            <c:dLbl>
              <c:idx val="0"/>
              <c:layout>
                <c:manualLayout>
                  <c:x val="-1.0025062656641603E-2"/>
                  <c:y val="1.0810810810810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6.0150375939849628E-3"/>
                  <c:y val="1.0810810810810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0"/>
                  <c:y val="5.04504504504504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CC0066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'Dados NEXe'!$B$60:$M$60</c:f>
              <c:numCache>
                <c:formatCode>mmm\-yy</c:formatCode>
                <c:ptCount val="12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42736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</c:numCache>
            </c:numRef>
          </c:cat>
          <c:val>
            <c:numRef>
              <c:f>'Dados NEXe'!$B$62:$M$62</c:f>
              <c:numCache>
                <c:formatCode>0</c:formatCode>
                <c:ptCount val="12"/>
                <c:pt idx="0">
                  <c:v>0</c:v>
                </c:pt>
                <c:pt idx="1">
                  <c:v>30</c:v>
                </c:pt>
                <c:pt idx="2">
                  <c:v>37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331392"/>
        <c:axId val="322117672"/>
      </c:barChart>
      <c:lineChart>
        <c:grouping val="standard"/>
        <c:varyColors val="0"/>
        <c:ser>
          <c:idx val="0"/>
          <c:order val="0"/>
          <c:tx>
            <c:strRef>
              <c:f>'Dados NEXe'!$A$61</c:f>
              <c:strCache>
                <c:ptCount val="1"/>
                <c:pt idx="0">
                  <c:v>Total PM01 / PM02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16"/>
            <c:spPr>
              <a:solidFill>
                <a:srgbClr val="000099"/>
              </a:solidFill>
              <a:ln>
                <a:solidFill>
                  <a:srgbClr val="000099"/>
                </a:solidFill>
              </a:ln>
            </c:spPr>
          </c:marker>
          <c:cat>
            <c:numRef>
              <c:f>'Dados NEXe'!$B$60:$M$60</c:f>
              <c:numCache>
                <c:formatCode>mmm\-yy</c:formatCode>
                <c:ptCount val="12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42736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</c:numCache>
            </c:numRef>
          </c:cat>
          <c:val>
            <c:numRef>
              <c:f>'Dados NEXe'!$B$61:$M$61</c:f>
              <c:numCache>
                <c:formatCode>0</c:formatCode>
                <c:ptCount val="12"/>
                <c:pt idx="0">
                  <c:v>88</c:v>
                </c:pt>
                <c:pt idx="1">
                  <c:v>43</c:v>
                </c:pt>
                <c:pt idx="2">
                  <c:v>48</c:v>
                </c:pt>
                <c:pt idx="3">
                  <c:v>42</c:v>
                </c:pt>
                <c:pt idx="4">
                  <c:v>55</c:v>
                </c:pt>
                <c:pt idx="5">
                  <c:v>58</c:v>
                </c:pt>
                <c:pt idx="6">
                  <c:v>52</c:v>
                </c:pt>
                <c:pt idx="7">
                  <c:v>43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'Dados NEXe'!$A$63</c:f>
              <c:strCache>
                <c:ptCount val="1"/>
                <c:pt idx="0">
                  <c:v>% Acumulada</c:v>
                </c:pt>
              </c:strCache>
            </c:strRef>
          </c:tx>
          <c:spPr>
            <a:ln w="28575">
              <a:noFill/>
            </a:ln>
          </c:spPr>
          <c:cat>
            <c:numRef>
              <c:f>'Dados NEXe'!$B$60:$M$60</c:f>
              <c:numCache>
                <c:formatCode>mmm\-yy</c:formatCode>
                <c:ptCount val="12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42736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</c:numCache>
            </c:numRef>
          </c:cat>
          <c:val>
            <c:numRef>
              <c:f>'Dados NEXe'!$B$63:$M$63</c:f>
              <c:numCache>
                <c:formatCode>0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331392"/>
        <c:axId val="322117672"/>
      </c:lineChart>
      <c:dateAx>
        <c:axId val="184331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322117672"/>
        <c:crosses val="autoZero"/>
        <c:auto val="1"/>
        <c:lblOffset val="100"/>
        <c:baseTimeUnit val="months"/>
      </c:dateAx>
      <c:valAx>
        <c:axId val="3221176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050" b="1"/>
                </a:pPr>
                <a:r>
                  <a:rPr lang="en-US" sz="1050" b="1"/>
                  <a:t>N º de Ots</a:t>
                </a:r>
              </a:p>
            </c:rich>
          </c:tx>
          <c:layout>
            <c:manualLayout>
              <c:xMode val="edge"/>
              <c:yMode val="edge"/>
              <c:x val="6.0150375939849628E-3"/>
              <c:y val="0.41130254664112931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18433139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009800"/>
                </a:solidFill>
              </a:defRPr>
            </a:pPr>
            <a:r>
              <a:rPr lang="pt-BR" sz="2000">
                <a:solidFill>
                  <a:srgbClr val="009800"/>
                </a:solidFill>
              </a:rPr>
              <a:t>Total</a:t>
            </a:r>
            <a:r>
              <a:rPr lang="pt-BR" sz="2000" baseline="0">
                <a:solidFill>
                  <a:srgbClr val="009800"/>
                </a:solidFill>
              </a:rPr>
              <a:t> PM01 / PM02 x Encerradas NEXE</a:t>
            </a:r>
          </a:p>
          <a:p>
            <a:pPr>
              <a:defRPr>
                <a:solidFill>
                  <a:srgbClr val="009800"/>
                </a:solidFill>
              </a:defRPr>
            </a:pPr>
            <a:r>
              <a:rPr lang="pt-BR" baseline="0">
                <a:solidFill>
                  <a:srgbClr val="009800"/>
                </a:solidFill>
              </a:rPr>
              <a:t>(Rev Interno)</a:t>
            </a:r>
            <a:endParaRPr lang="pt-BR">
              <a:solidFill>
                <a:srgbClr val="009800"/>
              </a:solidFill>
            </a:endParaRPr>
          </a:p>
        </c:rich>
      </c:tx>
      <c:layout>
        <c:manualLayout>
          <c:xMode val="edge"/>
          <c:yMode val="edge"/>
          <c:x val="0.20665664160401004"/>
          <c:y val="1.441441441441441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'Dados NEXe'!$A$69</c:f>
              <c:strCache>
                <c:ptCount val="1"/>
                <c:pt idx="0">
                  <c:v>TotaL Encerrada NEXE (Não Executar)</c:v>
                </c:pt>
              </c:strCache>
            </c:strRef>
          </c:tx>
          <c:spPr>
            <a:solidFill>
              <a:srgbClr val="CC0066"/>
            </a:solidFill>
            <a:ln>
              <a:solidFill>
                <a:srgbClr val="CC006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CC0066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'Dados NEXe'!$B$67:$M$67</c:f>
              <c:numCache>
                <c:formatCode>mmm\-yy</c:formatCode>
                <c:ptCount val="12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42736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</c:numCache>
            </c:numRef>
          </c:cat>
          <c:val>
            <c:numRef>
              <c:f>'Dados NEXe'!$B$69:$M$69</c:f>
              <c:numCache>
                <c:formatCode>0</c:formatCode>
                <c:ptCount val="12"/>
                <c:pt idx="0">
                  <c:v>14</c:v>
                </c:pt>
                <c:pt idx="1">
                  <c:v>10</c:v>
                </c:pt>
                <c:pt idx="2">
                  <c:v>12</c:v>
                </c:pt>
                <c:pt idx="3">
                  <c:v>11</c:v>
                </c:pt>
                <c:pt idx="4">
                  <c:v>11</c:v>
                </c:pt>
                <c:pt idx="5">
                  <c:v>19</c:v>
                </c:pt>
                <c:pt idx="6">
                  <c:v>10</c:v>
                </c:pt>
                <c:pt idx="7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2118456"/>
        <c:axId val="322118848"/>
      </c:barChart>
      <c:lineChart>
        <c:grouping val="standard"/>
        <c:varyColors val="0"/>
        <c:ser>
          <c:idx val="0"/>
          <c:order val="0"/>
          <c:tx>
            <c:strRef>
              <c:f>'Dados NEXe'!$A$68</c:f>
              <c:strCache>
                <c:ptCount val="1"/>
                <c:pt idx="0">
                  <c:v>Total PM01 / PM02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16"/>
            <c:spPr>
              <a:solidFill>
                <a:srgbClr val="000099"/>
              </a:solidFill>
              <a:ln>
                <a:solidFill>
                  <a:srgbClr val="000099"/>
                </a:solidFill>
              </a:ln>
            </c:spPr>
          </c:marker>
          <c:cat>
            <c:numRef>
              <c:f>'Dados NEXe'!$B$67:$M$67</c:f>
              <c:numCache>
                <c:formatCode>mmm\-yy</c:formatCode>
                <c:ptCount val="12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42736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</c:numCache>
            </c:numRef>
          </c:cat>
          <c:val>
            <c:numRef>
              <c:f>'Dados NEXe'!$B$68:$M$68</c:f>
              <c:numCache>
                <c:formatCode>0</c:formatCode>
                <c:ptCount val="12"/>
                <c:pt idx="0">
                  <c:v>16</c:v>
                </c:pt>
                <c:pt idx="1">
                  <c:v>12</c:v>
                </c:pt>
                <c:pt idx="2">
                  <c:v>14</c:v>
                </c:pt>
                <c:pt idx="3">
                  <c:v>13</c:v>
                </c:pt>
                <c:pt idx="4">
                  <c:v>13</c:v>
                </c:pt>
                <c:pt idx="5">
                  <c:v>21</c:v>
                </c:pt>
                <c:pt idx="6">
                  <c:v>12</c:v>
                </c:pt>
                <c:pt idx="7">
                  <c:v>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118456"/>
        <c:axId val="322118848"/>
      </c:lineChart>
      <c:dateAx>
        <c:axId val="3221184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322118848"/>
        <c:crosses val="autoZero"/>
        <c:auto val="1"/>
        <c:lblOffset val="100"/>
        <c:baseTimeUnit val="months"/>
      </c:dateAx>
      <c:valAx>
        <c:axId val="322118848"/>
        <c:scaling>
          <c:orientation val="minMax"/>
          <c:max val="14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050" b="1"/>
                </a:pPr>
                <a:r>
                  <a:rPr lang="en-US" sz="1050" b="1"/>
                  <a:t>N º de Ots</a:t>
                </a:r>
              </a:p>
            </c:rich>
          </c:tx>
          <c:layout>
            <c:manualLayout>
              <c:xMode val="edge"/>
              <c:yMode val="edge"/>
              <c:x val="6.0150375939849628E-3"/>
              <c:y val="0.41130254664112931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322118456"/>
        <c:crosses val="autoZero"/>
        <c:crossBetween val="between"/>
        <c:majorUnit val="2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009800"/>
                </a:solidFill>
              </a:defRPr>
            </a:pPr>
            <a:r>
              <a:rPr lang="pt-BR" sz="2000">
                <a:solidFill>
                  <a:srgbClr val="009800"/>
                </a:solidFill>
              </a:rPr>
              <a:t>Total</a:t>
            </a:r>
            <a:r>
              <a:rPr lang="pt-BR" sz="2000" baseline="0">
                <a:solidFill>
                  <a:srgbClr val="009800"/>
                </a:solidFill>
              </a:rPr>
              <a:t> PM01 / PM02 x Encerradas NEXE</a:t>
            </a:r>
          </a:p>
          <a:p>
            <a:pPr>
              <a:defRPr>
                <a:solidFill>
                  <a:srgbClr val="009800"/>
                </a:solidFill>
              </a:defRPr>
            </a:pPr>
            <a:r>
              <a:rPr lang="pt-BR" baseline="0">
                <a:solidFill>
                  <a:srgbClr val="009800"/>
                </a:solidFill>
              </a:rPr>
              <a:t>(Sein / Elce)</a:t>
            </a:r>
            <a:endParaRPr lang="pt-BR">
              <a:solidFill>
                <a:srgbClr val="009800"/>
              </a:solidFill>
            </a:endParaRPr>
          </a:p>
        </c:rich>
      </c:tx>
      <c:layout>
        <c:manualLayout>
          <c:xMode val="edge"/>
          <c:yMode val="edge"/>
          <c:x val="0.20665664160401004"/>
          <c:y val="1.441441441441441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'Dados NEXe'!$A$94</c:f>
              <c:strCache>
                <c:ptCount val="1"/>
                <c:pt idx="0">
                  <c:v>TotaL Encerrada NEXE (Não Executar)</c:v>
                </c:pt>
              </c:strCache>
            </c:strRef>
          </c:tx>
          <c:spPr>
            <a:solidFill>
              <a:srgbClr val="CC0066"/>
            </a:solidFill>
            <a:ln>
              <a:solidFill>
                <a:srgbClr val="CC006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CC0066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'Dados NEXe'!$B$92:$O$92</c:f>
              <c:strCache>
                <c:ptCount val="14"/>
                <c:pt idx="0">
                  <c:v>jul/16</c:v>
                </c:pt>
                <c:pt idx="1">
                  <c:v>ago/16</c:v>
                </c:pt>
                <c:pt idx="2">
                  <c:v>set/16</c:v>
                </c:pt>
                <c:pt idx="3">
                  <c:v>out/16</c:v>
                </c:pt>
                <c:pt idx="4">
                  <c:v>nov/16</c:v>
                </c:pt>
                <c:pt idx="5">
                  <c:v>dez/16</c:v>
                </c:pt>
                <c:pt idx="6">
                  <c:v>jan/17</c:v>
                </c:pt>
                <c:pt idx="7">
                  <c:v>jan/17</c:v>
                </c:pt>
                <c:pt idx="8">
                  <c:v>mar/17</c:v>
                </c:pt>
                <c:pt idx="9">
                  <c:v>abr/17</c:v>
                </c:pt>
                <c:pt idx="10">
                  <c:v>mai/17</c:v>
                </c:pt>
                <c:pt idx="11">
                  <c:v>jun/17</c:v>
                </c:pt>
                <c:pt idx="12">
                  <c:v>Acum.  
PM01 / PM02</c:v>
                </c:pt>
                <c:pt idx="13">
                  <c:v>Acum.  
Nexe</c:v>
                </c:pt>
              </c:strCache>
            </c:strRef>
          </c:cat>
          <c:val>
            <c:numRef>
              <c:f>'Dados NEXe'!$B$94:$O$94</c:f>
              <c:numCache>
                <c:formatCode>0</c:formatCode>
                <c:ptCount val="14"/>
                <c:pt idx="0">
                  <c:v>261</c:v>
                </c:pt>
                <c:pt idx="1">
                  <c:v>220</c:v>
                </c:pt>
                <c:pt idx="2">
                  <c:v>241</c:v>
                </c:pt>
                <c:pt idx="3">
                  <c:v>133</c:v>
                </c:pt>
                <c:pt idx="4">
                  <c:v>240</c:v>
                </c:pt>
                <c:pt idx="5">
                  <c:v>292</c:v>
                </c:pt>
                <c:pt idx="6">
                  <c:v>328</c:v>
                </c:pt>
                <c:pt idx="7">
                  <c:v>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2119632"/>
        <c:axId val="322120024"/>
      </c:barChart>
      <c:lineChart>
        <c:grouping val="standard"/>
        <c:varyColors val="0"/>
        <c:ser>
          <c:idx val="0"/>
          <c:order val="0"/>
          <c:tx>
            <c:strRef>
              <c:f>'Dados NEXe'!$A$93</c:f>
              <c:strCache>
                <c:ptCount val="1"/>
                <c:pt idx="0">
                  <c:v>Total PM01 / PM02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16"/>
            <c:spPr>
              <a:solidFill>
                <a:srgbClr val="000099"/>
              </a:solidFill>
              <a:ln>
                <a:solidFill>
                  <a:srgbClr val="000099"/>
                </a:solidFill>
              </a:ln>
            </c:spPr>
          </c:marker>
          <c:cat>
            <c:strRef>
              <c:f>'Dados NEXe'!$B$92:$O$92</c:f>
              <c:strCache>
                <c:ptCount val="14"/>
                <c:pt idx="0">
                  <c:v>jul/16</c:v>
                </c:pt>
                <c:pt idx="1">
                  <c:v>ago/16</c:v>
                </c:pt>
                <c:pt idx="2">
                  <c:v>set/16</c:v>
                </c:pt>
                <c:pt idx="3">
                  <c:v>out/16</c:v>
                </c:pt>
                <c:pt idx="4">
                  <c:v>nov/16</c:v>
                </c:pt>
                <c:pt idx="5">
                  <c:v>dez/16</c:v>
                </c:pt>
                <c:pt idx="6">
                  <c:v>jan/17</c:v>
                </c:pt>
                <c:pt idx="7">
                  <c:v>jan/17</c:v>
                </c:pt>
                <c:pt idx="8">
                  <c:v>mar/17</c:v>
                </c:pt>
                <c:pt idx="9">
                  <c:v>abr/17</c:v>
                </c:pt>
                <c:pt idx="10">
                  <c:v>mai/17</c:v>
                </c:pt>
                <c:pt idx="11">
                  <c:v>jun/17</c:v>
                </c:pt>
                <c:pt idx="12">
                  <c:v>Acum.  
PM01 / PM02</c:v>
                </c:pt>
                <c:pt idx="13">
                  <c:v>Acum.  
Nexe</c:v>
                </c:pt>
              </c:strCache>
            </c:strRef>
          </c:cat>
          <c:val>
            <c:numRef>
              <c:f>'Dados NEXe'!$B$93:$O$93</c:f>
              <c:numCache>
                <c:formatCode>0</c:formatCode>
                <c:ptCount val="14"/>
                <c:pt idx="0">
                  <c:v>856</c:v>
                </c:pt>
                <c:pt idx="1">
                  <c:v>825</c:v>
                </c:pt>
                <c:pt idx="2">
                  <c:v>770</c:v>
                </c:pt>
                <c:pt idx="3">
                  <c:v>963</c:v>
                </c:pt>
                <c:pt idx="4">
                  <c:v>664</c:v>
                </c:pt>
                <c:pt idx="5">
                  <c:v>733</c:v>
                </c:pt>
                <c:pt idx="6">
                  <c:v>1190</c:v>
                </c:pt>
                <c:pt idx="7">
                  <c:v>327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119632"/>
        <c:axId val="322120024"/>
      </c:lineChart>
      <c:catAx>
        <c:axId val="322119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2120024"/>
        <c:crosses val="autoZero"/>
        <c:auto val="1"/>
        <c:lblAlgn val="ctr"/>
        <c:lblOffset val="100"/>
        <c:noMultiLvlLbl val="0"/>
      </c:catAx>
      <c:valAx>
        <c:axId val="3221200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050" b="1"/>
                </a:pPr>
                <a:r>
                  <a:rPr lang="en-US" sz="1050" b="1"/>
                  <a:t>N º de Ots</a:t>
                </a:r>
              </a:p>
            </c:rich>
          </c:tx>
          <c:layout>
            <c:manualLayout>
              <c:xMode val="edge"/>
              <c:yMode val="edge"/>
              <c:x val="6.0150375939849628E-3"/>
              <c:y val="0.41130254664112931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32211963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009800"/>
                </a:solidFill>
              </a:defRPr>
            </a:pPr>
            <a:r>
              <a:rPr lang="pt-BR" sz="2000">
                <a:solidFill>
                  <a:srgbClr val="009800"/>
                </a:solidFill>
              </a:rPr>
              <a:t>Total</a:t>
            </a:r>
            <a:r>
              <a:rPr lang="pt-BR" sz="2000" baseline="0">
                <a:solidFill>
                  <a:srgbClr val="009800"/>
                </a:solidFill>
              </a:rPr>
              <a:t> PM01 / PM02 x Encerradas NEXE</a:t>
            </a:r>
          </a:p>
          <a:p>
            <a:pPr>
              <a:defRPr>
                <a:solidFill>
                  <a:srgbClr val="009800"/>
                </a:solidFill>
              </a:defRPr>
            </a:pPr>
            <a:r>
              <a:rPr lang="pt-BR" baseline="0">
                <a:solidFill>
                  <a:srgbClr val="009800"/>
                </a:solidFill>
              </a:rPr>
              <a:t>(CORJ)</a:t>
            </a:r>
            <a:endParaRPr lang="pt-BR">
              <a:solidFill>
                <a:srgbClr val="009800"/>
              </a:solidFill>
            </a:endParaRPr>
          </a:p>
        </c:rich>
      </c:tx>
      <c:layout>
        <c:manualLayout>
          <c:xMode val="edge"/>
          <c:yMode val="edge"/>
          <c:x val="0.20665664160401004"/>
          <c:y val="1.441441441441441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'Dados NEXe'!$A$103</c:f>
              <c:strCache>
                <c:ptCount val="1"/>
                <c:pt idx="0">
                  <c:v>TotaL Encerrada NEXE (Não Executar)</c:v>
                </c:pt>
              </c:strCache>
            </c:strRef>
          </c:tx>
          <c:spPr>
            <a:solidFill>
              <a:srgbClr val="CC0066"/>
            </a:solidFill>
            <a:ln>
              <a:solidFill>
                <a:srgbClr val="CC006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CC0066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'Dados NEXe'!$B$101:$M$101</c:f>
              <c:numCache>
                <c:formatCode>mmm\-yy</c:formatCode>
                <c:ptCount val="12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42736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</c:numCache>
            </c:numRef>
          </c:cat>
          <c:val>
            <c:numRef>
              <c:f>'Dados NEXe'!$B$103:$M$103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2120808"/>
        <c:axId val="322121200"/>
      </c:barChart>
      <c:lineChart>
        <c:grouping val="standard"/>
        <c:varyColors val="0"/>
        <c:ser>
          <c:idx val="0"/>
          <c:order val="0"/>
          <c:tx>
            <c:strRef>
              <c:f>'Dados NEXe'!$A$102</c:f>
              <c:strCache>
                <c:ptCount val="1"/>
                <c:pt idx="0">
                  <c:v>Total PM01 / PM02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16"/>
            <c:spPr>
              <a:solidFill>
                <a:srgbClr val="000099"/>
              </a:solidFill>
              <a:ln>
                <a:solidFill>
                  <a:srgbClr val="000099"/>
                </a:solidFill>
              </a:ln>
            </c:spPr>
          </c:marker>
          <c:cat>
            <c:numRef>
              <c:f>'Dados NEXe'!$B$101:$M$101</c:f>
              <c:numCache>
                <c:formatCode>mmm\-yy</c:formatCode>
                <c:ptCount val="12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42736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</c:numCache>
            </c:numRef>
          </c:cat>
          <c:val>
            <c:numRef>
              <c:f>'Dados NEXe'!$B$102:$M$102</c:f>
              <c:numCache>
                <c:formatCode>0</c:formatCode>
                <c:ptCount val="12"/>
                <c:pt idx="0">
                  <c:v>25</c:v>
                </c:pt>
                <c:pt idx="1">
                  <c:v>27</c:v>
                </c:pt>
                <c:pt idx="2">
                  <c:v>28</c:v>
                </c:pt>
                <c:pt idx="3">
                  <c:v>24</c:v>
                </c:pt>
                <c:pt idx="4">
                  <c:v>36</c:v>
                </c:pt>
                <c:pt idx="5">
                  <c:v>34</c:v>
                </c:pt>
                <c:pt idx="6">
                  <c:v>36</c:v>
                </c:pt>
                <c:pt idx="7">
                  <c:v>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120808"/>
        <c:axId val="322121200"/>
      </c:lineChart>
      <c:dateAx>
        <c:axId val="3221208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322121200"/>
        <c:crosses val="autoZero"/>
        <c:auto val="1"/>
        <c:lblOffset val="100"/>
        <c:baseTimeUnit val="months"/>
      </c:dateAx>
      <c:valAx>
        <c:axId val="3221212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050" b="1"/>
                </a:pPr>
                <a:r>
                  <a:rPr lang="en-US" sz="1050" b="1"/>
                  <a:t>N º de Ots</a:t>
                </a:r>
              </a:p>
            </c:rich>
          </c:tx>
          <c:layout>
            <c:manualLayout>
              <c:xMode val="edge"/>
              <c:yMode val="edge"/>
              <c:x val="6.0150375939849628E-3"/>
              <c:y val="0.41130254664112931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32212080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2.xml"/><Relationship Id="rId18" Type="http://schemas.openxmlformats.org/officeDocument/2006/relationships/chart" Target="../charts/chart17.xml"/><Relationship Id="rId3" Type="http://schemas.openxmlformats.org/officeDocument/2006/relationships/chart" Target="../charts/chart2.xml"/><Relationship Id="rId21" Type="http://schemas.openxmlformats.org/officeDocument/2006/relationships/chart" Target="../charts/chart20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17" Type="http://schemas.openxmlformats.org/officeDocument/2006/relationships/chart" Target="../charts/chart16.xml"/><Relationship Id="rId2" Type="http://schemas.openxmlformats.org/officeDocument/2006/relationships/chart" Target="../charts/chart1.xml"/><Relationship Id="rId16" Type="http://schemas.openxmlformats.org/officeDocument/2006/relationships/chart" Target="../charts/chart15.xml"/><Relationship Id="rId20" Type="http://schemas.openxmlformats.org/officeDocument/2006/relationships/chart" Target="../charts/chart19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5" Type="http://schemas.openxmlformats.org/officeDocument/2006/relationships/chart" Target="../charts/chart4.xml"/><Relationship Id="rId15" Type="http://schemas.openxmlformats.org/officeDocument/2006/relationships/chart" Target="../charts/chart14.xml"/><Relationship Id="rId10" Type="http://schemas.openxmlformats.org/officeDocument/2006/relationships/chart" Target="../charts/chart9.xml"/><Relationship Id="rId19" Type="http://schemas.openxmlformats.org/officeDocument/2006/relationships/chart" Target="../charts/chart18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Relationship Id="rId14" Type="http://schemas.openxmlformats.org/officeDocument/2006/relationships/chart" Target="../charts/chart1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13" Type="http://schemas.openxmlformats.org/officeDocument/2006/relationships/chart" Target="../charts/chart33.xml"/><Relationship Id="rId3" Type="http://schemas.openxmlformats.org/officeDocument/2006/relationships/chart" Target="../charts/chart23.xml"/><Relationship Id="rId7" Type="http://schemas.openxmlformats.org/officeDocument/2006/relationships/chart" Target="../charts/chart27.xml"/><Relationship Id="rId12" Type="http://schemas.openxmlformats.org/officeDocument/2006/relationships/chart" Target="../charts/chart32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11" Type="http://schemas.openxmlformats.org/officeDocument/2006/relationships/chart" Target="../charts/chart31.xml"/><Relationship Id="rId5" Type="http://schemas.openxmlformats.org/officeDocument/2006/relationships/chart" Target="../charts/chart25.xml"/><Relationship Id="rId10" Type="http://schemas.openxmlformats.org/officeDocument/2006/relationships/chart" Target="../charts/chart30.xml"/><Relationship Id="rId4" Type="http://schemas.openxmlformats.org/officeDocument/2006/relationships/chart" Target="../charts/chart24.xml"/><Relationship Id="rId9" Type="http://schemas.openxmlformats.org/officeDocument/2006/relationships/chart" Target="../charts/chart29.xml"/><Relationship Id="rId14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123825</xdr:colOff>
      <xdr:row>0</xdr:row>
      <xdr:rowOff>76200</xdr:rowOff>
    </xdr:from>
    <xdr:to>
      <xdr:col>14</xdr:col>
      <xdr:colOff>742950</xdr:colOff>
      <xdr:row>1</xdr:row>
      <xdr:rowOff>238125</xdr:rowOff>
    </xdr:to>
    <xdr:pic>
      <xdr:nvPicPr>
        <xdr:cNvPr id="1703111" name="Picture 1" descr="T_graymulti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72" t="11772" r="11772" b="11772"/>
        <a:stretch>
          <a:fillRect/>
        </a:stretch>
      </xdr:blipFill>
      <xdr:spPr bwMode="auto">
        <a:xfrm>
          <a:off x="10896600" y="76200"/>
          <a:ext cx="6191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47625</xdr:colOff>
      <xdr:row>2</xdr:row>
      <xdr:rowOff>19050</xdr:rowOff>
    </xdr:from>
    <xdr:to>
      <xdr:col>7</xdr:col>
      <xdr:colOff>762000</xdr:colOff>
      <xdr:row>19</xdr:row>
      <xdr:rowOff>171450</xdr:rowOff>
    </xdr:to>
    <xdr:graphicFrame macro="">
      <xdr:nvGraphicFramePr>
        <xdr:cNvPr id="170311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57150</xdr:colOff>
      <xdr:row>2</xdr:row>
      <xdr:rowOff>38100</xdr:rowOff>
    </xdr:from>
    <xdr:to>
      <xdr:col>14</xdr:col>
      <xdr:colOff>695325</xdr:colOff>
      <xdr:row>19</xdr:row>
      <xdr:rowOff>171450</xdr:rowOff>
    </xdr:to>
    <xdr:graphicFrame macro="">
      <xdr:nvGraphicFramePr>
        <xdr:cNvPr id="1703113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20</xdr:row>
      <xdr:rowOff>19050</xdr:rowOff>
    </xdr:from>
    <xdr:to>
      <xdr:col>7</xdr:col>
      <xdr:colOff>762000</xdr:colOff>
      <xdr:row>37</xdr:row>
      <xdr:rowOff>152400</xdr:rowOff>
    </xdr:to>
    <xdr:graphicFrame macro="">
      <xdr:nvGraphicFramePr>
        <xdr:cNvPr id="1703114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9525</xdr:colOff>
      <xdr:row>38</xdr:row>
      <xdr:rowOff>28575</xdr:rowOff>
    </xdr:from>
    <xdr:to>
      <xdr:col>14</xdr:col>
      <xdr:colOff>733425</xdr:colOff>
      <xdr:row>55</xdr:row>
      <xdr:rowOff>123825</xdr:rowOff>
    </xdr:to>
    <xdr:graphicFrame macro="">
      <xdr:nvGraphicFramePr>
        <xdr:cNvPr id="1703115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57150</xdr:colOff>
      <xdr:row>56</xdr:row>
      <xdr:rowOff>57150</xdr:rowOff>
    </xdr:from>
    <xdr:to>
      <xdr:col>14</xdr:col>
      <xdr:colOff>733425</xdr:colOff>
      <xdr:row>73</xdr:row>
      <xdr:rowOff>142875</xdr:rowOff>
    </xdr:to>
    <xdr:graphicFrame macro="">
      <xdr:nvGraphicFramePr>
        <xdr:cNvPr id="1703116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57150</xdr:colOff>
      <xdr:row>92</xdr:row>
      <xdr:rowOff>57150</xdr:rowOff>
    </xdr:from>
    <xdr:to>
      <xdr:col>7</xdr:col>
      <xdr:colOff>704850</xdr:colOff>
      <xdr:row>109</xdr:row>
      <xdr:rowOff>152400</xdr:rowOff>
    </xdr:to>
    <xdr:graphicFrame macro="">
      <xdr:nvGraphicFramePr>
        <xdr:cNvPr id="1703117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57150</xdr:colOff>
      <xdr:row>128</xdr:row>
      <xdr:rowOff>38100</xdr:rowOff>
    </xdr:from>
    <xdr:to>
      <xdr:col>7</xdr:col>
      <xdr:colOff>733425</xdr:colOff>
      <xdr:row>145</xdr:row>
      <xdr:rowOff>152400</xdr:rowOff>
    </xdr:to>
    <xdr:graphicFrame macro="">
      <xdr:nvGraphicFramePr>
        <xdr:cNvPr id="1703118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57150</xdr:colOff>
      <xdr:row>128</xdr:row>
      <xdr:rowOff>28575</xdr:rowOff>
    </xdr:from>
    <xdr:to>
      <xdr:col>14</xdr:col>
      <xdr:colOff>695325</xdr:colOff>
      <xdr:row>145</xdr:row>
      <xdr:rowOff>161925</xdr:rowOff>
    </xdr:to>
    <xdr:graphicFrame macro="">
      <xdr:nvGraphicFramePr>
        <xdr:cNvPr id="1703119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66675</xdr:colOff>
      <xdr:row>74</xdr:row>
      <xdr:rowOff>38100</xdr:rowOff>
    </xdr:from>
    <xdr:to>
      <xdr:col>7</xdr:col>
      <xdr:colOff>723900</xdr:colOff>
      <xdr:row>91</xdr:row>
      <xdr:rowOff>171450</xdr:rowOff>
    </xdr:to>
    <xdr:graphicFrame macro="">
      <xdr:nvGraphicFramePr>
        <xdr:cNvPr id="17031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85725</xdr:colOff>
      <xdr:row>38</xdr:row>
      <xdr:rowOff>28575</xdr:rowOff>
    </xdr:from>
    <xdr:to>
      <xdr:col>7</xdr:col>
      <xdr:colOff>714375</xdr:colOff>
      <xdr:row>55</xdr:row>
      <xdr:rowOff>123825</xdr:rowOff>
    </xdr:to>
    <xdr:graphicFrame macro="">
      <xdr:nvGraphicFramePr>
        <xdr:cNvPr id="17031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66675</xdr:colOff>
      <xdr:row>146</xdr:row>
      <xdr:rowOff>28575</xdr:rowOff>
    </xdr:from>
    <xdr:to>
      <xdr:col>7</xdr:col>
      <xdr:colOff>704850</xdr:colOff>
      <xdr:row>163</xdr:row>
      <xdr:rowOff>133350</xdr:rowOff>
    </xdr:to>
    <xdr:graphicFrame macro="">
      <xdr:nvGraphicFramePr>
        <xdr:cNvPr id="1703123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66675</xdr:colOff>
      <xdr:row>20</xdr:row>
      <xdr:rowOff>28575</xdr:rowOff>
    </xdr:from>
    <xdr:to>
      <xdr:col>14</xdr:col>
      <xdr:colOff>723900</xdr:colOff>
      <xdr:row>37</xdr:row>
      <xdr:rowOff>133350</xdr:rowOff>
    </xdr:to>
    <xdr:graphicFrame macro="">
      <xdr:nvGraphicFramePr>
        <xdr:cNvPr id="1703124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38100</xdr:colOff>
      <xdr:row>146</xdr:row>
      <xdr:rowOff>47625</xdr:rowOff>
    </xdr:from>
    <xdr:to>
      <xdr:col>14</xdr:col>
      <xdr:colOff>695325</xdr:colOff>
      <xdr:row>163</xdr:row>
      <xdr:rowOff>152400</xdr:rowOff>
    </xdr:to>
    <xdr:graphicFrame macro="">
      <xdr:nvGraphicFramePr>
        <xdr:cNvPr id="18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47625</xdr:colOff>
      <xdr:row>74</xdr:row>
      <xdr:rowOff>47625</xdr:rowOff>
    </xdr:from>
    <xdr:to>
      <xdr:col>14</xdr:col>
      <xdr:colOff>714375</xdr:colOff>
      <xdr:row>91</xdr:row>
      <xdr:rowOff>142875</xdr:rowOff>
    </xdr:to>
    <xdr:graphicFrame macro="">
      <xdr:nvGraphicFramePr>
        <xdr:cNvPr id="19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38100</xdr:colOff>
      <xdr:row>110</xdr:row>
      <xdr:rowOff>76200</xdr:rowOff>
    </xdr:from>
    <xdr:to>
      <xdr:col>14</xdr:col>
      <xdr:colOff>704850</xdr:colOff>
      <xdr:row>127</xdr:row>
      <xdr:rowOff>180975</xdr:rowOff>
    </xdr:to>
    <xdr:graphicFrame macro="">
      <xdr:nvGraphicFramePr>
        <xdr:cNvPr id="20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47624</xdr:colOff>
      <xdr:row>92</xdr:row>
      <xdr:rowOff>66675</xdr:rowOff>
    </xdr:from>
    <xdr:to>
      <xdr:col>14</xdr:col>
      <xdr:colOff>695325</xdr:colOff>
      <xdr:row>109</xdr:row>
      <xdr:rowOff>85725</xdr:rowOff>
    </xdr:to>
    <xdr:graphicFrame macro="">
      <xdr:nvGraphicFramePr>
        <xdr:cNvPr id="21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28576</xdr:colOff>
      <xdr:row>110</xdr:row>
      <xdr:rowOff>47625</xdr:rowOff>
    </xdr:from>
    <xdr:to>
      <xdr:col>7</xdr:col>
      <xdr:colOff>714376</xdr:colOff>
      <xdr:row>127</xdr:row>
      <xdr:rowOff>180975</xdr:rowOff>
    </xdr:to>
    <xdr:graphicFrame macro="">
      <xdr:nvGraphicFramePr>
        <xdr:cNvPr id="22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38100</xdr:colOff>
      <xdr:row>164</xdr:row>
      <xdr:rowOff>28575</xdr:rowOff>
    </xdr:from>
    <xdr:to>
      <xdr:col>14</xdr:col>
      <xdr:colOff>676275</xdr:colOff>
      <xdr:row>181</xdr:row>
      <xdr:rowOff>161925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19050</xdr:colOff>
      <xdr:row>56</xdr:row>
      <xdr:rowOff>47625</xdr:rowOff>
    </xdr:from>
    <xdr:to>
      <xdr:col>7</xdr:col>
      <xdr:colOff>723900</xdr:colOff>
      <xdr:row>73</xdr:row>
      <xdr:rowOff>142875</xdr:rowOff>
    </xdr:to>
    <xdr:graphicFrame macro="">
      <xdr:nvGraphicFramePr>
        <xdr:cNvPr id="25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66675</xdr:colOff>
      <xdr:row>164</xdr:row>
      <xdr:rowOff>47625</xdr:rowOff>
    </xdr:from>
    <xdr:to>
      <xdr:col>7</xdr:col>
      <xdr:colOff>704850</xdr:colOff>
      <xdr:row>181</xdr:row>
      <xdr:rowOff>152400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2</xdr:row>
      <xdr:rowOff>47625</xdr:rowOff>
    </xdr:from>
    <xdr:to>
      <xdr:col>8</xdr:col>
      <xdr:colOff>733425</xdr:colOff>
      <xdr:row>19</xdr:row>
      <xdr:rowOff>171450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66675</xdr:colOff>
      <xdr:row>2</xdr:row>
      <xdr:rowOff>47625</xdr:rowOff>
    </xdr:from>
    <xdr:to>
      <xdr:col>16</xdr:col>
      <xdr:colOff>733425</xdr:colOff>
      <xdr:row>19</xdr:row>
      <xdr:rowOff>171450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66675</xdr:colOff>
      <xdr:row>20</xdr:row>
      <xdr:rowOff>47625</xdr:rowOff>
    </xdr:from>
    <xdr:to>
      <xdr:col>8</xdr:col>
      <xdr:colOff>733425</xdr:colOff>
      <xdr:row>37</xdr:row>
      <xdr:rowOff>171450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66675</xdr:colOff>
      <xdr:row>20</xdr:row>
      <xdr:rowOff>47625</xdr:rowOff>
    </xdr:from>
    <xdr:to>
      <xdr:col>16</xdr:col>
      <xdr:colOff>733425</xdr:colOff>
      <xdr:row>37</xdr:row>
      <xdr:rowOff>171450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66675</xdr:colOff>
      <xdr:row>38</xdr:row>
      <xdr:rowOff>47625</xdr:rowOff>
    </xdr:from>
    <xdr:to>
      <xdr:col>8</xdr:col>
      <xdr:colOff>733425</xdr:colOff>
      <xdr:row>55</xdr:row>
      <xdr:rowOff>171450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66675</xdr:colOff>
      <xdr:row>38</xdr:row>
      <xdr:rowOff>47625</xdr:rowOff>
    </xdr:from>
    <xdr:to>
      <xdr:col>16</xdr:col>
      <xdr:colOff>733425</xdr:colOff>
      <xdr:row>55</xdr:row>
      <xdr:rowOff>171450</xdr:rowOff>
    </xdr:to>
    <xdr:graphicFrame macro="">
      <xdr:nvGraphicFramePr>
        <xdr:cNvPr id="8" name="Grá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66675</xdr:colOff>
      <xdr:row>56</xdr:row>
      <xdr:rowOff>47625</xdr:rowOff>
    </xdr:from>
    <xdr:to>
      <xdr:col>8</xdr:col>
      <xdr:colOff>733425</xdr:colOff>
      <xdr:row>73</xdr:row>
      <xdr:rowOff>171450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66675</xdr:colOff>
      <xdr:row>56</xdr:row>
      <xdr:rowOff>47625</xdr:rowOff>
    </xdr:from>
    <xdr:to>
      <xdr:col>16</xdr:col>
      <xdr:colOff>733425</xdr:colOff>
      <xdr:row>73</xdr:row>
      <xdr:rowOff>171450</xdr:rowOff>
    </xdr:to>
    <xdr:graphicFrame macro="">
      <xdr:nvGraphicFramePr>
        <xdr:cNvPr id="10" name="Grá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66675</xdr:colOff>
      <xdr:row>92</xdr:row>
      <xdr:rowOff>47625</xdr:rowOff>
    </xdr:from>
    <xdr:to>
      <xdr:col>8</xdr:col>
      <xdr:colOff>733425</xdr:colOff>
      <xdr:row>109</xdr:row>
      <xdr:rowOff>171450</xdr:rowOff>
    </xdr:to>
    <xdr:graphicFrame macro="">
      <xdr:nvGraphicFramePr>
        <xdr:cNvPr id="11" name="Grá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66675</xdr:colOff>
      <xdr:row>92</xdr:row>
      <xdr:rowOff>47625</xdr:rowOff>
    </xdr:from>
    <xdr:to>
      <xdr:col>16</xdr:col>
      <xdr:colOff>733425</xdr:colOff>
      <xdr:row>109</xdr:row>
      <xdr:rowOff>142875</xdr:rowOff>
    </xdr:to>
    <xdr:graphicFrame macro="">
      <xdr:nvGraphicFramePr>
        <xdr:cNvPr id="12" name="Grá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66675</xdr:colOff>
      <xdr:row>74</xdr:row>
      <xdr:rowOff>9525</xdr:rowOff>
    </xdr:from>
    <xdr:to>
      <xdr:col>8</xdr:col>
      <xdr:colOff>733425</xdr:colOff>
      <xdr:row>91</xdr:row>
      <xdr:rowOff>133350</xdr:rowOff>
    </xdr:to>
    <xdr:graphicFrame macro="">
      <xdr:nvGraphicFramePr>
        <xdr:cNvPr id="13" name="Grá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66675</xdr:colOff>
      <xdr:row>74</xdr:row>
      <xdr:rowOff>47625</xdr:rowOff>
    </xdr:from>
    <xdr:to>
      <xdr:col>16</xdr:col>
      <xdr:colOff>733425</xdr:colOff>
      <xdr:row>91</xdr:row>
      <xdr:rowOff>171450</xdr:rowOff>
    </xdr:to>
    <xdr:graphicFrame macro="">
      <xdr:nvGraphicFramePr>
        <xdr:cNvPr id="14" name="Grá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66675</xdr:colOff>
      <xdr:row>110</xdr:row>
      <xdr:rowOff>28575</xdr:rowOff>
    </xdr:from>
    <xdr:to>
      <xdr:col>8</xdr:col>
      <xdr:colOff>733425</xdr:colOff>
      <xdr:row>127</xdr:row>
      <xdr:rowOff>152400</xdr:rowOff>
    </xdr:to>
    <xdr:graphicFrame macro="">
      <xdr:nvGraphicFramePr>
        <xdr:cNvPr id="15" name="Gráfico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66675</xdr:colOff>
      <xdr:row>110</xdr:row>
      <xdr:rowOff>76200</xdr:rowOff>
    </xdr:from>
    <xdr:to>
      <xdr:col>16</xdr:col>
      <xdr:colOff>733425</xdr:colOff>
      <xdr:row>127</xdr:row>
      <xdr:rowOff>161925</xdr:rowOff>
    </xdr:to>
    <xdr:graphicFrame macro="">
      <xdr:nvGraphicFramePr>
        <xdr:cNvPr id="16" name="Gráfico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amwork.tenaris.net/SEC/INDU/AGO-IGO/LACOS/Laco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orkplace.tenaris.ot/TPAM/Manual_do_Produto/M&#227;o_de_Obra/Tenaris_Confab/Budget_0708/MOD%20BDT%20-%200708%20-%20C&#225;lculo%20M&#233;dio%20rev%207/FREQUENC/IGO/FABRICA1/MF/F10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FREQUENC\IGO\FABRICA1\MF\F10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amwork.tenaris.net/Documents%20and%20Settings/18006129/Local%20Settings/Temporary%20Internet%20Files/OLK3B/Prop%20Dotaci&#243;n%20PFC%20Tamsa%20Oct'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LSMS\GROUPS\PIAN_PRJ\Ago\Sabbio\DatiDiOrigineAnalisiMO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orkplace.tenaris.ot/TEMP/IBC/Jul'08/IBC%20-%20Abr'07/Compartilhado/IBC%2004'05/Confab-dez%20'200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orkplace.tenaris.ot/TEMP/IBC/Jul'08/IBC%20-%20Abr'07/Documents%20and%20Settings/13668/Local%20Settings/Temporary%20Internet%20Files/OLK13/Fixed_TCHB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orkplace.tenaris.ot/TEMP/IBC/Jul'08/IBC%20-%20Abr'07/SEC/CONI/Informe%20IBC/Estructura_Tenaris/Fixed_TCHB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RTES.XLW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amwork.tenaris.net/SEC/INDU/AGO-IGO/ACERIA/IGO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RMAS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orkplace.tenaris.ot/TEMP/IBC/Jul'08/IBC%20-%20Abr'07/Documents%20and%20Settings/13668/My%20Documents/Stock/IBC/Confab%20Tubos/Mes/Datos/FyG/Comerc_Coin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ersonal\Evaluacion%20de%20Puestos\Tenaris%20Guatemal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LSMS\GROUPS\PIAN_PRJ\Ago\Sabbio\AnalisiMOP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amwork.tenaris.net/TPAM/MDVA_WAP/finalizados/UO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co1"/>
      <sheetName val="Base de datos"/>
      <sheetName val="Resumen"/>
      <sheetName val="programa"/>
      <sheetName val="Graficos"/>
      <sheetName val="macro graf"/>
      <sheetName val="macro imp"/>
      <sheetName val="Fecha"/>
      <sheetName val="Arranque"/>
      <sheetName val="DATOS-G1"/>
      <sheetName val="DATOS-G2"/>
      <sheetName val="DATOS-Pareto"/>
      <sheetName val="Std"/>
      <sheetName val="DATOS-G3"/>
      <sheetName val="Comentarios"/>
      <sheetName val="Presenta cbio medida"/>
      <sheetName val="Cbio de medida"/>
      <sheetName val="Std intx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L00"/>
      <sheetName val="AGO00"/>
      <sheetName val="SET00"/>
      <sheetName val="SET00 (2)"/>
      <sheetName val="OUT00"/>
      <sheetName val="NOV00"/>
      <sheetName val="DEZ00"/>
      <sheetName val="DEZ00 (2)"/>
      <sheetName val="JAN01"/>
      <sheetName val="FEV01"/>
      <sheetName val="MAR01"/>
      <sheetName val="MAR01 (2)"/>
      <sheetName val="ABR01"/>
      <sheetName val="abr com maio"/>
      <sheetName val="MARcomFEV01"/>
      <sheetName val="MAIO01"/>
      <sheetName val="MAIO01 (2)"/>
      <sheetName val="JUN01"/>
      <sheetName val="JUN01 (2)"/>
      <sheetName val="JUL01"/>
      <sheetName val="JUL01 (2)"/>
      <sheetName val="MARcomAbr"/>
      <sheetName val="MASCJUL01"/>
      <sheetName val="MASCAGO01"/>
      <sheetName val="SET.01"/>
      <sheetName val="OUT.01"/>
      <sheetName val="NOV.01"/>
      <sheetName val="DEZ.01"/>
      <sheetName val="JAN02"/>
      <sheetName val="FEV02"/>
      <sheetName val="MAR02"/>
      <sheetName val="ABR02"/>
      <sheetName val="MAI02"/>
      <sheetName val="JUN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L00"/>
      <sheetName val="AGO00"/>
      <sheetName val="SET00"/>
      <sheetName val="SET00 (2)"/>
      <sheetName val="OUT00"/>
      <sheetName val="NOV00"/>
      <sheetName val="DEZ00"/>
      <sheetName val="DEZ00 (2)"/>
      <sheetName val="JAN01"/>
      <sheetName val="FEV01"/>
      <sheetName val="MAR01"/>
      <sheetName val="MAR01 (2)"/>
      <sheetName val="ABR01"/>
      <sheetName val="abr com maio"/>
      <sheetName val="MARcomFEV01"/>
      <sheetName val="MAIO01"/>
      <sheetName val="MAIO01 (2)"/>
      <sheetName val="JUN01"/>
      <sheetName val="JUN01 (2)"/>
      <sheetName val="JUL01"/>
      <sheetName val="JUL01 (2)"/>
      <sheetName val="MARcomAbr"/>
      <sheetName val="MASCJUL01"/>
      <sheetName val="MASCAGO01"/>
      <sheetName val="SET.01"/>
      <sheetName val="OUT.01"/>
      <sheetName val="NOV.01"/>
      <sheetName val="DEZ.01"/>
      <sheetName val="JAN02"/>
      <sheetName val="FEV02"/>
      <sheetName val="MAR02"/>
      <sheetName val="ABR02"/>
      <sheetName val="MAI02"/>
      <sheetName val="JUN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Hoja(4)"/>
      <sheetName val="Hoja(3)"/>
      <sheetName val=" Resu DIFA (FC+AS)"/>
      <sheetName val="TABLA RESUMEN (2)"/>
      <sheetName val="Hoja1"/>
      <sheetName val="BASE PFC"/>
      <sheetName val="D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i"/>
      <sheetName val="bdg1°"/>
      <sheetName val="bdg2°"/>
      <sheetName val="ATB 1sem"/>
      <sheetName val="ATB 2sem"/>
      <sheetName val="BASE PFC"/>
      <sheetName val="Gral"/>
      <sheetName val="PREROJ"/>
      <sheetName val="Incumbent Data"/>
      <sheetName val="Laco1"/>
      <sheetName val="Datos1"/>
    </sheetNames>
    <sheetDataSet>
      <sheetData sheetId="0" refreshError="1"/>
      <sheetData sheetId="1" refreshError="1">
        <row r="3">
          <cell r="A3">
            <v>5</v>
          </cell>
        </row>
        <row r="4">
          <cell r="A4">
            <v>5</v>
          </cell>
        </row>
        <row r="5">
          <cell r="A5">
            <v>5</v>
          </cell>
        </row>
        <row r="6">
          <cell r="A6">
            <v>5</v>
          </cell>
        </row>
        <row r="7">
          <cell r="A7">
            <v>5</v>
          </cell>
        </row>
        <row r="8">
          <cell r="A8">
            <v>5</v>
          </cell>
        </row>
        <row r="9">
          <cell r="A9">
            <v>5</v>
          </cell>
        </row>
        <row r="10">
          <cell r="A10">
            <v>5</v>
          </cell>
        </row>
        <row r="11">
          <cell r="A11">
            <v>5</v>
          </cell>
        </row>
        <row r="12">
          <cell r="A12">
            <v>5</v>
          </cell>
        </row>
        <row r="13">
          <cell r="A13">
            <v>5</v>
          </cell>
        </row>
        <row r="14">
          <cell r="A14">
            <v>5</v>
          </cell>
        </row>
        <row r="15">
          <cell r="A15">
            <v>5</v>
          </cell>
        </row>
        <row r="16">
          <cell r="A16">
            <v>5</v>
          </cell>
        </row>
        <row r="17">
          <cell r="A17">
            <v>5</v>
          </cell>
        </row>
        <row r="18">
          <cell r="A18">
            <v>5</v>
          </cell>
        </row>
        <row r="19">
          <cell r="A19">
            <v>5</v>
          </cell>
        </row>
        <row r="20">
          <cell r="A20">
            <v>5</v>
          </cell>
        </row>
        <row r="21">
          <cell r="A21">
            <v>5</v>
          </cell>
        </row>
        <row r="22">
          <cell r="A22">
            <v>5</v>
          </cell>
        </row>
        <row r="23">
          <cell r="A23">
            <v>5</v>
          </cell>
        </row>
        <row r="24">
          <cell r="A24">
            <v>5</v>
          </cell>
        </row>
        <row r="25">
          <cell r="A25">
            <v>5</v>
          </cell>
        </row>
        <row r="26">
          <cell r="A26">
            <v>5</v>
          </cell>
        </row>
        <row r="27">
          <cell r="A27">
            <v>5</v>
          </cell>
        </row>
        <row r="28">
          <cell r="A28">
            <v>5</v>
          </cell>
        </row>
        <row r="29">
          <cell r="A29">
            <v>5</v>
          </cell>
        </row>
        <row r="30">
          <cell r="A30">
            <v>5</v>
          </cell>
        </row>
        <row r="31">
          <cell r="A31">
            <v>5</v>
          </cell>
        </row>
        <row r="32">
          <cell r="A32">
            <v>5</v>
          </cell>
        </row>
        <row r="33">
          <cell r="A33">
            <v>5</v>
          </cell>
        </row>
        <row r="34">
          <cell r="A34">
            <v>5</v>
          </cell>
        </row>
        <row r="35">
          <cell r="A35">
            <v>5</v>
          </cell>
        </row>
        <row r="36">
          <cell r="A36">
            <v>5</v>
          </cell>
        </row>
        <row r="37">
          <cell r="A37">
            <v>5</v>
          </cell>
        </row>
        <row r="38">
          <cell r="A38">
            <v>5</v>
          </cell>
        </row>
      </sheetData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"/>
      <sheetName val="Sheet1"/>
      <sheetName val="consumo"/>
      <sheetName val="ConsumoAcum"/>
      <sheetName val="Conso"/>
      <sheetName val="ERW"/>
      <sheetName val="UO"/>
      <sheetName val="helicoidal"/>
      <sheetName val="TT"/>
      <sheetName val="roscas"/>
      <sheetName val="consorev"/>
      <sheetName val="rev1"/>
      <sheetName val="rev2"/>
      <sheetName val="rev3"/>
      <sheetName val="rev4"/>
      <sheetName val="SRB"/>
      <sheetName val="consomanten"/>
      <sheetName val="manterw"/>
      <sheetName val="mantuo"/>
      <sheetName val="manthelicoidal"/>
      <sheetName val="mantroscas"/>
      <sheetName val="manttt"/>
      <sheetName val="mantrev1"/>
      <sheetName val="mantrev2"/>
      <sheetName val="mantrev3"/>
      <sheetName val="mantrev4"/>
      <sheetName val="mantcentral"/>
      <sheetName val="servicios"/>
      <sheetName val="despacho"/>
      <sheetName val="Datos1"/>
      <sheetName val="Dato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4">
          <cell r="D4" t="str">
            <v>Agr1Voz</v>
          </cell>
        </row>
        <row r="5">
          <cell r="D5" t="str">
            <v>Aço</v>
          </cell>
        </row>
        <row r="6">
          <cell r="D6" t="str">
            <v>Energia</v>
          </cell>
        </row>
        <row r="7">
          <cell r="D7" t="str">
            <v>Manutenção - Paradão</v>
          </cell>
        </row>
        <row r="8">
          <cell r="D8" t="str">
            <v>Mão de Obra</v>
          </cell>
        </row>
        <row r="9">
          <cell r="D9" t="str">
            <v>Materia Prima Auxiliar</v>
          </cell>
        </row>
        <row r="10">
          <cell r="D10" t="str">
            <v>Material de Consumo</v>
          </cell>
        </row>
        <row r="11">
          <cell r="D11" t="str">
            <v>Outros</v>
          </cell>
        </row>
        <row r="12">
          <cell r="D12" t="str">
            <v>Reposição de Ferramental</v>
          </cell>
        </row>
        <row r="13">
          <cell r="D13" t="str">
            <v>Aço</v>
          </cell>
        </row>
        <row r="14">
          <cell r="D14" t="str">
            <v>Energia</v>
          </cell>
        </row>
        <row r="15">
          <cell r="D15" t="str">
            <v>Manutenção - Paradão</v>
          </cell>
        </row>
        <row r="16">
          <cell r="D16" t="str">
            <v>Mão de Obra</v>
          </cell>
        </row>
        <row r="17">
          <cell r="D17" t="str">
            <v>Materia Prima Auxiliar</v>
          </cell>
        </row>
        <row r="18">
          <cell r="D18" t="str">
            <v>Material de Consumo</v>
          </cell>
        </row>
        <row r="19">
          <cell r="D19" t="str">
            <v>Outros</v>
          </cell>
        </row>
        <row r="20">
          <cell r="D20" t="str">
            <v>Reposição de Ferramental</v>
          </cell>
        </row>
        <row r="21">
          <cell r="D21" t="str">
            <v>Aço</v>
          </cell>
        </row>
        <row r="22">
          <cell r="D22" t="str">
            <v>Energia</v>
          </cell>
        </row>
        <row r="23">
          <cell r="D23" t="str">
            <v>Manutenção - Paradão</v>
          </cell>
        </row>
        <row r="24">
          <cell r="D24" t="str">
            <v>Mão de Obra</v>
          </cell>
        </row>
        <row r="25">
          <cell r="D25" t="str">
            <v>Materia Prima Auxiliar</v>
          </cell>
        </row>
        <row r="26">
          <cell r="D26" t="str">
            <v>Material de Consumo</v>
          </cell>
        </row>
        <row r="27">
          <cell r="D27" t="str">
            <v>Outros</v>
          </cell>
        </row>
        <row r="28">
          <cell r="D28" t="str">
            <v>Reposição de Ferramental</v>
          </cell>
        </row>
        <row r="29">
          <cell r="D29" t="str">
            <v>Aço</v>
          </cell>
        </row>
        <row r="30">
          <cell r="D30" t="str">
            <v>Energia</v>
          </cell>
        </row>
        <row r="31">
          <cell r="D31" t="str">
            <v>Manutenção - Paradão</v>
          </cell>
        </row>
        <row r="32">
          <cell r="D32" t="str">
            <v>Mão de Obra</v>
          </cell>
        </row>
        <row r="33">
          <cell r="D33" t="str">
            <v>Materia Prima Auxiliar</v>
          </cell>
        </row>
        <row r="34">
          <cell r="D34" t="str">
            <v>Material de Consumo</v>
          </cell>
        </row>
        <row r="35">
          <cell r="D35" t="str">
            <v>Outros</v>
          </cell>
        </row>
        <row r="36">
          <cell r="D36" t="str">
            <v>Reposição de Ferramental</v>
          </cell>
        </row>
        <row r="37">
          <cell r="D37" t="str">
            <v>Aço</v>
          </cell>
        </row>
        <row r="38">
          <cell r="D38" t="str">
            <v>Energia</v>
          </cell>
        </row>
        <row r="39">
          <cell r="D39" t="str">
            <v>Manutenção - Paradão</v>
          </cell>
        </row>
        <row r="40">
          <cell r="D40" t="str">
            <v>Mão de Obra</v>
          </cell>
        </row>
        <row r="41">
          <cell r="D41" t="str">
            <v>Materia Prima Auxiliar</v>
          </cell>
        </row>
        <row r="42">
          <cell r="D42" t="str">
            <v>Material de Consumo</v>
          </cell>
        </row>
        <row r="43">
          <cell r="D43" t="str">
            <v>Outros</v>
          </cell>
        </row>
        <row r="44">
          <cell r="D44" t="str">
            <v>Reposição de Ferramental</v>
          </cell>
        </row>
        <row r="45">
          <cell r="D45" t="str">
            <v>Aço</v>
          </cell>
        </row>
        <row r="46">
          <cell r="D46" t="str">
            <v>Energia</v>
          </cell>
        </row>
        <row r="47">
          <cell r="D47" t="str">
            <v>Manutenção - Paradão</v>
          </cell>
        </row>
        <row r="48">
          <cell r="D48" t="str">
            <v>Mão de Obra</v>
          </cell>
        </row>
        <row r="49">
          <cell r="D49" t="str">
            <v>Materia Prima Auxiliar</v>
          </cell>
        </row>
        <row r="50">
          <cell r="D50" t="str">
            <v>Material de Consumo</v>
          </cell>
        </row>
        <row r="51">
          <cell r="D51" t="str">
            <v>Outros</v>
          </cell>
        </row>
        <row r="52">
          <cell r="D52" t="str">
            <v>Reposição de Ferramental</v>
          </cell>
        </row>
        <row r="53">
          <cell r="D53" t="str">
            <v>Aço</v>
          </cell>
        </row>
        <row r="54">
          <cell r="D54" t="str">
            <v>Energia</v>
          </cell>
        </row>
        <row r="55">
          <cell r="D55" t="str">
            <v>Manutenção - Paradão</v>
          </cell>
        </row>
        <row r="56">
          <cell r="D56" t="str">
            <v>Mão de Obra</v>
          </cell>
        </row>
        <row r="57">
          <cell r="D57" t="str">
            <v>Materia Prima Auxiliar</v>
          </cell>
        </row>
        <row r="58">
          <cell r="D58" t="str">
            <v>Material de Consumo</v>
          </cell>
        </row>
        <row r="59">
          <cell r="D59" t="str">
            <v>Outros</v>
          </cell>
        </row>
        <row r="60">
          <cell r="D60" t="str">
            <v>Reposição de Ferramental</v>
          </cell>
        </row>
        <row r="61">
          <cell r="D61" t="str">
            <v>Aço</v>
          </cell>
        </row>
        <row r="62">
          <cell r="D62" t="str">
            <v>Energia</v>
          </cell>
        </row>
        <row r="63">
          <cell r="D63" t="str">
            <v>Manutenção - Paradão</v>
          </cell>
        </row>
        <row r="64">
          <cell r="D64" t="str">
            <v>Mão de Obra</v>
          </cell>
        </row>
        <row r="65">
          <cell r="D65" t="str">
            <v>Materia Prima Auxiliar</v>
          </cell>
        </row>
        <row r="66">
          <cell r="D66" t="str">
            <v>Material de Consumo</v>
          </cell>
        </row>
        <row r="67">
          <cell r="D67" t="str">
            <v>Outros</v>
          </cell>
        </row>
        <row r="68">
          <cell r="D68" t="str">
            <v>Reposição de Ferramental</v>
          </cell>
        </row>
        <row r="69">
          <cell r="D69" t="str">
            <v>Aço</v>
          </cell>
        </row>
        <row r="70">
          <cell r="D70" t="str">
            <v>Energia</v>
          </cell>
        </row>
        <row r="71">
          <cell r="D71" t="str">
            <v>Manutenção - Paradão</v>
          </cell>
        </row>
        <row r="72">
          <cell r="D72" t="str">
            <v>Mão de Obra</v>
          </cell>
        </row>
        <row r="73">
          <cell r="D73" t="str">
            <v>Materia Prima Auxiliar</v>
          </cell>
        </row>
        <row r="74">
          <cell r="D74" t="str">
            <v>Material de Consumo</v>
          </cell>
        </row>
        <row r="75">
          <cell r="D75" t="str">
            <v>Outros</v>
          </cell>
        </row>
        <row r="76">
          <cell r="D76" t="str">
            <v>Reposição de Ferramental</v>
          </cell>
        </row>
        <row r="77">
          <cell r="D77" t="str">
            <v>Serviços de Terceiros</v>
          </cell>
        </row>
        <row r="78">
          <cell r="D78" t="str">
            <v>Aço</v>
          </cell>
        </row>
        <row r="79">
          <cell r="D79" t="str">
            <v>Energia</v>
          </cell>
        </row>
        <row r="80">
          <cell r="D80" t="str">
            <v>Manutenção - Paradão</v>
          </cell>
        </row>
        <row r="81">
          <cell r="D81" t="str">
            <v>Mão de Obra</v>
          </cell>
        </row>
        <row r="82">
          <cell r="D82" t="str">
            <v>Materia Prima Auxiliar</v>
          </cell>
        </row>
        <row r="83">
          <cell r="D83" t="str">
            <v>Material de Consumo</v>
          </cell>
        </row>
        <row r="84">
          <cell r="D84" t="str">
            <v>Outros</v>
          </cell>
        </row>
        <row r="85">
          <cell r="D85" t="str">
            <v>Reposição de Ferramental</v>
          </cell>
        </row>
        <row r="86">
          <cell r="D86" t="str">
            <v>Serviços de Terceiros</v>
          </cell>
        </row>
        <row r="87">
          <cell r="D87" t="str">
            <v>Aço</v>
          </cell>
        </row>
        <row r="88">
          <cell r="D88" t="str">
            <v>Energia</v>
          </cell>
        </row>
        <row r="89">
          <cell r="D89" t="str">
            <v>Manutenção - Paradão</v>
          </cell>
        </row>
        <row r="90">
          <cell r="D90" t="str">
            <v>Mão de Obra</v>
          </cell>
        </row>
        <row r="91">
          <cell r="D91" t="str">
            <v>Materia Prima Auxiliar</v>
          </cell>
        </row>
        <row r="92">
          <cell r="D92" t="str">
            <v>Material de Consumo</v>
          </cell>
        </row>
        <row r="93">
          <cell r="D93" t="str">
            <v>Outros</v>
          </cell>
        </row>
        <row r="94">
          <cell r="D94" t="str">
            <v>Reposição de Ferramental</v>
          </cell>
        </row>
        <row r="95">
          <cell r="D95" t="str">
            <v>Serviços de Terceiros</v>
          </cell>
        </row>
        <row r="96">
          <cell r="D96" t="str">
            <v>Aço</v>
          </cell>
        </row>
        <row r="97">
          <cell r="D97" t="str">
            <v>Energia</v>
          </cell>
        </row>
        <row r="98">
          <cell r="D98" t="str">
            <v>Manutenção - Paradão</v>
          </cell>
        </row>
        <row r="99">
          <cell r="D99" t="str">
            <v>Mão de Obra</v>
          </cell>
        </row>
        <row r="100">
          <cell r="D100" t="str">
            <v>Materia Prima Auxiliar</v>
          </cell>
        </row>
        <row r="101">
          <cell r="D101" t="str">
            <v>Material de Consumo</v>
          </cell>
        </row>
        <row r="102">
          <cell r="D102" t="str">
            <v>Outros</v>
          </cell>
        </row>
        <row r="103">
          <cell r="D103" t="str">
            <v>Reposição de Ferramental</v>
          </cell>
        </row>
        <row r="104">
          <cell r="D104" t="str">
            <v>Serviços de Terceiros</v>
          </cell>
        </row>
        <row r="105">
          <cell r="D105" t="str">
            <v>Aço</v>
          </cell>
        </row>
        <row r="106">
          <cell r="D106" t="str">
            <v>Energia</v>
          </cell>
        </row>
        <row r="107">
          <cell r="D107" t="str">
            <v>Manutenção - Paradão</v>
          </cell>
        </row>
        <row r="108">
          <cell r="D108" t="str">
            <v>Mão de Obra</v>
          </cell>
        </row>
        <row r="109">
          <cell r="D109" t="str">
            <v>Materia Prima Auxiliar</v>
          </cell>
        </row>
        <row r="110">
          <cell r="D110" t="str">
            <v>Material de Consumo</v>
          </cell>
        </row>
        <row r="111">
          <cell r="D111" t="str">
            <v>Outros</v>
          </cell>
        </row>
        <row r="112">
          <cell r="D112" t="str">
            <v>Reposição de Ferramental</v>
          </cell>
        </row>
        <row r="113">
          <cell r="D113" t="str">
            <v>Aço</v>
          </cell>
        </row>
        <row r="114">
          <cell r="D114" t="str">
            <v>Energia</v>
          </cell>
        </row>
        <row r="115">
          <cell r="D115" t="str">
            <v>Manutenção - Paradão</v>
          </cell>
        </row>
        <row r="116">
          <cell r="D116" t="str">
            <v>Mão de Obra</v>
          </cell>
        </row>
        <row r="117">
          <cell r="D117" t="str">
            <v>Materia Prima Auxiliar</v>
          </cell>
        </row>
        <row r="118">
          <cell r="D118" t="str">
            <v>Material de Consumo</v>
          </cell>
        </row>
        <row r="119">
          <cell r="D119" t="str">
            <v>Outros</v>
          </cell>
        </row>
        <row r="120">
          <cell r="D120" t="str">
            <v>Reposição de Ferramental</v>
          </cell>
        </row>
        <row r="121">
          <cell r="D121" t="str">
            <v>Aço</v>
          </cell>
        </row>
        <row r="122">
          <cell r="D122" t="str">
            <v>Energia</v>
          </cell>
        </row>
        <row r="123">
          <cell r="D123" t="str">
            <v>Mão de Obra</v>
          </cell>
        </row>
        <row r="124">
          <cell r="D124" t="str">
            <v>Materia Prima Auxiliar</v>
          </cell>
        </row>
        <row r="125">
          <cell r="D125" t="str">
            <v>Material de Consumo</v>
          </cell>
        </row>
        <row r="126">
          <cell r="D126" t="str">
            <v>Outros</v>
          </cell>
        </row>
        <row r="127">
          <cell r="D127" t="str">
            <v>Reposição de Ferramental</v>
          </cell>
        </row>
        <row r="128">
          <cell r="D128" t="str">
            <v>Aço</v>
          </cell>
        </row>
        <row r="129">
          <cell r="D129" t="str">
            <v>Energia</v>
          </cell>
        </row>
        <row r="130">
          <cell r="D130" t="str">
            <v>Manutenção - Paradão</v>
          </cell>
        </row>
        <row r="131">
          <cell r="D131" t="str">
            <v>Mão de Obra</v>
          </cell>
        </row>
        <row r="132">
          <cell r="D132" t="str">
            <v>Materia Prima Auxiliar</v>
          </cell>
        </row>
        <row r="133">
          <cell r="D133" t="str">
            <v>Material de Consumo</v>
          </cell>
        </row>
        <row r="134">
          <cell r="D134" t="str">
            <v>Outros</v>
          </cell>
        </row>
        <row r="135">
          <cell r="D135" t="str">
            <v>Reposição de Ferramental</v>
          </cell>
        </row>
        <row r="136">
          <cell r="D136" t="str">
            <v>Serviços de Terceiros</v>
          </cell>
        </row>
        <row r="137">
          <cell r="D137" t="str">
            <v>Aço</v>
          </cell>
        </row>
        <row r="138">
          <cell r="D138" t="str">
            <v>Energia</v>
          </cell>
        </row>
        <row r="139">
          <cell r="D139" t="str">
            <v>Manutenção - Paradão</v>
          </cell>
        </row>
        <row r="140">
          <cell r="D140" t="str">
            <v>Mão de Obra</v>
          </cell>
        </row>
        <row r="141">
          <cell r="D141" t="str">
            <v>Materia Prima Auxiliar</v>
          </cell>
        </row>
        <row r="142">
          <cell r="D142" t="str">
            <v>Material de Consumo</v>
          </cell>
        </row>
        <row r="143">
          <cell r="D143" t="str">
            <v>Outros</v>
          </cell>
        </row>
        <row r="144">
          <cell r="D144" t="str">
            <v>Reposição de Ferramental</v>
          </cell>
        </row>
        <row r="145">
          <cell r="D145" t="str">
            <v>Aço</v>
          </cell>
        </row>
        <row r="146">
          <cell r="D146" t="str">
            <v>Energia</v>
          </cell>
        </row>
        <row r="147">
          <cell r="D147" t="str">
            <v>Manutenção - Paradão</v>
          </cell>
        </row>
        <row r="148">
          <cell r="D148" t="str">
            <v>Mão de Obra</v>
          </cell>
        </row>
        <row r="149">
          <cell r="D149" t="str">
            <v>Materia Prima Auxiliar</v>
          </cell>
        </row>
        <row r="150">
          <cell r="D150" t="str">
            <v>Material de Consumo</v>
          </cell>
        </row>
        <row r="151">
          <cell r="D151" t="str">
            <v>Outros</v>
          </cell>
        </row>
        <row r="152">
          <cell r="D152" t="str">
            <v>Reposição de Ferramental</v>
          </cell>
        </row>
        <row r="153">
          <cell r="D153" t="str">
            <v>Aço</v>
          </cell>
        </row>
        <row r="154">
          <cell r="D154" t="str">
            <v>Energia</v>
          </cell>
        </row>
        <row r="155">
          <cell r="D155" t="str">
            <v>Manutenção - Paradão</v>
          </cell>
        </row>
        <row r="156">
          <cell r="D156" t="str">
            <v>Mão de Obra</v>
          </cell>
        </row>
        <row r="157">
          <cell r="D157" t="str">
            <v>Materia Prima Auxiliar</v>
          </cell>
        </row>
        <row r="158">
          <cell r="D158" t="str">
            <v>Material de Consumo</v>
          </cell>
        </row>
        <row r="159">
          <cell r="D159" t="str">
            <v>Outros</v>
          </cell>
        </row>
        <row r="160">
          <cell r="D160" t="str">
            <v>Reposição de Ferramental</v>
          </cell>
        </row>
        <row r="161">
          <cell r="D161" t="str">
            <v>Aço</v>
          </cell>
        </row>
        <row r="162">
          <cell r="D162" t="str">
            <v>Energia</v>
          </cell>
        </row>
        <row r="163">
          <cell r="D163" t="str">
            <v>Manutenção - Paradão</v>
          </cell>
        </row>
        <row r="164">
          <cell r="D164" t="str">
            <v>Mão de Obra</v>
          </cell>
        </row>
        <row r="165">
          <cell r="D165" t="str">
            <v>Materia Prima Auxiliar</v>
          </cell>
        </row>
        <row r="166">
          <cell r="D166" t="str">
            <v>Material de Consumo</v>
          </cell>
        </row>
        <row r="167">
          <cell r="D167" t="str">
            <v>Outros</v>
          </cell>
        </row>
        <row r="168">
          <cell r="D168" t="str">
            <v>Reposição de Ferramental</v>
          </cell>
        </row>
        <row r="169">
          <cell r="D169" t="str">
            <v>Serviços de Terceiros</v>
          </cell>
        </row>
        <row r="170">
          <cell r="D170" t="str">
            <v>Aço</v>
          </cell>
        </row>
        <row r="171">
          <cell r="D171" t="str">
            <v>Energia</v>
          </cell>
        </row>
        <row r="172">
          <cell r="D172" t="str">
            <v>Manutenção - Paradão</v>
          </cell>
        </row>
        <row r="173">
          <cell r="D173" t="str">
            <v>Mão de Obra</v>
          </cell>
        </row>
        <row r="174">
          <cell r="D174" t="str">
            <v>Materia Prima Auxiliar</v>
          </cell>
        </row>
        <row r="175">
          <cell r="D175" t="str">
            <v>Material de Consumo</v>
          </cell>
        </row>
        <row r="176">
          <cell r="D176" t="str">
            <v>Outros</v>
          </cell>
        </row>
        <row r="177">
          <cell r="D177" t="str">
            <v>Reposição de Ferramental</v>
          </cell>
        </row>
        <row r="178">
          <cell r="D178" t="str">
            <v>Serviços de Terceiros</v>
          </cell>
        </row>
        <row r="179">
          <cell r="D179" t="str">
            <v>Aço</v>
          </cell>
        </row>
        <row r="180">
          <cell r="D180" t="str">
            <v>Energia</v>
          </cell>
        </row>
        <row r="181">
          <cell r="D181" t="str">
            <v>Manutenção - Paradão</v>
          </cell>
        </row>
        <row r="182">
          <cell r="D182" t="str">
            <v>Mão de Obra</v>
          </cell>
        </row>
        <row r="183">
          <cell r="D183" t="str">
            <v>Materia Prima Auxiliar</v>
          </cell>
        </row>
        <row r="184">
          <cell r="D184" t="str">
            <v>Material de Consumo</v>
          </cell>
        </row>
        <row r="185">
          <cell r="D185" t="str">
            <v>Outros</v>
          </cell>
        </row>
        <row r="186">
          <cell r="D186" t="str">
            <v>Reposição de Ferramental</v>
          </cell>
        </row>
        <row r="187">
          <cell r="D187" t="str">
            <v>Aço</v>
          </cell>
        </row>
        <row r="188">
          <cell r="D188" t="str">
            <v>Energia</v>
          </cell>
        </row>
        <row r="189">
          <cell r="D189" t="str">
            <v>Manutenção - Paradão</v>
          </cell>
        </row>
        <row r="190">
          <cell r="D190" t="str">
            <v>Mão de Obra</v>
          </cell>
        </row>
        <row r="191">
          <cell r="D191" t="str">
            <v>Materia Prima Auxiliar</v>
          </cell>
        </row>
        <row r="192">
          <cell r="D192" t="str">
            <v>Material de Consumo</v>
          </cell>
        </row>
        <row r="193">
          <cell r="D193" t="str">
            <v>Outros</v>
          </cell>
        </row>
        <row r="194">
          <cell r="D194" t="str">
            <v>Reposição de Ferramental</v>
          </cell>
        </row>
        <row r="195">
          <cell r="D195" t="str">
            <v>Aço</v>
          </cell>
        </row>
        <row r="196">
          <cell r="D196" t="str">
            <v>Energia</v>
          </cell>
        </row>
        <row r="197">
          <cell r="D197" t="str">
            <v>Manutenção - Paradão</v>
          </cell>
        </row>
        <row r="198">
          <cell r="D198" t="str">
            <v>Mão de Obra</v>
          </cell>
        </row>
        <row r="199">
          <cell r="D199" t="str">
            <v>Materia Prima Auxiliar</v>
          </cell>
        </row>
        <row r="200">
          <cell r="D200" t="str">
            <v>Material de Consumo</v>
          </cell>
        </row>
        <row r="201">
          <cell r="D201" t="str">
            <v>Outros</v>
          </cell>
        </row>
        <row r="202">
          <cell r="D202" t="str">
            <v>Reposição de Ferramental</v>
          </cell>
        </row>
        <row r="203">
          <cell r="D203" t="str">
            <v>Aço</v>
          </cell>
        </row>
        <row r="204">
          <cell r="D204" t="str">
            <v>Energia</v>
          </cell>
        </row>
        <row r="205">
          <cell r="D205" t="str">
            <v>Manutenção - Paradão</v>
          </cell>
        </row>
        <row r="206">
          <cell r="D206" t="str">
            <v>Mão de Obra</v>
          </cell>
        </row>
        <row r="207">
          <cell r="D207" t="str">
            <v>Materia Prima Auxiliar</v>
          </cell>
        </row>
        <row r="208">
          <cell r="D208" t="str">
            <v>Material de Consumo</v>
          </cell>
        </row>
        <row r="209">
          <cell r="D209" t="str">
            <v>Outros</v>
          </cell>
        </row>
        <row r="210">
          <cell r="D210" t="str">
            <v>Reposição de Ferramental</v>
          </cell>
        </row>
        <row r="211">
          <cell r="D211" t="str">
            <v>Aço</v>
          </cell>
        </row>
        <row r="212">
          <cell r="D212" t="str">
            <v>Energia</v>
          </cell>
        </row>
        <row r="213">
          <cell r="D213" t="str">
            <v>Manutenção - Paradão</v>
          </cell>
        </row>
        <row r="214">
          <cell r="D214" t="str">
            <v>Mão de Obra</v>
          </cell>
        </row>
        <row r="215">
          <cell r="D215" t="str">
            <v>Materia Prima Auxiliar</v>
          </cell>
        </row>
        <row r="216">
          <cell r="D216" t="str">
            <v>Material de Consumo</v>
          </cell>
        </row>
        <row r="217">
          <cell r="D217" t="str">
            <v>Outros</v>
          </cell>
        </row>
        <row r="218">
          <cell r="D218" t="str">
            <v>Reposição de Ferramental</v>
          </cell>
        </row>
        <row r="219">
          <cell r="D219" t="str">
            <v>Aço</v>
          </cell>
        </row>
        <row r="220">
          <cell r="D220" t="str">
            <v>Energia</v>
          </cell>
        </row>
        <row r="221">
          <cell r="D221" t="str">
            <v>Manutenção - Paradão</v>
          </cell>
        </row>
        <row r="222">
          <cell r="D222" t="str">
            <v>Mão de Obra</v>
          </cell>
        </row>
        <row r="223">
          <cell r="D223" t="str">
            <v>Materia Prima Auxiliar</v>
          </cell>
        </row>
        <row r="224">
          <cell r="D224" t="str">
            <v>Material de Consumo</v>
          </cell>
        </row>
        <row r="225">
          <cell r="D225" t="str">
            <v>Outros</v>
          </cell>
        </row>
        <row r="226">
          <cell r="D226" t="str">
            <v>Reposição de Ferramental</v>
          </cell>
        </row>
        <row r="227">
          <cell r="D227" t="str">
            <v>Aço</v>
          </cell>
        </row>
        <row r="228">
          <cell r="D228" t="str">
            <v>Energia</v>
          </cell>
        </row>
        <row r="229">
          <cell r="D229" t="str">
            <v>Manutenção - Paradão</v>
          </cell>
        </row>
        <row r="230">
          <cell r="D230" t="str">
            <v>Mão de Obra</v>
          </cell>
        </row>
        <row r="231">
          <cell r="D231" t="str">
            <v>Materia Prima Auxiliar</v>
          </cell>
        </row>
        <row r="232">
          <cell r="D232" t="str">
            <v>Material de Consumo</v>
          </cell>
        </row>
        <row r="233">
          <cell r="D233" t="str">
            <v>Outros</v>
          </cell>
        </row>
        <row r="234">
          <cell r="D234" t="str">
            <v>Reposição de Ferramental</v>
          </cell>
        </row>
        <row r="235">
          <cell r="D235" t="str">
            <v>Serviços de Terceiros</v>
          </cell>
        </row>
        <row r="236">
          <cell r="D236" t="str">
            <v>Aço</v>
          </cell>
        </row>
        <row r="237">
          <cell r="D237" t="str">
            <v>Energia</v>
          </cell>
        </row>
        <row r="238">
          <cell r="D238" t="str">
            <v>Manutenção - Paradão</v>
          </cell>
        </row>
        <row r="239">
          <cell r="D239" t="str">
            <v>Mão de Obra</v>
          </cell>
        </row>
        <row r="240">
          <cell r="D240" t="str">
            <v>Materia Prima Auxiliar</v>
          </cell>
        </row>
        <row r="241">
          <cell r="D241" t="str">
            <v>Material de Consumo</v>
          </cell>
        </row>
        <row r="242">
          <cell r="D242" t="str">
            <v>Outros</v>
          </cell>
        </row>
        <row r="243">
          <cell r="D243" t="str">
            <v>Reposição de Ferramental</v>
          </cell>
        </row>
        <row r="244">
          <cell r="D244" t="str">
            <v>Aço</v>
          </cell>
        </row>
        <row r="245">
          <cell r="D245" t="str">
            <v>Energia</v>
          </cell>
        </row>
        <row r="246">
          <cell r="D246" t="str">
            <v>Manutenção - Paradão</v>
          </cell>
        </row>
        <row r="247">
          <cell r="D247" t="str">
            <v>Mão de Obra</v>
          </cell>
        </row>
        <row r="248">
          <cell r="D248" t="str">
            <v>Materia Prima Auxiliar</v>
          </cell>
        </row>
        <row r="249">
          <cell r="D249" t="str">
            <v>Material de Consumo</v>
          </cell>
        </row>
        <row r="250">
          <cell r="D250" t="str">
            <v>Outros</v>
          </cell>
        </row>
        <row r="251">
          <cell r="D251" t="str">
            <v>Reposição de Ferramental</v>
          </cell>
        </row>
        <row r="252">
          <cell r="D252" t="str">
            <v>Aço</v>
          </cell>
        </row>
        <row r="253">
          <cell r="D253" t="str">
            <v>Energia</v>
          </cell>
        </row>
        <row r="254">
          <cell r="D254" t="str">
            <v>Manutenção - Paradão</v>
          </cell>
        </row>
        <row r="255">
          <cell r="D255" t="str">
            <v>Mão de Obra</v>
          </cell>
        </row>
        <row r="256">
          <cell r="D256" t="str">
            <v>Materia Prima Auxiliar</v>
          </cell>
        </row>
        <row r="257">
          <cell r="D257" t="str">
            <v>Material de Consumo</v>
          </cell>
        </row>
        <row r="258">
          <cell r="D258" t="str">
            <v>Outros</v>
          </cell>
        </row>
        <row r="259">
          <cell r="D259" t="str">
            <v>Reposição de Ferramental</v>
          </cell>
        </row>
        <row r="260">
          <cell r="D260" t="str">
            <v>Aço</v>
          </cell>
        </row>
        <row r="261">
          <cell r="D261" t="str">
            <v>Energia</v>
          </cell>
        </row>
        <row r="262">
          <cell r="D262" t="str">
            <v>Manutenção - Paradão</v>
          </cell>
        </row>
        <row r="263">
          <cell r="D263" t="str">
            <v>Mão de Obra</v>
          </cell>
        </row>
        <row r="264">
          <cell r="D264" t="str">
            <v>Materia Prima Auxiliar</v>
          </cell>
        </row>
        <row r="265">
          <cell r="D265" t="str">
            <v>Material de Consumo</v>
          </cell>
        </row>
        <row r="266">
          <cell r="D266" t="str">
            <v>Outros</v>
          </cell>
        </row>
        <row r="267">
          <cell r="D267" t="str">
            <v>Reposição de Ferramental</v>
          </cell>
        </row>
        <row r="268">
          <cell r="D268" t="str">
            <v>Aço</v>
          </cell>
        </row>
        <row r="269">
          <cell r="D269" t="str">
            <v>Energia</v>
          </cell>
        </row>
        <row r="270">
          <cell r="D270" t="str">
            <v>Manutenção - Paradão</v>
          </cell>
        </row>
        <row r="271">
          <cell r="D271" t="str">
            <v>Mão de Obra</v>
          </cell>
        </row>
        <row r="272">
          <cell r="D272" t="str">
            <v>Materia Prima Auxiliar</v>
          </cell>
        </row>
        <row r="273">
          <cell r="D273" t="str">
            <v>Material de Consumo</v>
          </cell>
        </row>
        <row r="274">
          <cell r="D274" t="str">
            <v>Outros</v>
          </cell>
        </row>
        <row r="275">
          <cell r="D275" t="str">
            <v>Reposição de Ferramental</v>
          </cell>
        </row>
        <row r="276">
          <cell r="D276" t="str">
            <v>Aço</v>
          </cell>
        </row>
        <row r="277">
          <cell r="D277" t="str">
            <v>Energia</v>
          </cell>
        </row>
        <row r="278">
          <cell r="D278" t="str">
            <v>Manutenção - Paradão</v>
          </cell>
        </row>
        <row r="279">
          <cell r="D279" t="str">
            <v>Mão de Obra</v>
          </cell>
        </row>
        <row r="280">
          <cell r="D280" t="str">
            <v>Materia Prima Auxiliar</v>
          </cell>
        </row>
        <row r="281">
          <cell r="D281" t="str">
            <v>Material de Consumo</v>
          </cell>
        </row>
        <row r="282">
          <cell r="D282" t="str">
            <v>Outros</v>
          </cell>
        </row>
        <row r="283">
          <cell r="D283" t="str">
            <v>Reposição de Ferramental</v>
          </cell>
        </row>
        <row r="284">
          <cell r="D284" t="str">
            <v>Aço</v>
          </cell>
        </row>
        <row r="285">
          <cell r="D285" t="str">
            <v>Energia</v>
          </cell>
        </row>
        <row r="286">
          <cell r="D286" t="str">
            <v>Manutenção - Paradão</v>
          </cell>
        </row>
        <row r="287">
          <cell r="D287" t="str">
            <v>Mão de Obra</v>
          </cell>
        </row>
        <row r="288">
          <cell r="D288" t="str">
            <v>Materia Prima Auxiliar</v>
          </cell>
        </row>
        <row r="289">
          <cell r="D289" t="str">
            <v>Material de Consumo</v>
          </cell>
        </row>
        <row r="290">
          <cell r="D290" t="str">
            <v>Outros</v>
          </cell>
        </row>
        <row r="291">
          <cell r="D291" t="str">
            <v>Reposição de Ferramental</v>
          </cell>
        </row>
        <row r="292">
          <cell r="D292" t="str">
            <v>Aço</v>
          </cell>
        </row>
        <row r="293">
          <cell r="D293" t="str">
            <v>Energia</v>
          </cell>
        </row>
        <row r="294">
          <cell r="D294" t="str">
            <v>Manutenção - Paradão</v>
          </cell>
        </row>
        <row r="295">
          <cell r="D295" t="str">
            <v>Mão de Obra</v>
          </cell>
        </row>
        <row r="296">
          <cell r="D296" t="str">
            <v>Materia Prima Auxiliar</v>
          </cell>
        </row>
        <row r="297">
          <cell r="D297" t="str">
            <v>Material de Consumo</v>
          </cell>
        </row>
        <row r="298">
          <cell r="D298" t="str">
            <v>Outros</v>
          </cell>
        </row>
        <row r="299">
          <cell r="D299" t="str">
            <v>Reposição de Ferramental</v>
          </cell>
        </row>
        <row r="300">
          <cell r="D300" t="str">
            <v>Aço</v>
          </cell>
        </row>
        <row r="301">
          <cell r="D301" t="str">
            <v>Energia</v>
          </cell>
        </row>
        <row r="302">
          <cell r="D302" t="str">
            <v>Manutenção - Paradão</v>
          </cell>
        </row>
        <row r="303">
          <cell r="D303" t="str">
            <v>Mão de Obra</v>
          </cell>
        </row>
        <row r="304">
          <cell r="D304" t="str">
            <v>Materia Prima Auxiliar</v>
          </cell>
        </row>
        <row r="305">
          <cell r="D305" t="str">
            <v>Material de Consumo</v>
          </cell>
        </row>
        <row r="306">
          <cell r="D306" t="str">
            <v>Outros</v>
          </cell>
        </row>
        <row r="307">
          <cell r="D307" t="str">
            <v>Reposição de Ferramental</v>
          </cell>
        </row>
        <row r="308">
          <cell r="D308" t="str">
            <v>Aço</v>
          </cell>
        </row>
        <row r="309">
          <cell r="D309" t="str">
            <v>Energia</v>
          </cell>
        </row>
        <row r="310">
          <cell r="D310" t="str">
            <v>Manutenção - Paradão</v>
          </cell>
        </row>
        <row r="311">
          <cell r="D311" t="str">
            <v>Mão de Obra</v>
          </cell>
        </row>
        <row r="312">
          <cell r="D312" t="str">
            <v>Materia Prima Auxiliar</v>
          </cell>
        </row>
        <row r="313">
          <cell r="D313" t="str">
            <v>Material de Consumo</v>
          </cell>
        </row>
        <row r="314">
          <cell r="D314" t="str">
            <v>Outros</v>
          </cell>
        </row>
        <row r="315">
          <cell r="D315" t="str">
            <v>Reposição de Ferramental</v>
          </cell>
        </row>
        <row r="316">
          <cell r="D316" t="str">
            <v>Aço</v>
          </cell>
        </row>
        <row r="317">
          <cell r="D317" t="str">
            <v>Energia</v>
          </cell>
        </row>
        <row r="318">
          <cell r="D318" t="str">
            <v>Manutenção - Paradão</v>
          </cell>
        </row>
        <row r="319">
          <cell r="D319" t="str">
            <v>Mão de Obra</v>
          </cell>
        </row>
        <row r="320">
          <cell r="D320" t="str">
            <v>Materia Prima Auxiliar</v>
          </cell>
        </row>
        <row r="321">
          <cell r="D321" t="str">
            <v>Material de Consumo</v>
          </cell>
        </row>
        <row r="322">
          <cell r="D322" t="str">
            <v>Outros</v>
          </cell>
        </row>
        <row r="323">
          <cell r="D323" t="str">
            <v>Reposição de Ferramental</v>
          </cell>
        </row>
        <row r="324">
          <cell r="D324" t="str">
            <v>Aço</v>
          </cell>
        </row>
        <row r="325">
          <cell r="D325" t="str">
            <v>Energia</v>
          </cell>
        </row>
        <row r="326">
          <cell r="D326" t="str">
            <v>Manutenção - Paradão</v>
          </cell>
        </row>
        <row r="327">
          <cell r="D327" t="str">
            <v>Mão de Obra</v>
          </cell>
        </row>
        <row r="328">
          <cell r="D328" t="str">
            <v>Materia Prima Auxiliar</v>
          </cell>
        </row>
        <row r="329">
          <cell r="D329" t="str">
            <v>Material de Consumo</v>
          </cell>
        </row>
        <row r="330">
          <cell r="D330" t="str">
            <v>Outros</v>
          </cell>
        </row>
        <row r="331">
          <cell r="D331" t="str">
            <v>Reposição de Ferramental</v>
          </cell>
        </row>
        <row r="332">
          <cell r="D332" t="str">
            <v>Aço</v>
          </cell>
        </row>
        <row r="333">
          <cell r="D333" t="str">
            <v>Energia</v>
          </cell>
        </row>
        <row r="334">
          <cell r="D334" t="str">
            <v>Manutenção - Paradão</v>
          </cell>
        </row>
        <row r="335">
          <cell r="D335" t="str">
            <v>Mão de Obra</v>
          </cell>
        </row>
        <row r="336">
          <cell r="D336" t="str">
            <v>Materia Prima Auxiliar</v>
          </cell>
        </row>
        <row r="337">
          <cell r="D337" t="str">
            <v>Material de Consumo</v>
          </cell>
        </row>
        <row r="338">
          <cell r="D338" t="str">
            <v>Outros</v>
          </cell>
        </row>
        <row r="339">
          <cell r="D339" t="str">
            <v>Reposição de Ferramental</v>
          </cell>
        </row>
        <row r="340">
          <cell r="D340" t="str">
            <v>Energia</v>
          </cell>
        </row>
        <row r="341">
          <cell r="D341" t="str">
            <v>Mão De Obra</v>
          </cell>
        </row>
        <row r="342">
          <cell r="D342" t="str">
            <v>Materia Prima Auxiliar</v>
          </cell>
        </row>
        <row r="343">
          <cell r="D343" t="str">
            <v>Material de Consumo</v>
          </cell>
        </row>
        <row r="344">
          <cell r="D344" t="str">
            <v>Outros</v>
          </cell>
        </row>
        <row r="345">
          <cell r="D345" t="str">
            <v>Energia</v>
          </cell>
        </row>
        <row r="346">
          <cell r="D346" t="str">
            <v>Manutenção - Paradão</v>
          </cell>
        </row>
        <row r="347">
          <cell r="D347" t="str">
            <v>Mão de Obra</v>
          </cell>
        </row>
        <row r="348">
          <cell r="D348" t="str">
            <v>Mão de Obra</v>
          </cell>
        </row>
        <row r="349">
          <cell r="D349" t="str">
            <v>Mão de Obra</v>
          </cell>
        </row>
        <row r="350">
          <cell r="D350" t="str">
            <v>Mão de Obra</v>
          </cell>
        </row>
        <row r="351">
          <cell r="D351" t="str">
            <v>Mão de Obra</v>
          </cell>
        </row>
        <row r="352">
          <cell r="D352" t="str">
            <v>Mão de Obra</v>
          </cell>
        </row>
        <row r="353">
          <cell r="D353" t="str">
            <v>Mão de Obra</v>
          </cell>
        </row>
        <row r="354">
          <cell r="D354" t="str">
            <v>Mão de Obra</v>
          </cell>
        </row>
        <row r="355">
          <cell r="D355" t="str">
            <v>Mão de Obra</v>
          </cell>
        </row>
        <row r="356">
          <cell r="D356" t="str">
            <v>Mão de Obra</v>
          </cell>
        </row>
        <row r="357">
          <cell r="D357" t="str">
            <v>Mão de Obra</v>
          </cell>
        </row>
        <row r="358">
          <cell r="D358" t="str">
            <v>Mão de Obra</v>
          </cell>
        </row>
        <row r="359">
          <cell r="D359" t="str">
            <v>Mão de Obra</v>
          </cell>
        </row>
        <row r="360">
          <cell r="D360" t="str">
            <v>Mão de Obra</v>
          </cell>
        </row>
        <row r="361">
          <cell r="D361" t="str">
            <v>Mão de Obra</v>
          </cell>
        </row>
        <row r="362">
          <cell r="D362" t="str">
            <v>Mão de Obra</v>
          </cell>
        </row>
        <row r="363">
          <cell r="D363" t="str">
            <v>Material de Consumo</v>
          </cell>
        </row>
        <row r="364">
          <cell r="D364" t="str">
            <v>Material de Consumo</v>
          </cell>
        </row>
        <row r="365">
          <cell r="D365" t="str">
            <v>Material de Consumo</v>
          </cell>
        </row>
        <row r="366">
          <cell r="D366" t="str">
            <v>Material de Consumo</v>
          </cell>
        </row>
        <row r="367">
          <cell r="D367" t="str">
            <v>Material de Consumo</v>
          </cell>
        </row>
        <row r="368">
          <cell r="D368" t="str">
            <v>Material de Consumo</v>
          </cell>
        </row>
        <row r="369">
          <cell r="D369" t="str">
            <v>Material de Consumo</v>
          </cell>
        </row>
        <row r="370">
          <cell r="D370" t="str">
            <v>Material de Consumo</v>
          </cell>
        </row>
        <row r="371">
          <cell r="D371" t="str">
            <v>Material de Consumo</v>
          </cell>
        </row>
        <row r="372">
          <cell r="D372" t="str">
            <v>Material de Consumo</v>
          </cell>
        </row>
        <row r="373">
          <cell r="D373" t="str">
            <v>Material de Consumo</v>
          </cell>
        </row>
        <row r="374">
          <cell r="D374" t="str">
            <v>Material de Consumo</v>
          </cell>
        </row>
        <row r="375">
          <cell r="D375" t="str">
            <v>Material de Consumo</v>
          </cell>
        </row>
        <row r="376">
          <cell r="D376" t="str">
            <v>Material de Consumo</v>
          </cell>
        </row>
        <row r="377">
          <cell r="D377" t="str">
            <v>Material de Consumo</v>
          </cell>
        </row>
        <row r="378">
          <cell r="D378" t="str">
            <v>Material de Consumo</v>
          </cell>
        </row>
        <row r="379">
          <cell r="D379" t="str">
            <v>Material de Consumo</v>
          </cell>
        </row>
        <row r="380">
          <cell r="D380" t="str">
            <v>Material de Consumo</v>
          </cell>
        </row>
        <row r="381">
          <cell r="D381" t="str">
            <v>Serviços de Terceiros</v>
          </cell>
        </row>
        <row r="382">
          <cell r="D382" t="str">
            <v>Serviços de Terceiros</v>
          </cell>
        </row>
        <row r="383">
          <cell r="D383" t="str">
            <v>Serviços de Terceiros</v>
          </cell>
        </row>
        <row r="384">
          <cell r="D384" t="str">
            <v>Serviços de Terceiros</v>
          </cell>
        </row>
        <row r="385">
          <cell r="D385" t="str">
            <v>Serviços de Terceiros</v>
          </cell>
        </row>
        <row r="386">
          <cell r="D386" t="str">
            <v>Serviços de Terceiros</v>
          </cell>
        </row>
        <row r="387">
          <cell r="D387" t="str">
            <v>Energia</v>
          </cell>
        </row>
        <row r="388">
          <cell r="D388" t="str">
            <v>Mão de Obra</v>
          </cell>
        </row>
        <row r="389">
          <cell r="D389" t="str">
            <v>Mão de Obra</v>
          </cell>
        </row>
        <row r="390">
          <cell r="D390" t="str">
            <v>Mão de Obra</v>
          </cell>
        </row>
        <row r="391">
          <cell r="D391" t="str">
            <v>Mão de Obra</v>
          </cell>
        </row>
        <row r="392">
          <cell r="D392" t="str">
            <v>Mão de Obra</v>
          </cell>
        </row>
        <row r="393">
          <cell r="D393" t="str">
            <v>Mão de Obra</v>
          </cell>
        </row>
        <row r="394">
          <cell r="D394" t="str">
            <v>Mão de Obra</v>
          </cell>
        </row>
        <row r="395">
          <cell r="D395" t="str">
            <v>Mão de Obra</v>
          </cell>
        </row>
        <row r="396">
          <cell r="D396" t="str">
            <v>Mão de Obra</v>
          </cell>
        </row>
        <row r="397">
          <cell r="D397" t="str">
            <v>Mão de Obra</v>
          </cell>
        </row>
        <row r="398">
          <cell r="D398" t="str">
            <v>Mão de Obra</v>
          </cell>
        </row>
        <row r="399">
          <cell r="D399" t="str">
            <v>Mão de Obra</v>
          </cell>
        </row>
        <row r="400">
          <cell r="D400" t="str">
            <v>Mão de Obra</v>
          </cell>
        </row>
        <row r="401">
          <cell r="D401" t="str">
            <v>Mão de Obra</v>
          </cell>
        </row>
        <row r="402">
          <cell r="D402" t="str">
            <v>Mão de Obra</v>
          </cell>
        </row>
        <row r="403">
          <cell r="D403" t="str">
            <v>Material de Consumo</v>
          </cell>
        </row>
        <row r="404">
          <cell r="D404" t="str">
            <v>Material de Consumo</v>
          </cell>
        </row>
        <row r="405">
          <cell r="D405" t="str">
            <v>Material de Consumo</v>
          </cell>
        </row>
        <row r="406">
          <cell r="D406" t="str">
            <v>Material de Consumo</v>
          </cell>
        </row>
        <row r="407">
          <cell r="D407" t="str">
            <v>Material de Consumo</v>
          </cell>
        </row>
        <row r="408">
          <cell r="D408" t="str">
            <v>Material de Consumo</v>
          </cell>
        </row>
        <row r="409">
          <cell r="D409" t="str">
            <v>Material de Consumo</v>
          </cell>
        </row>
        <row r="410">
          <cell r="D410" t="str">
            <v>Material de Consumo</v>
          </cell>
        </row>
        <row r="411">
          <cell r="D411" t="str">
            <v>Material de Consumo</v>
          </cell>
        </row>
        <row r="412">
          <cell r="D412" t="str">
            <v>Material de Consumo</v>
          </cell>
        </row>
        <row r="413">
          <cell r="D413" t="str">
            <v>Material de Consumo</v>
          </cell>
        </row>
        <row r="414">
          <cell r="D414" t="str">
            <v>Material de Consumo</v>
          </cell>
        </row>
        <row r="415">
          <cell r="D415" t="str">
            <v>Serviços de Terceiros</v>
          </cell>
        </row>
        <row r="416">
          <cell r="D416" t="str">
            <v>Serviços de Terceiros</v>
          </cell>
        </row>
        <row r="417">
          <cell r="D417" t="str">
            <v>Serviços de Terceiros</v>
          </cell>
        </row>
        <row r="418">
          <cell r="D418" t="str">
            <v>Serviços de Terceiros</v>
          </cell>
        </row>
        <row r="419">
          <cell r="D419" t="str">
            <v>Mão de Obra</v>
          </cell>
        </row>
        <row r="420">
          <cell r="D420" t="str">
            <v>Mão de Obra</v>
          </cell>
        </row>
        <row r="421">
          <cell r="D421" t="str">
            <v>Mão de Obra</v>
          </cell>
        </row>
        <row r="422">
          <cell r="D422" t="str">
            <v>Mão de Obra</v>
          </cell>
        </row>
        <row r="423">
          <cell r="D423" t="str">
            <v>Mão de Obra</v>
          </cell>
        </row>
        <row r="424">
          <cell r="D424" t="str">
            <v>Mão de Obra</v>
          </cell>
        </row>
        <row r="425">
          <cell r="D425" t="str">
            <v>Mão de Obra</v>
          </cell>
        </row>
        <row r="426">
          <cell r="D426" t="str">
            <v>Mão de Obra</v>
          </cell>
        </row>
        <row r="427">
          <cell r="D427" t="str">
            <v>Mão de Obra</v>
          </cell>
        </row>
        <row r="428">
          <cell r="D428" t="str">
            <v>Mão de Obra</v>
          </cell>
        </row>
        <row r="429">
          <cell r="D429" t="str">
            <v>Mão de Obra</v>
          </cell>
        </row>
        <row r="430">
          <cell r="D430" t="str">
            <v>Mão de Obra</v>
          </cell>
        </row>
        <row r="431">
          <cell r="D431" t="str">
            <v>Mão de Obra</v>
          </cell>
        </row>
        <row r="432">
          <cell r="D432" t="str">
            <v>Mão de Obra</v>
          </cell>
        </row>
        <row r="433">
          <cell r="D433" t="str">
            <v>Material de Consumo</v>
          </cell>
        </row>
        <row r="434">
          <cell r="D434" t="str">
            <v>Material de Consumo</v>
          </cell>
        </row>
        <row r="435">
          <cell r="D435" t="str">
            <v>Material de Consumo</v>
          </cell>
        </row>
        <row r="436">
          <cell r="D436" t="str">
            <v>Material de Consumo</v>
          </cell>
        </row>
        <row r="437">
          <cell r="D437" t="str">
            <v>Material de Consumo</v>
          </cell>
        </row>
        <row r="438">
          <cell r="D438" t="str">
            <v>Material de Consumo</v>
          </cell>
        </row>
        <row r="439">
          <cell r="D439" t="str">
            <v>Material de Consumo</v>
          </cell>
        </row>
        <row r="440">
          <cell r="D440" t="str">
            <v>Material de Consumo</v>
          </cell>
        </row>
        <row r="441">
          <cell r="D441" t="str">
            <v>Material de Consumo</v>
          </cell>
        </row>
        <row r="442">
          <cell r="D442" t="str">
            <v>Material de Consumo</v>
          </cell>
        </row>
        <row r="443">
          <cell r="D443" t="str">
            <v>Material de Consumo</v>
          </cell>
        </row>
        <row r="444">
          <cell r="D444" t="str">
            <v>Material de Consumo</v>
          </cell>
        </row>
        <row r="445">
          <cell r="D445" t="str">
            <v>Material de Consumo</v>
          </cell>
        </row>
        <row r="446">
          <cell r="D446" t="str">
            <v>Material de Consumo</v>
          </cell>
        </row>
        <row r="447">
          <cell r="D447" t="str">
            <v>Material de Consumo</v>
          </cell>
        </row>
        <row r="448">
          <cell r="D448" t="str">
            <v>Material de Consumo</v>
          </cell>
        </row>
        <row r="449">
          <cell r="D449" t="str">
            <v>Material de Consumo</v>
          </cell>
        </row>
        <row r="450">
          <cell r="D450" t="str">
            <v>Material de Consumo</v>
          </cell>
        </row>
        <row r="451">
          <cell r="D451" t="str">
            <v>Material de Consumo</v>
          </cell>
        </row>
        <row r="452">
          <cell r="D452" t="str">
            <v>Material de Consumo</v>
          </cell>
        </row>
        <row r="453">
          <cell r="D453" t="str">
            <v>Material de Consumo</v>
          </cell>
        </row>
        <row r="454">
          <cell r="D454" t="str">
            <v>Material de Consumo</v>
          </cell>
        </row>
        <row r="455">
          <cell r="D455" t="str">
            <v>Material de Consumo</v>
          </cell>
        </row>
        <row r="456">
          <cell r="D456" t="str">
            <v>Material de Consumo</v>
          </cell>
        </row>
        <row r="457">
          <cell r="D457" t="str">
            <v>Material de Consumo</v>
          </cell>
        </row>
        <row r="458">
          <cell r="D458" t="str">
            <v>Material de Consumo</v>
          </cell>
        </row>
        <row r="459">
          <cell r="D459" t="str">
            <v>Material de Consumo</v>
          </cell>
        </row>
        <row r="460">
          <cell r="D460" t="str">
            <v>Material de Consumo</v>
          </cell>
        </row>
        <row r="461">
          <cell r="D461" t="str">
            <v>Material de Consumo</v>
          </cell>
        </row>
        <row r="462">
          <cell r="D462" t="str">
            <v>Material de Consumo</v>
          </cell>
        </row>
        <row r="463">
          <cell r="D463" t="str">
            <v>Material de Consumo</v>
          </cell>
        </row>
        <row r="464">
          <cell r="D464" t="str">
            <v>Material de Consumo</v>
          </cell>
        </row>
        <row r="465">
          <cell r="D465" t="str">
            <v>Material de Consumo</v>
          </cell>
        </row>
        <row r="466">
          <cell r="D466" t="str">
            <v>Material de Consumo</v>
          </cell>
        </row>
        <row r="467">
          <cell r="D467" t="str">
            <v>Material de Consumo</v>
          </cell>
        </row>
        <row r="468">
          <cell r="D468" t="str">
            <v>Material de Consumo</v>
          </cell>
        </row>
        <row r="469">
          <cell r="D469" t="str">
            <v>Material de Consumo</v>
          </cell>
        </row>
        <row r="470">
          <cell r="D470" t="str">
            <v>Material de Consumo</v>
          </cell>
        </row>
        <row r="471">
          <cell r="D471" t="str">
            <v>Material de Consumo</v>
          </cell>
        </row>
        <row r="472">
          <cell r="D472" t="str">
            <v>Material de Consumo</v>
          </cell>
        </row>
        <row r="473">
          <cell r="D473" t="str">
            <v>Material de Consumo</v>
          </cell>
        </row>
        <row r="474">
          <cell r="D474" t="str">
            <v>Material de Consumo</v>
          </cell>
        </row>
        <row r="475">
          <cell r="D475" t="str">
            <v>Material de Consumo</v>
          </cell>
        </row>
        <row r="476">
          <cell r="D476" t="str">
            <v>Material de Consumo</v>
          </cell>
        </row>
        <row r="477">
          <cell r="D477" t="str">
            <v>Material de Consumo</v>
          </cell>
        </row>
        <row r="478">
          <cell r="D478" t="str">
            <v>Serviços de Terceiros</v>
          </cell>
        </row>
        <row r="479">
          <cell r="D479" t="str">
            <v>Serviços de Terceiros</v>
          </cell>
        </row>
        <row r="480">
          <cell r="D480" t="str">
            <v>Serviços de Terceiros</v>
          </cell>
        </row>
        <row r="481">
          <cell r="D481" t="str">
            <v>Serviços de Terceiros</v>
          </cell>
        </row>
        <row r="482">
          <cell r="D482" t="str">
            <v>Serviços de Terceiros</v>
          </cell>
        </row>
        <row r="483">
          <cell r="D483" t="str">
            <v>Serviços de Terceiros</v>
          </cell>
        </row>
        <row r="484">
          <cell r="D484" t="str">
            <v>Serviços de Terceiros</v>
          </cell>
        </row>
        <row r="485">
          <cell r="D485" t="str">
            <v>Mão de Obra</v>
          </cell>
        </row>
        <row r="486">
          <cell r="D486" t="str">
            <v>Mão de Obra</v>
          </cell>
        </row>
        <row r="487">
          <cell r="D487" t="str">
            <v>Mão de Obra</v>
          </cell>
        </row>
        <row r="488">
          <cell r="D488" t="str">
            <v>Mão de Obra</v>
          </cell>
        </row>
        <row r="489">
          <cell r="D489" t="str">
            <v>Mão de Obra</v>
          </cell>
        </row>
        <row r="490">
          <cell r="D490" t="str">
            <v>Mão de Obra</v>
          </cell>
        </row>
        <row r="491">
          <cell r="D491" t="str">
            <v>Mão de Obra</v>
          </cell>
        </row>
        <row r="492">
          <cell r="D492" t="str">
            <v>Mão de Obra</v>
          </cell>
        </row>
        <row r="493">
          <cell r="D493" t="str">
            <v>Mão de Obra</v>
          </cell>
        </row>
        <row r="494">
          <cell r="D494" t="str">
            <v>Mão de Obra</v>
          </cell>
        </row>
        <row r="495">
          <cell r="D495" t="str">
            <v>Mão de Obra</v>
          </cell>
        </row>
        <row r="496">
          <cell r="D496" t="str">
            <v>Mão de Obra</v>
          </cell>
        </row>
        <row r="497">
          <cell r="D497" t="str">
            <v>Material de Consumo</v>
          </cell>
        </row>
        <row r="498">
          <cell r="D498" t="str">
            <v>Material de Consumo</v>
          </cell>
        </row>
        <row r="499">
          <cell r="D499" t="str">
            <v>Material de Consumo</v>
          </cell>
        </row>
        <row r="500">
          <cell r="D500" t="str">
            <v>Material de Consumo</v>
          </cell>
        </row>
        <row r="501">
          <cell r="D501" t="str">
            <v>Material de Consumo</v>
          </cell>
        </row>
        <row r="502">
          <cell r="D502" t="str">
            <v>Material de Consumo</v>
          </cell>
        </row>
        <row r="503">
          <cell r="D503" t="str">
            <v>Material de Consumo</v>
          </cell>
        </row>
        <row r="504">
          <cell r="D504" t="str">
            <v>Material de Consumo</v>
          </cell>
        </row>
        <row r="505">
          <cell r="D505" t="str">
            <v>Material de Consumo</v>
          </cell>
        </row>
        <row r="506">
          <cell r="D506" t="str">
            <v>Material de Consumo</v>
          </cell>
        </row>
        <row r="507">
          <cell r="D507" t="str">
            <v>Material de Consumo</v>
          </cell>
        </row>
        <row r="508">
          <cell r="D508" t="str">
            <v>Material de Consumo</v>
          </cell>
        </row>
        <row r="509">
          <cell r="D509" t="str">
            <v>Material de Consumo</v>
          </cell>
        </row>
        <row r="510">
          <cell r="D510" t="str">
            <v>Material de Consumo</v>
          </cell>
        </row>
        <row r="511">
          <cell r="D511" t="str">
            <v>Material de Consumo</v>
          </cell>
        </row>
        <row r="512">
          <cell r="D512" t="str">
            <v>Material de Consumo</v>
          </cell>
        </row>
        <row r="513">
          <cell r="D513" t="str">
            <v>Material de Consumo</v>
          </cell>
        </row>
        <row r="514">
          <cell r="D514" t="str">
            <v>Material de Consumo</v>
          </cell>
        </row>
        <row r="515">
          <cell r="D515" t="str">
            <v>Material de Consumo</v>
          </cell>
        </row>
        <row r="516">
          <cell r="D516" t="str">
            <v>Material de Consumo</v>
          </cell>
        </row>
        <row r="517">
          <cell r="D517" t="str">
            <v>Material de Consumo</v>
          </cell>
        </row>
        <row r="518">
          <cell r="D518" t="str">
            <v>Serviços de Terceiros</v>
          </cell>
        </row>
        <row r="519">
          <cell r="D519" t="str">
            <v>Serviços de Terceiros</v>
          </cell>
        </row>
        <row r="520">
          <cell r="D520" t="str">
            <v>Serviços de Terceiros</v>
          </cell>
        </row>
        <row r="521">
          <cell r="D521" t="str">
            <v>Serviços de Terceiros</v>
          </cell>
        </row>
        <row r="522">
          <cell r="D522" t="str">
            <v>Serviços de Terceiros</v>
          </cell>
        </row>
        <row r="523">
          <cell r="D523" t="str">
            <v>Serviços de Terceiros</v>
          </cell>
        </row>
        <row r="524">
          <cell r="D524" t="str">
            <v>Serviços de Terceiros</v>
          </cell>
        </row>
        <row r="525">
          <cell r="D525" t="str">
            <v>Mão de Obra</v>
          </cell>
        </row>
        <row r="526">
          <cell r="D526" t="str">
            <v>Mão de Obra</v>
          </cell>
        </row>
        <row r="527">
          <cell r="D527" t="str">
            <v>Mão de Obra</v>
          </cell>
        </row>
        <row r="528">
          <cell r="D528" t="str">
            <v>Mão de Obra</v>
          </cell>
        </row>
        <row r="529">
          <cell r="D529" t="str">
            <v>Mão de Obra</v>
          </cell>
        </row>
        <row r="530">
          <cell r="D530" t="str">
            <v>Mão de Obra</v>
          </cell>
        </row>
        <row r="531">
          <cell r="D531" t="str">
            <v>Mão de Obra</v>
          </cell>
        </row>
        <row r="532">
          <cell r="D532" t="str">
            <v>Mão de Obra</v>
          </cell>
        </row>
        <row r="533">
          <cell r="D533" t="str">
            <v>Mão de Obra</v>
          </cell>
        </row>
        <row r="534">
          <cell r="D534" t="str">
            <v>Mão de Obra</v>
          </cell>
        </row>
        <row r="535">
          <cell r="D535" t="str">
            <v>Mão de Obra</v>
          </cell>
        </row>
        <row r="536">
          <cell r="D536" t="str">
            <v>Mão de Obra</v>
          </cell>
        </row>
        <row r="537">
          <cell r="D537" t="str">
            <v>Material de Consumo</v>
          </cell>
        </row>
        <row r="538">
          <cell r="D538" t="str">
            <v>Material de Consumo</v>
          </cell>
        </row>
        <row r="539">
          <cell r="D539" t="str">
            <v>Material de Consumo</v>
          </cell>
        </row>
        <row r="540">
          <cell r="D540" t="str">
            <v>Material de Consumo</v>
          </cell>
        </row>
        <row r="541">
          <cell r="D541" t="str">
            <v>Material de Consumo</v>
          </cell>
        </row>
        <row r="542">
          <cell r="D542" t="str">
            <v>Material de Consumo</v>
          </cell>
        </row>
        <row r="543">
          <cell r="D543" t="str">
            <v>Material de Consumo</v>
          </cell>
        </row>
        <row r="544">
          <cell r="D544" t="str">
            <v>Material de Consumo</v>
          </cell>
        </row>
        <row r="545">
          <cell r="D545" t="str">
            <v>Material de Consumo</v>
          </cell>
        </row>
        <row r="546">
          <cell r="D546" t="str">
            <v>Material de Consumo</v>
          </cell>
        </row>
        <row r="547">
          <cell r="D547" t="str">
            <v>Material de Consumo</v>
          </cell>
        </row>
        <row r="548">
          <cell r="D548" t="str">
            <v>Material de Consumo</v>
          </cell>
        </row>
        <row r="549">
          <cell r="D549" t="str">
            <v>Serviços de Terceiros</v>
          </cell>
        </row>
        <row r="550">
          <cell r="D550" t="str">
            <v>Serviços de Terceiros</v>
          </cell>
        </row>
        <row r="551">
          <cell r="D551" t="str">
            <v>Material de Consumo</v>
          </cell>
        </row>
        <row r="552">
          <cell r="D552" t="str">
            <v>Material de Consumo</v>
          </cell>
        </row>
        <row r="553">
          <cell r="D553" t="str">
            <v>Material de Consumo</v>
          </cell>
        </row>
        <row r="554">
          <cell r="D554" t="str">
            <v>Material de Consumo</v>
          </cell>
        </row>
        <row r="555">
          <cell r="D555" t="str">
            <v>Serviços de Terceiros</v>
          </cell>
        </row>
        <row r="556">
          <cell r="D556" t="str">
            <v>Material de Consumo</v>
          </cell>
        </row>
        <row r="557">
          <cell r="D557" t="str">
            <v>Material de Consumo</v>
          </cell>
        </row>
        <row r="558">
          <cell r="D558" t="str">
            <v>Material de Consumo</v>
          </cell>
        </row>
        <row r="559">
          <cell r="D559" t="str">
            <v>Mão de Obra</v>
          </cell>
        </row>
        <row r="560">
          <cell r="D560" t="str">
            <v>Mão de Obra</v>
          </cell>
        </row>
        <row r="561">
          <cell r="D561" t="str">
            <v>Mão de Obra</v>
          </cell>
        </row>
        <row r="562">
          <cell r="D562" t="str">
            <v>Mão de Obra</v>
          </cell>
        </row>
        <row r="563">
          <cell r="D563" t="str">
            <v>Mão de Obra</v>
          </cell>
        </row>
        <row r="564">
          <cell r="D564" t="str">
            <v>Mão de Obra</v>
          </cell>
        </row>
        <row r="565">
          <cell r="D565" t="str">
            <v>Mão de Obra</v>
          </cell>
        </row>
        <row r="566">
          <cell r="D566" t="str">
            <v>Mão de Obra</v>
          </cell>
        </row>
        <row r="567">
          <cell r="D567" t="str">
            <v>Mão de Obra</v>
          </cell>
        </row>
        <row r="568">
          <cell r="D568" t="str">
            <v>Mão de Obra</v>
          </cell>
        </row>
        <row r="569">
          <cell r="D569" t="str">
            <v>Mão de Obra</v>
          </cell>
        </row>
        <row r="570">
          <cell r="D570" t="str">
            <v>Mão de Obra</v>
          </cell>
        </row>
        <row r="571">
          <cell r="D571" t="str">
            <v>Material de Consumo</v>
          </cell>
        </row>
        <row r="572">
          <cell r="D572" t="str">
            <v>Material de Consumo</v>
          </cell>
        </row>
        <row r="573">
          <cell r="D573" t="str">
            <v>Material de Consumo</v>
          </cell>
        </row>
        <row r="574">
          <cell r="D574" t="str">
            <v>Material de Consumo</v>
          </cell>
        </row>
        <row r="575">
          <cell r="D575" t="str">
            <v>Material de Consumo</v>
          </cell>
        </row>
        <row r="576">
          <cell r="D576" t="str">
            <v>Material de Consumo</v>
          </cell>
        </row>
        <row r="577">
          <cell r="D577" t="str">
            <v>Material de Consumo</v>
          </cell>
        </row>
        <row r="578">
          <cell r="D578" t="str">
            <v>Material de Consumo</v>
          </cell>
        </row>
        <row r="579">
          <cell r="D579" t="str">
            <v>Material de Consumo</v>
          </cell>
        </row>
        <row r="580">
          <cell r="D580" t="str">
            <v>Material de Consumo</v>
          </cell>
        </row>
        <row r="581">
          <cell r="D581" t="str">
            <v>Material de Consumo</v>
          </cell>
        </row>
        <row r="582">
          <cell r="D582" t="str">
            <v>Material de Consumo</v>
          </cell>
        </row>
        <row r="583">
          <cell r="D583" t="str">
            <v>Material de Consumo</v>
          </cell>
        </row>
        <row r="584">
          <cell r="D584" t="str">
            <v>Material de Consumo</v>
          </cell>
        </row>
        <row r="585">
          <cell r="D585" t="str">
            <v>Material de Consumo</v>
          </cell>
        </row>
        <row r="586">
          <cell r="D586" t="str">
            <v>Material de Consumo</v>
          </cell>
        </row>
        <row r="587">
          <cell r="D587" t="str">
            <v>Material de Consumo</v>
          </cell>
        </row>
        <row r="588">
          <cell r="D588" t="str">
            <v>Mão de Obra</v>
          </cell>
        </row>
        <row r="589">
          <cell r="D589" t="str">
            <v>Mão de Obra</v>
          </cell>
        </row>
        <row r="590">
          <cell r="D590" t="str">
            <v>Mão de Obra</v>
          </cell>
        </row>
        <row r="591">
          <cell r="D591" t="str">
            <v>Mão de Obra</v>
          </cell>
        </row>
        <row r="592">
          <cell r="D592" t="str">
            <v>Mão de Obra</v>
          </cell>
        </row>
        <row r="593">
          <cell r="D593" t="str">
            <v>Mão de Obra</v>
          </cell>
        </row>
        <row r="594">
          <cell r="D594" t="str">
            <v>Mão de Obra</v>
          </cell>
        </row>
        <row r="595">
          <cell r="D595" t="str">
            <v>Mão de Obra</v>
          </cell>
        </row>
        <row r="596">
          <cell r="D596" t="str">
            <v>Mão de Obra</v>
          </cell>
        </row>
        <row r="597">
          <cell r="D597" t="str">
            <v>Mão de Obra</v>
          </cell>
        </row>
        <row r="598">
          <cell r="D598" t="str">
            <v>Mão de Obra</v>
          </cell>
        </row>
        <row r="599">
          <cell r="D599" t="str">
            <v>Mão de Obra</v>
          </cell>
        </row>
        <row r="600">
          <cell r="D600" t="str">
            <v>Material de Consumo</v>
          </cell>
        </row>
        <row r="601">
          <cell r="D601" t="str">
            <v>Material de Consumo</v>
          </cell>
        </row>
        <row r="602">
          <cell r="D602" t="str">
            <v>Material de Consumo</v>
          </cell>
        </row>
        <row r="603">
          <cell r="D603" t="str">
            <v>Material de Consumo</v>
          </cell>
        </row>
        <row r="604">
          <cell r="D604" t="str">
            <v>Material de Consumo</v>
          </cell>
        </row>
        <row r="605">
          <cell r="D605" t="str">
            <v>Material de Consumo</v>
          </cell>
        </row>
        <row r="606">
          <cell r="D606" t="str">
            <v>Material de Consumo</v>
          </cell>
        </row>
        <row r="607">
          <cell r="D607" t="str">
            <v>Material de Consumo</v>
          </cell>
        </row>
        <row r="608">
          <cell r="D608" t="str">
            <v>Material de Consumo</v>
          </cell>
        </row>
        <row r="609">
          <cell r="D609" t="str">
            <v>Mão de Obra</v>
          </cell>
        </row>
        <row r="610">
          <cell r="D610" t="str">
            <v>Material de Consumo</v>
          </cell>
        </row>
        <row r="611">
          <cell r="D611" t="str">
            <v>Material de Consumo</v>
          </cell>
        </row>
        <row r="612">
          <cell r="D612" t="str">
            <v>Material de Consumo</v>
          </cell>
        </row>
        <row r="613">
          <cell r="D613" t="str">
            <v>Material de Consumo</v>
          </cell>
        </row>
        <row r="614">
          <cell r="D614" t="str">
            <v>Serviços de Terceiros</v>
          </cell>
        </row>
        <row r="615">
          <cell r="D615" t="str">
            <v>Serviços de Terceiros</v>
          </cell>
        </row>
        <row r="616">
          <cell r="D616" t="str">
            <v>Mão de Obra</v>
          </cell>
        </row>
        <row r="617">
          <cell r="D617" t="str">
            <v>Mão de Obra</v>
          </cell>
        </row>
        <row r="618">
          <cell r="D618" t="str">
            <v>Mão de Obra</v>
          </cell>
        </row>
        <row r="619">
          <cell r="D619" t="str">
            <v>Mão de Obra</v>
          </cell>
        </row>
        <row r="620">
          <cell r="D620" t="str">
            <v>Mão de Obra</v>
          </cell>
        </row>
        <row r="621">
          <cell r="D621" t="str">
            <v>Mão de Obra</v>
          </cell>
        </row>
        <row r="622">
          <cell r="D622" t="str">
            <v>Mão de Obra</v>
          </cell>
        </row>
        <row r="623">
          <cell r="D623" t="str">
            <v>Mão de Obra</v>
          </cell>
        </row>
        <row r="624">
          <cell r="D624" t="str">
            <v>Mão de Obra</v>
          </cell>
        </row>
        <row r="625">
          <cell r="D625" t="str">
            <v>Mão de Obra</v>
          </cell>
        </row>
        <row r="626">
          <cell r="D626" t="str">
            <v>Mão de Obra</v>
          </cell>
        </row>
        <row r="627">
          <cell r="D627" t="str">
            <v>Mão de Obra</v>
          </cell>
        </row>
        <row r="628">
          <cell r="D628" t="str">
            <v>Mão de Obra</v>
          </cell>
        </row>
        <row r="629">
          <cell r="D629" t="str">
            <v>Material de Consumo</v>
          </cell>
        </row>
        <row r="630">
          <cell r="D630" t="str">
            <v>Material de Consumo</v>
          </cell>
        </row>
        <row r="631">
          <cell r="D631" t="str">
            <v>Material de Consumo</v>
          </cell>
        </row>
        <row r="632">
          <cell r="D632" t="str">
            <v>Material de Consumo</v>
          </cell>
        </row>
        <row r="633">
          <cell r="D633" t="str">
            <v>Material de Consumo</v>
          </cell>
        </row>
        <row r="634">
          <cell r="D634" t="str">
            <v>Material de Consumo</v>
          </cell>
        </row>
        <row r="635">
          <cell r="D635" t="str">
            <v>Material de Consumo</v>
          </cell>
        </row>
        <row r="636">
          <cell r="D636" t="str">
            <v>Material de Consumo</v>
          </cell>
        </row>
        <row r="637">
          <cell r="D637" t="str">
            <v>Material de Consumo</v>
          </cell>
        </row>
        <row r="638">
          <cell r="D638" t="str">
            <v>Material de Consumo</v>
          </cell>
        </row>
        <row r="639">
          <cell r="D639" t="str">
            <v>Material de Consumo</v>
          </cell>
        </row>
        <row r="640">
          <cell r="D640" t="str">
            <v>Material de Consumo</v>
          </cell>
        </row>
        <row r="641">
          <cell r="D641" t="str">
            <v>Material de Consumo</v>
          </cell>
        </row>
        <row r="642">
          <cell r="D642" t="str">
            <v>Material de Consumo</v>
          </cell>
        </row>
        <row r="643">
          <cell r="D643" t="str">
            <v>Material de Consumo</v>
          </cell>
        </row>
        <row r="644">
          <cell r="D644" t="str">
            <v>Material de Consumo</v>
          </cell>
        </row>
        <row r="645">
          <cell r="D645" t="str">
            <v>Material de Consumo</v>
          </cell>
        </row>
        <row r="646">
          <cell r="D646" t="str">
            <v>Material de Consumo</v>
          </cell>
        </row>
        <row r="647">
          <cell r="D647" t="str">
            <v>Material de Consumo</v>
          </cell>
        </row>
        <row r="648">
          <cell r="D648" t="str">
            <v>Material de Consumo</v>
          </cell>
        </row>
        <row r="649">
          <cell r="D649" t="str">
            <v>Material de Consumo</v>
          </cell>
        </row>
        <row r="650">
          <cell r="D650" t="str">
            <v>Material de Consumo</v>
          </cell>
        </row>
        <row r="651">
          <cell r="D651" t="str">
            <v>Serviços de Terceiros</v>
          </cell>
        </row>
        <row r="652">
          <cell r="D652" t="str">
            <v>Serviços de Terceiros</v>
          </cell>
        </row>
        <row r="653">
          <cell r="D653" t="str">
            <v>Serviços de Terceiros</v>
          </cell>
        </row>
        <row r="654">
          <cell r="D654" t="str">
            <v>Serviços de Terceiros</v>
          </cell>
        </row>
        <row r="655">
          <cell r="D655" t="str">
            <v>Serviços de Terceiros</v>
          </cell>
        </row>
        <row r="656">
          <cell r="D656" t="str">
            <v>Serviços de Terceiros</v>
          </cell>
        </row>
        <row r="657">
          <cell r="D657" t="str">
            <v>Energia</v>
          </cell>
        </row>
        <row r="658">
          <cell r="D658" t="str">
            <v>Mão de Obra</v>
          </cell>
        </row>
        <row r="659">
          <cell r="D659" t="str">
            <v>Mão de Obra</v>
          </cell>
        </row>
        <row r="660">
          <cell r="D660" t="str">
            <v>Mão de Obra</v>
          </cell>
        </row>
        <row r="661">
          <cell r="D661" t="str">
            <v>Mão de Obra</v>
          </cell>
        </row>
        <row r="662">
          <cell r="D662" t="str">
            <v>Mão de Obra</v>
          </cell>
        </row>
        <row r="663">
          <cell r="D663" t="str">
            <v>Mão de Obra</v>
          </cell>
        </row>
        <row r="664">
          <cell r="D664" t="str">
            <v>Mão de Obra</v>
          </cell>
        </row>
        <row r="665">
          <cell r="D665" t="str">
            <v>Mão de Obra</v>
          </cell>
        </row>
        <row r="666">
          <cell r="D666" t="str">
            <v>Mão de Obra</v>
          </cell>
        </row>
        <row r="667">
          <cell r="D667" t="str">
            <v>Mão de Obra</v>
          </cell>
        </row>
        <row r="668">
          <cell r="D668" t="str">
            <v>Mão de Obra</v>
          </cell>
        </row>
        <row r="669">
          <cell r="D669" t="str">
            <v>Mão de Obra</v>
          </cell>
        </row>
        <row r="670">
          <cell r="D670" t="str">
            <v>Mão de Obra</v>
          </cell>
        </row>
        <row r="671">
          <cell r="D671" t="str">
            <v>Mão de Obra</v>
          </cell>
        </row>
        <row r="672">
          <cell r="D672" t="str">
            <v>Mão de Obra</v>
          </cell>
        </row>
        <row r="673">
          <cell r="D673" t="str">
            <v>Material de Consumo</v>
          </cell>
        </row>
        <row r="674">
          <cell r="D674" t="str">
            <v>Material de Consumo</v>
          </cell>
        </row>
        <row r="675">
          <cell r="D675" t="str">
            <v>Material de Consumo</v>
          </cell>
        </row>
        <row r="676">
          <cell r="D676" t="str">
            <v>Material de Consumo</v>
          </cell>
        </row>
        <row r="677">
          <cell r="D677" t="str">
            <v>Material de Consumo</v>
          </cell>
        </row>
        <row r="678">
          <cell r="D678" t="str">
            <v>Material de Consumo</v>
          </cell>
        </row>
        <row r="679">
          <cell r="D679" t="str">
            <v>Material de Consumo</v>
          </cell>
        </row>
        <row r="680">
          <cell r="D680" t="str">
            <v>Material de Consumo</v>
          </cell>
        </row>
        <row r="681">
          <cell r="D681" t="str">
            <v>Material de Consumo</v>
          </cell>
        </row>
        <row r="682">
          <cell r="D682" t="str">
            <v>Material de Consumo</v>
          </cell>
        </row>
        <row r="683">
          <cell r="D683" t="str">
            <v>Serviços de Terceiros</v>
          </cell>
        </row>
        <row r="684">
          <cell r="D684" t="str">
            <v>Serviços de Terceiros</v>
          </cell>
        </row>
        <row r="685">
          <cell r="D685" t="str">
            <v>Serviços de Terceiros</v>
          </cell>
        </row>
        <row r="686">
          <cell r="D686" t="str">
            <v>Serviços de Terceiros</v>
          </cell>
        </row>
        <row r="687">
          <cell r="D687" t="str">
            <v>Serviços de Terceiros</v>
          </cell>
        </row>
        <row r="688">
          <cell r="D688" t="str">
            <v>Mão de Obra</v>
          </cell>
        </row>
        <row r="689">
          <cell r="D689" t="str">
            <v>Mão de Obra</v>
          </cell>
        </row>
        <row r="690">
          <cell r="D690" t="str">
            <v>Mão de Obra</v>
          </cell>
        </row>
        <row r="691">
          <cell r="D691" t="str">
            <v>Mão de Obra</v>
          </cell>
        </row>
        <row r="692">
          <cell r="D692" t="str">
            <v>Mão de Obra</v>
          </cell>
        </row>
        <row r="693">
          <cell r="D693" t="str">
            <v>Material de Consumo</v>
          </cell>
        </row>
        <row r="694">
          <cell r="D694" t="str">
            <v>Material de Consumo</v>
          </cell>
        </row>
        <row r="695">
          <cell r="D695" t="str">
            <v>Material de Consumo</v>
          </cell>
        </row>
        <row r="696">
          <cell r="D696" t="str">
            <v>Material de Consumo</v>
          </cell>
        </row>
        <row r="697">
          <cell r="D697" t="str">
            <v>Energia</v>
          </cell>
        </row>
        <row r="698">
          <cell r="D698" t="str">
            <v>Mão de Obra</v>
          </cell>
        </row>
        <row r="699">
          <cell r="D699" t="str">
            <v>Mão de Obra</v>
          </cell>
        </row>
        <row r="700">
          <cell r="D700" t="str">
            <v>Mão de Obra</v>
          </cell>
        </row>
        <row r="701">
          <cell r="D701" t="str">
            <v>Mão de Obra</v>
          </cell>
        </row>
        <row r="702">
          <cell r="D702" t="str">
            <v>Mão de Obra</v>
          </cell>
        </row>
        <row r="703">
          <cell r="D703" t="str">
            <v>Mão de Obra</v>
          </cell>
        </row>
        <row r="704">
          <cell r="D704" t="str">
            <v>Mão de Obra</v>
          </cell>
        </row>
        <row r="705">
          <cell r="D705" t="str">
            <v>Mão de Obra</v>
          </cell>
        </row>
        <row r="706">
          <cell r="D706" t="str">
            <v>Mão de Obra</v>
          </cell>
        </row>
        <row r="707">
          <cell r="D707" t="str">
            <v>Mão de Obra</v>
          </cell>
        </row>
        <row r="708">
          <cell r="D708" t="str">
            <v>Mão de Obra</v>
          </cell>
        </row>
        <row r="709">
          <cell r="D709" t="str">
            <v>Mão de Obra</v>
          </cell>
        </row>
        <row r="710">
          <cell r="D710" t="str">
            <v>Mão de Obra</v>
          </cell>
        </row>
        <row r="711">
          <cell r="D711" t="str">
            <v>Mão de Obra</v>
          </cell>
        </row>
        <row r="712">
          <cell r="D712" t="str">
            <v>Mão de Obra</v>
          </cell>
        </row>
        <row r="713">
          <cell r="D713" t="str">
            <v>Mão de Obra</v>
          </cell>
        </row>
        <row r="714">
          <cell r="D714" t="str">
            <v>Material de Consumo</v>
          </cell>
        </row>
        <row r="715">
          <cell r="D715" t="str">
            <v>Material de Consumo</v>
          </cell>
        </row>
        <row r="716">
          <cell r="D716" t="str">
            <v>Material de Consumo</v>
          </cell>
        </row>
        <row r="717">
          <cell r="D717" t="str">
            <v>Material de Consumo</v>
          </cell>
        </row>
        <row r="718">
          <cell r="D718" t="str">
            <v>Material de Consumo</v>
          </cell>
        </row>
        <row r="719">
          <cell r="D719" t="str">
            <v>Material de Consumo</v>
          </cell>
        </row>
        <row r="720">
          <cell r="D720" t="str">
            <v>Material de Consumo</v>
          </cell>
        </row>
        <row r="721">
          <cell r="D721" t="str">
            <v>Material de Consumo</v>
          </cell>
        </row>
        <row r="722">
          <cell r="D722" t="str">
            <v>Material de Consumo</v>
          </cell>
        </row>
        <row r="723">
          <cell r="D723" t="str">
            <v>Material de Consumo</v>
          </cell>
        </row>
        <row r="724">
          <cell r="D724" t="str">
            <v>Material de Consumo</v>
          </cell>
        </row>
        <row r="725">
          <cell r="D725" t="str">
            <v>Material de Consumo</v>
          </cell>
        </row>
        <row r="726">
          <cell r="D726" t="str">
            <v>Material de Consumo</v>
          </cell>
        </row>
        <row r="727">
          <cell r="D727" t="str">
            <v>Material de Consumo</v>
          </cell>
        </row>
        <row r="728">
          <cell r="D728" t="str">
            <v>Material de Consumo</v>
          </cell>
        </row>
        <row r="729">
          <cell r="D729" t="str">
            <v>Material de Consumo</v>
          </cell>
        </row>
        <row r="730">
          <cell r="D730" t="str">
            <v>Serviços de Terceiros</v>
          </cell>
        </row>
        <row r="731">
          <cell r="D731" t="str">
            <v>Serviços de Terceiros</v>
          </cell>
        </row>
        <row r="732">
          <cell r="D732" t="str">
            <v>Serviços de Terceiros</v>
          </cell>
        </row>
        <row r="733">
          <cell r="D733" t="str">
            <v>Energia</v>
          </cell>
        </row>
        <row r="734">
          <cell r="D734" t="str">
            <v>Mão de Obra</v>
          </cell>
        </row>
        <row r="735">
          <cell r="D735" t="str">
            <v>Mão de Obra</v>
          </cell>
        </row>
        <row r="736">
          <cell r="D736" t="str">
            <v>Mão de Obra</v>
          </cell>
        </row>
        <row r="737">
          <cell r="D737" t="str">
            <v>Mão de Obra</v>
          </cell>
        </row>
        <row r="738">
          <cell r="D738" t="str">
            <v>Mão de Obra</v>
          </cell>
        </row>
        <row r="739">
          <cell r="D739" t="str">
            <v>Mão de Obra</v>
          </cell>
        </row>
        <row r="740">
          <cell r="D740" t="str">
            <v>Mão de Obra</v>
          </cell>
        </row>
        <row r="741">
          <cell r="D741" t="str">
            <v>Mão de Obra</v>
          </cell>
        </row>
        <row r="742">
          <cell r="D742" t="str">
            <v>Mão de Obra</v>
          </cell>
        </row>
        <row r="743">
          <cell r="D743" t="str">
            <v>Mão de Obra</v>
          </cell>
        </row>
        <row r="744">
          <cell r="D744" t="str">
            <v>Mão de Obra</v>
          </cell>
        </row>
        <row r="745">
          <cell r="D745" t="str">
            <v>Mão de Obra</v>
          </cell>
        </row>
        <row r="746">
          <cell r="D746" t="str">
            <v>Mão de Obra</v>
          </cell>
        </row>
        <row r="747">
          <cell r="D747" t="str">
            <v>Mão de Obra</v>
          </cell>
        </row>
        <row r="748">
          <cell r="D748" t="str">
            <v>Mão de Obra</v>
          </cell>
        </row>
        <row r="749">
          <cell r="D749" t="str">
            <v>Material de Consumo</v>
          </cell>
        </row>
        <row r="750">
          <cell r="D750" t="str">
            <v>Material de Consumo</v>
          </cell>
        </row>
        <row r="751">
          <cell r="D751" t="str">
            <v>Material de Consumo</v>
          </cell>
        </row>
        <row r="752">
          <cell r="D752" t="str">
            <v>Material de Consumo</v>
          </cell>
        </row>
        <row r="753">
          <cell r="D753" t="str">
            <v>Material de Consumo</v>
          </cell>
        </row>
        <row r="754">
          <cell r="D754" t="str">
            <v>Material de Consumo</v>
          </cell>
        </row>
        <row r="755">
          <cell r="D755" t="str">
            <v>Material de Consumo</v>
          </cell>
        </row>
        <row r="756">
          <cell r="D756" t="str">
            <v>Material de Consumo</v>
          </cell>
        </row>
        <row r="757">
          <cell r="D757" t="str">
            <v>Material de Consumo</v>
          </cell>
        </row>
        <row r="758">
          <cell r="D758" t="str">
            <v>Material de Consumo</v>
          </cell>
        </row>
        <row r="759">
          <cell r="D759" t="str">
            <v>Material de Consumo</v>
          </cell>
        </row>
        <row r="760">
          <cell r="D760" t="str">
            <v>Material de Consumo</v>
          </cell>
        </row>
        <row r="761">
          <cell r="D761" t="str">
            <v>Serviços de Terceiros</v>
          </cell>
        </row>
        <row r="762">
          <cell r="D762" t="str">
            <v>Serviços de Terceiros</v>
          </cell>
        </row>
        <row r="763">
          <cell r="D763" t="str">
            <v>Serviços de Terceiros</v>
          </cell>
        </row>
        <row r="764">
          <cell r="D764" t="str">
            <v>Serviços de Terceiros</v>
          </cell>
        </row>
        <row r="765">
          <cell r="D765" t="str">
            <v>Mão de Obra</v>
          </cell>
        </row>
        <row r="766">
          <cell r="D766" t="str">
            <v>Mão de Obra</v>
          </cell>
        </row>
        <row r="767">
          <cell r="D767" t="str">
            <v>Mão de Obra</v>
          </cell>
        </row>
        <row r="768">
          <cell r="D768" t="str">
            <v>Mão de Obra</v>
          </cell>
        </row>
        <row r="769">
          <cell r="D769" t="str">
            <v>Mão de Obra</v>
          </cell>
        </row>
        <row r="770">
          <cell r="D770" t="str">
            <v>Mão de Obra</v>
          </cell>
        </row>
        <row r="771">
          <cell r="D771" t="str">
            <v>Mão de Obra</v>
          </cell>
        </row>
        <row r="772">
          <cell r="D772" t="str">
            <v>Mão de Obra</v>
          </cell>
        </row>
        <row r="773">
          <cell r="D773" t="str">
            <v>Mão de Obra</v>
          </cell>
        </row>
        <row r="774">
          <cell r="D774" t="str">
            <v>Mão de Obra</v>
          </cell>
        </row>
        <row r="775">
          <cell r="D775" t="str">
            <v>Mão de Obra</v>
          </cell>
        </row>
        <row r="776">
          <cell r="D776" t="str">
            <v>Mão de Obra</v>
          </cell>
        </row>
        <row r="777">
          <cell r="D777" t="str">
            <v>Mão de Obra</v>
          </cell>
        </row>
        <row r="778">
          <cell r="D778" t="str">
            <v>Material de Consumo</v>
          </cell>
        </row>
        <row r="779">
          <cell r="D779" t="str">
            <v>Material de Consumo</v>
          </cell>
        </row>
        <row r="780">
          <cell r="D780" t="str">
            <v>Material de Consumo</v>
          </cell>
        </row>
        <row r="781">
          <cell r="D781" t="str">
            <v>Material de Consumo</v>
          </cell>
        </row>
        <row r="782">
          <cell r="D782" t="str">
            <v>Material de Consumo</v>
          </cell>
        </row>
        <row r="783">
          <cell r="D783" t="str">
            <v>Material de Consumo</v>
          </cell>
        </row>
        <row r="784">
          <cell r="D784" t="str">
            <v>Material de Consumo</v>
          </cell>
        </row>
        <row r="785">
          <cell r="D785" t="str">
            <v>Material de Consumo</v>
          </cell>
        </row>
        <row r="786">
          <cell r="D786" t="str">
            <v>Material de Consumo</v>
          </cell>
        </row>
        <row r="787">
          <cell r="D787" t="str">
            <v>Material de Consumo</v>
          </cell>
        </row>
        <row r="788">
          <cell r="D788" t="str">
            <v>Material de Consumo</v>
          </cell>
        </row>
        <row r="789">
          <cell r="D789" t="str">
            <v>Material de Consumo</v>
          </cell>
        </row>
        <row r="790">
          <cell r="D790" t="str">
            <v>Material de Consumo</v>
          </cell>
        </row>
        <row r="791">
          <cell r="D791" t="str">
            <v>Material de Consumo</v>
          </cell>
        </row>
        <row r="792">
          <cell r="D792" t="str">
            <v>Material de Consumo</v>
          </cell>
        </row>
        <row r="793">
          <cell r="D793" t="str">
            <v>Material de Consumo</v>
          </cell>
        </row>
        <row r="794">
          <cell r="D794" t="str">
            <v>Material de Consumo</v>
          </cell>
        </row>
        <row r="795">
          <cell r="D795" t="str">
            <v>Material de Consumo</v>
          </cell>
        </row>
        <row r="796">
          <cell r="D796" t="str">
            <v>Material de Consumo</v>
          </cell>
        </row>
        <row r="797">
          <cell r="D797" t="str">
            <v>Material de Consumo</v>
          </cell>
        </row>
        <row r="798">
          <cell r="D798" t="str">
            <v>Serviços de Terceiros</v>
          </cell>
        </row>
        <row r="799">
          <cell r="D799" t="str">
            <v>Mão de Obra</v>
          </cell>
        </row>
        <row r="800">
          <cell r="D800" t="str">
            <v>Mão de Obra</v>
          </cell>
        </row>
        <row r="801">
          <cell r="D801" t="str">
            <v>Mão de Obra</v>
          </cell>
        </row>
        <row r="802">
          <cell r="D802" t="str">
            <v>Mão de Obra</v>
          </cell>
        </row>
        <row r="803">
          <cell r="D803" t="str">
            <v>Mão de Obra</v>
          </cell>
        </row>
        <row r="804">
          <cell r="D804" t="str">
            <v>Mão de Obra</v>
          </cell>
        </row>
        <row r="805">
          <cell r="D805" t="str">
            <v>Mão de Obra</v>
          </cell>
        </row>
        <row r="806">
          <cell r="D806" t="str">
            <v>Mão de Obra</v>
          </cell>
        </row>
        <row r="807">
          <cell r="D807" t="str">
            <v>Mão de Obra</v>
          </cell>
        </row>
        <row r="808">
          <cell r="D808" t="str">
            <v>Mão de Obra</v>
          </cell>
        </row>
        <row r="809">
          <cell r="D809" t="str">
            <v>Mão de Obra</v>
          </cell>
        </row>
        <row r="810">
          <cell r="D810" t="str">
            <v>Mão de Obra</v>
          </cell>
        </row>
        <row r="811">
          <cell r="D811" t="str">
            <v>Mão de Obra</v>
          </cell>
        </row>
        <row r="812">
          <cell r="D812" t="str">
            <v>Mão de Obra</v>
          </cell>
        </row>
        <row r="813">
          <cell r="D813" t="str">
            <v>Mão de Obra</v>
          </cell>
        </row>
        <row r="814">
          <cell r="D814" t="str">
            <v>Mão de Obra</v>
          </cell>
        </row>
        <row r="815">
          <cell r="D815" t="str">
            <v>Mão de Obra</v>
          </cell>
        </row>
        <row r="816">
          <cell r="D816" t="str">
            <v>Mão de Obra</v>
          </cell>
        </row>
        <row r="817">
          <cell r="D817" t="str">
            <v>Mão de Obra</v>
          </cell>
        </row>
        <row r="818">
          <cell r="D818" t="str">
            <v>Mão de Obra</v>
          </cell>
        </row>
        <row r="819">
          <cell r="D819" t="str">
            <v>Mão de Obra</v>
          </cell>
        </row>
        <row r="820">
          <cell r="D820" t="str">
            <v>Mão de Obra</v>
          </cell>
        </row>
        <row r="821">
          <cell r="D821" t="str">
            <v>Mão de Obra</v>
          </cell>
        </row>
        <row r="822">
          <cell r="D822" t="str">
            <v>Mão de Obra</v>
          </cell>
        </row>
        <row r="823">
          <cell r="D823" t="str">
            <v>Mão de Obra</v>
          </cell>
        </row>
        <row r="824">
          <cell r="D824" t="str">
            <v>Mão de Obra</v>
          </cell>
        </row>
        <row r="825">
          <cell r="D825" t="str">
            <v>Mão de Obra</v>
          </cell>
        </row>
        <row r="826">
          <cell r="D826" t="str">
            <v>Mão de Obra</v>
          </cell>
        </row>
        <row r="827">
          <cell r="D827" t="str">
            <v>Mão de Obra</v>
          </cell>
        </row>
        <row r="828">
          <cell r="D828" t="str">
            <v>Material de Consumo</v>
          </cell>
        </row>
        <row r="829">
          <cell r="D829" t="str">
            <v>Material de Consumo</v>
          </cell>
        </row>
        <row r="830">
          <cell r="D830" t="str">
            <v>Material de Consumo</v>
          </cell>
        </row>
        <row r="831">
          <cell r="D831" t="str">
            <v>Material de Consumo</v>
          </cell>
        </row>
        <row r="832">
          <cell r="D832" t="str">
            <v>Material de Consumo</v>
          </cell>
        </row>
        <row r="833">
          <cell r="D833" t="str">
            <v>Material de Consumo</v>
          </cell>
        </row>
        <row r="834">
          <cell r="D834" t="str">
            <v>Material de Consumo</v>
          </cell>
        </row>
        <row r="835">
          <cell r="D835" t="str">
            <v>Material de Consumo</v>
          </cell>
        </row>
        <row r="836">
          <cell r="D836" t="str">
            <v>Material de Consumo</v>
          </cell>
        </row>
        <row r="837">
          <cell r="D837" t="str">
            <v>Material de Consumo</v>
          </cell>
        </row>
        <row r="838">
          <cell r="D838" t="str">
            <v>Material de Consumo</v>
          </cell>
        </row>
        <row r="839">
          <cell r="D839" t="str">
            <v>Material de Consumo</v>
          </cell>
        </row>
        <row r="840">
          <cell r="D840" t="str">
            <v>Material de Consumo</v>
          </cell>
        </row>
        <row r="841">
          <cell r="D841" t="str">
            <v>Material de Consumo</v>
          </cell>
        </row>
        <row r="842">
          <cell r="D842" t="str">
            <v>Material de Consumo</v>
          </cell>
        </row>
        <row r="843">
          <cell r="D843" t="str">
            <v>Material de Consumo</v>
          </cell>
        </row>
        <row r="844">
          <cell r="D844" t="str">
            <v>Material de Consumo</v>
          </cell>
        </row>
        <row r="845">
          <cell r="D845" t="str">
            <v>Material de Consumo</v>
          </cell>
        </row>
        <row r="846">
          <cell r="D846" t="str">
            <v>Material de Consumo</v>
          </cell>
        </row>
        <row r="847">
          <cell r="D847" t="str">
            <v>Material de Consumo</v>
          </cell>
        </row>
        <row r="848">
          <cell r="D848" t="str">
            <v>Material de Consumo</v>
          </cell>
        </row>
        <row r="849">
          <cell r="D849" t="str">
            <v>Material de Consumo</v>
          </cell>
        </row>
        <row r="850">
          <cell r="D850" t="str">
            <v>Material de Consumo</v>
          </cell>
        </row>
        <row r="851">
          <cell r="D851" t="str">
            <v>Material de Consumo</v>
          </cell>
        </row>
        <row r="852">
          <cell r="D852" t="str">
            <v>Serviços de Terceiros</v>
          </cell>
        </row>
        <row r="853">
          <cell r="D853" t="str">
            <v>Serviços de Terceiros</v>
          </cell>
        </row>
        <row r="854">
          <cell r="D854" t="str">
            <v>Energia</v>
          </cell>
        </row>
        <row r="855">
          <cell r="D855" t="str">
            <v>Mão de Obra</v>
          </cell>
        </row>
        <row r="856">
          <cell r="D856" t="str">
            <v>Mão de Obra</v>
          </cell>
        </row>
        <row r="857">
          <cell r="D857" t="str">
            <v>Mão de Obra</v>
          </cell>
        </row>
        <row r="858">
          <cell r="D858" t="str">
            <v>Mão de Obra</v>
          </cell>
        </row>
        <row r="859">
          <cell r="D859" t="str">
            <v>Mão de Obra</v>
          </cell>
        </row>
        <row r="860">
          <cell r="D860" t="str">
            <v>Mão de Obra</v>
          </cell>
        </row>
        <row r="861">
          <cell r="D861" t="str">
            <v>Mão de Obra</v>
          </cell>
        </row>
        <row r="862">
          <cell r="D862" t="str">
            <v>Mão de Obra</v>
          </cell>
        </row>
        <row r="863">
          <cell r="D863" t="str">
            <v>Mão de Obra</v>
          </cell>
        </row>
        <row r="864">
          <cell r="D864" t="str">
            <v>Mão de Obra</v>
          </cell>
        </row>
        <row r="865">
          <cell r="D865" t="str">
            <v>Mão de Obra</v>
          </cell>
        </row>
        <row r="866">
          <cell r="D866" t="str">
            <v>Mão de Obra</v>
          </cell>
        </row>
        <row r="867">
          <cell r="D867" t="str">
            <v>Mão de Obra</v>
          </cell>
        </row>
        <row r="868">
          <cell r="D868" t="str">
            <v>Material de Consumo</v>
          </cell>
        </row>
        <row r="869">
          <cell r="D869" t="str">
            <v>Material de Consumo</v>
          </cell>
        </row>
        <row r="870">
          <cell r="D870" t="str">
            <v>Material de Consumo</v>
          </cell>
        </row>
        <row r="871">
          <cell r="D871" t="str">
            <v>Material de Consumo</v>
          </cell>
        </row>
        <row r="872">
          <cell r="D872" t="str">
            <v>Material de Consumo</v>
          </cell>
        </row>
        <row r="873">
          <cell r="D873" t="str">
            <v>Energia</v>
          </cell>
        </row>
        <row r="874">
          <cell r="D874" t="str">
            <v>Manutenção - Paradão</v>
          </cell>
        </row>
        <row r="875">
          <cell r="D875" t="str">
            <v>Mão de Obra</v>
          </cell>
        </row>
        <row r="876">
          <cell r="D876" t="str">
            <v>Mão de Obra</v>
          </cell>
        </row>
        <row r="877">
          <cell r="D877" t="str">
            <v>Mão de Obra</v>
          </cell>
        </row>
        <row r="878">
          <cell r="D878" t="str">
            <v>Mão de Obra</v>
          </cell>
        </row>
        <row r="879">
          <cell r="D879" t="str">
            <v>Mão de Obra</v>
          </cell>
        </row>
        <row r="880">
          <cell r="D880" t="str">
            <v>Mão de Obra</v>
          </cell>
        </row>
        <row r="881">
          <cell r="D881" t="str">
            <v>Mão de Obra</v>
          </cell>
        </row>
        <row r="882">
          <cell r="D882" t="str">
            <v>Mão de Obra</v>
          </cell>
        </row>
        <row r="883">
          <cell r="D883" t="str">
            <v>Mão de Obra</v>
          </cell>
        </row>
        <row r="884">
          <cell r="D884" t="str">
            <v>Mão de Obra</v>
          </cell>
        </row>
        <row r="885">
          <cell r="D885" t="str">
            <v>Mão de Obra</v>
          </cell>
        </row>
        <row r="886">
          <cell r="D886" t="str">
            <v>Mão de Obra</v>
          </cell>
        </row>
        <row r="887">
          <cell r="D887" t="str">
            <v>Mão de Obra</v>
          </cell>
        </row>
        <row r="888">
          <cell r="D888" t="str">
            <v>Mão de Obra</v>
          </cell>
        </row>
        <row r="889">
          <cell r="D889" t="str">
            <v>Mão de Obra</v>
          </cell>
        </row>
        <row r="890">
          <cell r="D890" t="str">
            <v>Mão de Obra</v>
          </cell>
        </row>
        <row r="891">
          <cell r="D891" t="str">
            <v>Material de Consumo</v>
          </cell>
        </row>
        <row r="892">
          <cell r="D892" t="str">
            <v>Material de Consumo</v>
          </cell>
        </row>
        <row r="893">
          <cell r="D893" t="str">
            <v>Material de Consumo</v>
          </cell>
        </row>
        <row r="894">
          <cell r="D894" t="str">
            <v>Material de Consumo</v>
          </cell>
        </row>
        <row r="895">
          <cell r="D895" t="str">
            <v>Material de Consumo</v>
          </cell>
        </row>
        <row r="896">
          <cell r="D896" t="str">
            <v>Material de Consumo</v>
          </cell>
        </row>
        <row r="897">
          <cell r="D897" t="str">
            <v>Material de Consumo</v>
          </cell>
        </row>
        <row r="898">
          <cell r="D898" t="str">
            <v>Material de Consumo</v>
          </cell>
        </row>
        <row r="899">
          <cell r="D899" t="str">
            <v>Material de Consumo</v>
          </cell>
        </row>
        <row r="900">
          <cell r="D900" t="str">
            <v>Material de Consumo</v>
          </cell>
        </row>
        <row r="901">
          <cell r="D901" t="str">
            <v>Material de Consumo</v>
          </cell>
        </row>
        <row r="902">
          <cell r="D902" t="str">
            <v>Material de Consumo</v>
          </cell>
        </row>
        <row r="903">
          <cell r="D903" t="str">
            <v>Material de Consumo</v>
          </cell>
        </row>
        <row r="904">
          <cell r="D904" t="str">
            <v>Material de Consumo</v>
          </cell>
        </row>
        <row r="905">
          <cell r="D905" t="str">
            <v>Material de Consumo</v>
          </cell>
        </row>
        <row r="906">
          <cell r="D906" t="str">
            <v>Material de Consumo</v>
          </cell>
        </row>
        <row r="907">
          <cell r="D907" t="str">
            <v>Material de Consumo</v>
          </cell>
        </row>
        <row r="908">
          <cell r="D908" t="str">
            <v>Material de Consumo</v>
          </cell>
        </row>
        <row r="909">
          <cell r="D909" t="str">
            <v>Material de Consumo</v>
          </cell>
        </row>
        <row r="910">
          <cell r="D910" t="str">
            <v>Material de Consumo</v>
          </cell>
        </row>
        <row r="911">
          <cell r="D911" t="str">
            <v>Material de Consumo</v>
          </cell>
        </row>
        <row r="912">
          <cell r="D912" t="str">
            <v>Material de Consumo</v>
          </cell>
        </row>
        <row r="913">
          <cell r="D913" t="str">
            <v>Serviços de Terceiros</v>
          </cell>
        </row>
        <row r="914">
          <cell r="D914" t="str">
            <v>Serviços de Terceiros</v>
          </cell>
        </row>
        <row r="915">
          <cell r="D915" t="str">
            <v>Serviços de Terceiros</v>
          </cell>
        </row>
        <row r="916">
          <cell r="D916" t="str">
            <v>Serviços de Terceiros</v>
          </cell>
        </row>
        <row r="917">
          <cell r="D917" t="str">
            <v>Serviços de Terceiros</v>
          </cell>
        </row>
        <row r="918">
          <cell r="D918" t="str">
            <v>Serviços de Terceiros</v>
          </cell>
        </row>
        <row r="919">
          <cell r="D919" t="str">
            <v>Serviços de Terceiros</v>
          </cell>
        </row>
        <row r="920">
          <cell r="D920" t="str">
            <v>Serviços de Terceiros</v>
          </cell>
        </row>
        <row r="921">
          <cell r="D921" t="str">
            <v>Aço</v>
          </cell>
        </row>
        <row r="922">
          <cell r="D922" t="str">
            <v>Materia Prima Auxiliar</v>
          </cell>
        </row>
        <row r="923">
          <cell r="D923" t="str">
            <v>Aço</v>
          </cell>
        </row>
        <row r="924">
          <cell r="D924" t="str">
            <v>Materia Prima Auxiliar</v>
          </cell>
        </row>
        <row r="925">
          <cell r="D925" t="str">
            <v>Aço</v>
          </cell>
        </row>
        <row r="926">
          <cell r="D926" t="str">
            <v>Materia Prima Auxiliar</v>
          </cell>
        </row>
        <row r="927">
          <cell r="D927" t="str">
            <v>Materia Prima Auxiliar</v>
          </cell>
        </row>
        <row r="928">
          <cell r="D928" t="str">
            <v>Aço</v>
          </cell>
        </row>
        <row r="929">
          <cell r="D929" t="str">
            <v>Materia Prima Auxiliar</v>
          </cell>
        </row>
        <row r="930">
          <cell r="D930" t="str">
            <v>Materia Prima Auxiliar</v>
          </cell>
        </row>
        <row r="931">
          <cell r="D931" t="str">
            <v>Aço</v>
          </cell>
        </row>
        <row r="932">
          <cell r="D932" t="str">
            <v>Materia Prima Auxiliar</v>
          </cell>
        </row>
        <row r="933">
          <cell r="D933" t="str">
            <v>Aço</v>
          </cell>
        </row>
        <row r="934">
          <cell r="D934" t="str">
            <v>Aço</v>
          </cell>
        </row>
        <row r="935">
          <cell r="D935" t="str">
            <v>Aço</v>
          </cell>
        </row>
        <row r="936">
          <cell r="D936" t="str">
            <v>Aço</v>
          </cell>
        </row>
        <row r="937">
          <cell r="D937" t="str">
            <v>Materia Prima Auxiliar</v>
          </cell>
        </row>
        <row r="938">
          <cell r="D938" t="str">
            <v>Aço</v>
          </cell>
        </row>
        <row r="939">
          <cell r="D939" t="str">
            <v>Materia Prima Auxiliar</v>
          </cell>
        </row>
        <row r="940">
          <cell r="D940" t="str">
            <v>Material de Consumo</v>
          </cell>
        </row>
        <row r="941">
          <cell r="D941" t="str">
            <v>Aço</v>
          </cell>
        </row>
        <row r="942">
          <cell r="D942" t="str">
            <v>Materia Prima Auxiliar</v>
          </cell>
        </row>
        <row r="943">
          <cell r="D943" t="str">
            <v>Materia Prima Auxiliar</v>
          </cell>
        </row>
        <row r="944">
          <cell r="D944" t="str">
            <v>Serviços de Terceiros</v>
          </cell>
        </row>
        <row r="945">
          <cell r="D945" t="str">
            <v>Materia Prima Auxiliar</v>
          </cell>
        </row>
        <row r="946">
          <cell r="D946" t="str">
            <v>Materia Prima Auxiliar</v>
          </cell>
        </row>
        <row r="947">
          <cell r="D947" t="str">
            <v>Materia Prima Auxiliar</v>
          </cell>
        </row>
        <row r="948">
          <cell r="D948" t="str">
            <v>Materia Prima Auxiliar</v>
          </cell>
        </row>
        <row r="949">
          <cell r="D949" t="str">
            <v>Serviços de Terceiros</v>
          </cell>
        </row>
        <row r="950">
          <cell r="D950" t="str">
            <v>Serviços de Terceiros</v>
          </cell>
        </row>
        <row r="951">
          <cell r="D951" t="str">
            <v>Materia Prima Auxiliar</v>
          </cell>
        </row>
        <row r="952">
          <cell r="D952" t="str">
            <v>Serviços de Terceiros</v>
          </cell>
        </row>
        <row r="953">
          <cell r="D953" t="str">
            <v>Serviços de Terceiros</v>
          </cell>
        </row>
        <row r="954">
          <cell r="D954" t="str">
            <v>Materia Prima Revestimiento</v>
          </cell>
        </row>
        <row r="955">
          <cell r="D955" t="str">
            <v>Serviços de Terceiros</v>
          </cell>
        </row>
        <row r="956">
          <cell r="D956" t="str">
            <v>Serviços de Terceiros</v>
          </cell>
        </row>
        <row r="957">
          <cell r="D957" t="str">
            <v>Serviços de Terceiros</v>
          </cell>
        </row>
        <row r="958">
          <cell r="D958" t="str">
            <v>Materia Prima Auxiliar</v>
          </cell>
        </row>
        <row r="959">
          <cell r="D959" t="str">
            <v>Materia Prima Revestimiento</v>
          </cell>
        </row>
        <row r="960">
          <cell r="D960" t="str">
            <v>Materia Prima Auxiliar</v>
          </cell>
        </row>
        <row r="961">
          <cell r="D961" t="str">
            <v>Materia Prima Auxiliar</v>
          </cell>
        </row>
        <row r="962">
          <cell r="D962" t="str">
            <v>Materia Prima Revestimiento</v>
          </cell>
        </row>
        <row r="963">
          <cell r="D963" t="str">
            <v>Serviços de Terceiros</v>
          </cell>
        </row>
        <row r="964">
          <cell r="D964" t="str">
            <v>Serviços de Terceiros</v>
          </cell>
        </row>
        <row r="965">
          <cell r="D965" t="str">
            <v>Serviços de Terceiros</v>
          </cell>
        </row>
        <row r="966">
          <cell r="D966" t="str">
            <v>Materia Prima Revestimiento</v>
          </cell>
        </row>
        <row r="967">
          <cell r="D967" t="str">
            <v>Materia Prima Revestimiento</v>
          </cell>
        </row>
        <row r="968">
          <cell r="D968" t="str">
            <v>Materia Prima Revestimiento</v>
          </cell>
        </row>
        <row r="969">
          <cell r="D969" t="str">
            <v>Materia Prima Revestimiento</v>
          </cell>
        </row>
        <row r="970">
          <cell r="D970" t="str">
            <v>Aço</v>
          </cell>
        </row>
        <row r="971">
          <cell r="D971" t="str">
            <v>Materia Prima Auxiliar</v>
          </cell>
        </row>
        <row r="972">
          <cell r="D972" t="str">
            <v>Materia Prima Revestimiento</v>
          </cell>
        </row>
        <row r="973">
          <cell r="D973" t="str">
            <v>Material de Consumo</v>
          </cell>
        </row>
        <row r="974">
          <cell r="D974" t="str">
            <v>Material de Consumo</v>
          </cell>
        </row>
        <row r="975">
          <cell r="D975" t="str">
            <v>Serviços de Terceiros</v>
          </cell>
        </row>
        <row r="976">
          <cell r="D976" t="str">
            <v>Aço</v>
          </cell>
        </row>
        <row r="977">
          <cell r="D977" t="str">
            <v>Material de Consumo</v>
          </cell>
        </row>
        <row r="978">
          <cell r="D978" t="str">
            <v>Aço</v>
          </cell>
        </row>
        <row r="979">
          <cell r="D979" t="str">
            <v>Aço</v>
          </cell>
        </row>
        <row r="980">
          <cell r="D980" t="str">
            <v>Aço</v>
          </cell>
        </row>
        <row r="981">
          <cell r="D981" t="str">
            <v>Materia Prima Auxiliar</v>
          </cell>
        </row>
        <row r="982">
          <cell r="D982" t="str">
            <v>Aço</v>
          </cell>
        </row>
        <row r="983">
          <cell r="D983" t="str">
            <v>Aço</v>
          </cell>
        </row>
        <row r="984">
          <cell r="D984" t="str">
            <v>Materia Prima Auxiliar</v>
          </cell>
        </row>
        <row r="985">
          <cell r="D985" t="str">
            <v>Serviços de Terceiros</v>
          </cell>
        </row>
        <row r="986">
          <cell r="D986" t="str">
            <v>Aço</v>
          </cell>
        </row>
        <row r="987">
          <cell r="D987" t="str">
            <v>Material de Consumo</v>
          </cell>
        </row>
        <row r="988">
          <cell r="D988" t="str">
            <v>Materia Prima Auxiliar</v>
          </cell>
        </row>
        <row r="989">
          <cell r="D989" t="str">
            <v>Materia Prima Auxiliar</v>
          </cell>
        </row>
        <row r="990">
          <cell r="D990" t="str">
            <v>Materia Prima Auxiliar</v>
          </cell>
        </row>
        <row r="991">
          <cell r="D991" t="str">
            <v>Materia Prima Revestimiento</v>
          </cell>
        </row>
        <row r="992">
          <cell r="D992" t="str">
            <v>Materia Prima Auxiliar</v>
          </cell>
        </row>
        <row r="993">
          <cell r="D993" t="str">
            <v>Materia Prima Revestimiento</v>
          </cell>
        </row>
        <row r="994">
          <cell r="D994" t="str">
            <v>Aço</v>
          </cell>
        </row>
        <row r="995">
          <cell r="D995" t="str">
            <v>Materia Prima Auxiliar</v>
          </cell>
        </row>
        <row r="996">
          <cell r="D996" t="str">
            <v>Materia Prima Auxiliar</v>
          </cell>
        </row>
        <row r="997">
          <cell r="D997" t="str">
            <v>Materia Prima Revestimiento</v>
          </cell>
        </row>
        <row r="998">
          <cell r="D998" t="str">
            <v>Materia Prima Auxiliar</v>
          </cell>
        </row>
        <row r="999">
          <cell r="D999" t="str">
            <v>Materia Prima Revestimiento</v>
          </cell>
        </row>
        <row r="1000">
          <cell r="D1000" t="str">
            <v>Serviços de Terceiros</v>
          </cell>
        </row>
        <row r="1001">
          <cell r="D1001" t="str">
            <v>Materia Prima Auxiliar</v>
          </cell>
        </row>
        <row r="1002">
          <cell r="D1002" t="str">
            <v>Serviços de Terceiros</v>
          </cell>
        </row>
        <row r="1003">
          <cell r="D1003" t="str">
            <v>Materia Prima Auxiliar</v>
          </cell>
        </row>
        <row r="1004">
          <cell r="D1004" t="str">
            <v>Aço</v>
          </cell>
        </row>
        <row r="1005">
          <cell r="D1005" t="str">
            <v>Materia Prima Auxiliar</v>
          </cell>
        </row>
        <row r="1006">
          <cell r="D1006" t="str">
            <v>Materia Prima Auxiliar</v>
          </cell>
        </row>
        <row r="1007">
          <cell r="D1007" t="str">
            <v>Materia Prima Revestimiento</v>
          </cell>
        </row>
        <row r="1008">
          <cell r="D1008" t="str">
            <v>Materia Prima Auxiliar</v>
          </cell>
        </row>
        <row r="1009">
          <cell r="D1009" t="str">
            <v>Materia Prima Auxiliar</v>
          </cell>
        </row>
        <row r="1010">
          <cell r="D1010" t="str">
            <v>Materia Prima Revestimiento</v>
          </cell>
        </row>
        <row r="1011">
          <cell r="D1011" t="str">
            <v>Materia Prima Auxiliar</v>
          </cell>
        </row>
        <row r="1012">
          <cell r="D1012" t="str">
            <v>Materia Prima Revestimiento</v>
          </cell>
        </row>
        <row r="1013">
          <cell r="D1013" t="str">
            <v>Aço</v>
          </cell>
        </row>
        <row r="1014">
          <cell r="D1014" t="str">
            <v>Materia Prima Auxiliar</v>
          </cell>
        </row>
        <row r="1015">
          <cell r="D1015" t="str">
            <v>Materia Prima Auxiliar</v>
          </cell>
        </row>
        <row r="1016">
          <cell r="D1016" t="str">
            <v>Materia Prima Revestimiento</v>
          </cell>
        </row>
        <row r="1017">
          <cell r="D1017" t="str">
            <v>Aço</v>
          </cell>
        </row>
        <row r="1018">
          <cell r="D1018" t="str">
            <v>Aço</v>
          </cell>
        </row>
        <row r="1019">
          <cell r="D1019" t="str">
            <v>Serviços de Terceiros</v>
          </cell>
        </row>
        <row r="1020">
          <cell r="D1020" t="str">
            <v>Materia Prima Revestimiento</v>
          </cell>
        </row>
        <row r="1021">
          <cell r="D1021" t="str">
            <v>Materia Prima Revestimiento</v>
          </cell>
        </row>
        <row r="1022">
          <cell r="D1022" t="str">
            <v>Materia Prima Auxiliar</v>
          </cell>
        </row>
        <row r="1023">
          <cell r="D1023" t="str">
            <v>Materia Prima Revestimiento</v>
          </cell>
        </row>
        <row r="1024">
          <cell r="D1024" t="str">
            <v>Materia Prima Auxiliar</v>
          </cell>
        </row>
        <row r="1025">
          <cell r="D1025" t="str">
            <v>Materia Prima Revestimiento</v>
          </cell>
        </row>
        <row r="1026">
          <cell r="D1026" t="str">
            <v>Aço</v>
          </cell>
        </row>
        <row r="1027">
          <cell r="D1027" t="str">
            <v>Materia Prima Auxiliar</v>
          </cell>
        </row>
        <row r="1028">
          <cell r="D1028" t="str">
            <v>Materia Prima Auxiliar</v>
          </cell>
        </row>
        <row r="1029">
          <cell r="D1029" t="str">
            <v>Aço</v>
          </cell>
        </row>
        <row r="1030">
          <cell r="D1030" t="str">
            <v>Materia Prima Auxiliar</v>
          </cell>
        </row>
        <row r="1031">
          <cell r="D1031" t="str">
            <v>Materia Prima Auxiliar</v>
          </cell>
        </row>
        <row r="1032">
          <cell r="D1032" t="str">
            <v>Materia Prima Auxiliar</v>
          </cell>
        </row>
        <row r="1033">
          <cell r="D1033" t="str">
            <v>Materia Prima Revestimiento</v>
          </cell>
        </row>
        <row r="1034">
          <cell r="D1034" t="str">
            <v>Materia Prima Revestimiento</v>
          </cell>
        </row>
        <row r="1035">
          <cell r="D1035" t="str">
            <v>Aço</v>
          </cell>
        </row>
        <row r="1036">
          <cell r="D1036" t="str">
            <v>Material de Consumo</v>
          </cell>
        </row>
        <row r="1037">
          <cell r="D1037" t="str">
            <v>Materia Prima Auxiliar</v>
          </cell>
        </row>
        <row r="1038">
          <cell r="D1038" t="str">
            <v>Aço</v>
          </cell>
        </row>
        <row r="1039">
          <cell r="D1039" t="str">
            <v>Materia Prima Auxiliar</v>
          </cell>
        </row>
        <row r="1040">
          <cell r="D1040" t="str">
            <v>Materia Prima Auxiliar</v>
          </cell>
        </row>
        <row r="1041">
          <cell r="D1041" t="str">
            <v>Materia Prima Revestimiento</v>
          </cell>
        </row>
        <row r="1042">
          <cell r="D1042" t="str">
            <v>Material de Consumo</v>
          </cell>
        </row>
        <row r="1043">
          <cell r="D1043" t="str">
            <v>Materia Prima Auxiliar</v>
          </cell>
        </row>
        <row r="1044">
          <cell r="D1044" t="str">
            <v>Materia Prima Auxiliar</v>
          </cell>
        </row>
        <row r="1045">
          <cell r="D1045" t="str">
            <v>Materia Prima Revestimiento</v>
          </cell>
        </row>
        <row r="1046">
          <cell r="D1046" t="str">
            <v>Materia Prima Auxiliar</v>
          </cell>
        </row>
        <row r="1047">
          <cell r="D1047" t="str">
            <v>Materia Prima Revestimiento</v>
          </cell>
        </row>
        <row r="1048">
          <cell r="D1048" t="str">
            <v>Material de Consumo</v>
          </cell>
        </row>
        <row r="1049">
          <cell r="D1049" t="str">
            <v>Materia Prima Auxiliar</v>
          </cell>
        </row>
        <row r="1050">
          <cell r="D1050" t="str">
            <v>Materia Prima Revestimiento</v>
          </cell>
        </row>
        <row r="1051">
          <cell r="D1051" t="str">
            <v>Aço</v>
          </cell>
        </row>
        <row r="1052">
          <cell r="D1052" t="str">
            <v>Materia Prima Auxiliar</v>
          </cell>
        </row>
        <row r="1053">
          <cell r="D1053" t="str">
            <v>Aço</v>
          </cell>
        </row>
        <row r="1054">
          <cell r="D1054" t="str">
            <v>Materia Prima Auxiliar</v>
          </cell>
        </row>
        <row r="1055">
          <cell r="D1055" t="str">
            <v>Aço</v>
          </cell>
        </row>
        <row r="1056">
          <cell r="D1056" t="str">
            <v>Materia Prima Auxiliar</v>
          </cell>
        </row>
        <row r="1057">
          <cell r="D1057" t="str">
            <v>Materia Prima Auxiliar</v>
          </cell>
        </row>
        <row r="1058">
          <cell r="D1058" t="str">
            <v>Materia Prima Revestimiento</v>
          </cell>
        </row>
        <row r="1059">
          <cell r="D1059" t="str">
            <v>Aço</v>
          </cell>
        </row>
        <row r="1060">
          <cell r="D1060" t="str">
            <v>Materia Prima Auxiliar</v>
          </cell>
        </row>
        <row r="1061">
          <cell r="D1061" t="str">
            <v>Aço</v>
          </cell>
        </row>
        <row r="1062">
          <cell r="D1062" t="str">
            <v>Materia Prima Auxiliar</v>
          </cell>
        </row>
        <row r="1063">
          <cell r="D1063" t="str">
            <v>Materia Prima Auxiliar</v>
          </cell>
        </row>
        <row r="1064">
          <cell r="D1064" t="str">
            <v>Materia Prima Revestimiento</v>
          </cell>
        </row>
        <row r="1065">
          <cell r="D1065" t="str">
            <v>Materia Prima Auxiliar</v>
          </cell>
        </row>
        <row r="1066">
          <cell r="D1066" t="str">
            <v>Materia Prima Auxiliar</v>
          </cell>
        </row>
        <row r="1067">
          <cell r="D1067" t="str">
            <v>Materia Prima Revestimiento</v>
          </cell>
        </row>
        <row r="1068">
          <cell r="D1068" t="str">
            <v>Materia Prima Auxiliar</v>
          </cell>
        </row>
        <row r="1069">
          <cell r="D1069" t="str">
            <v>Materia Prima Revestimiento</v>
          </cell>
        </row>
        <row r="1070">
          <cell r="D1070" t="str">
            <v>Materia Prima Auxiliar</v>
          </cell>
        </row>
        <row r="1071">
          <cell r="D1071" t="str">
            <v>Aço</v>
          </cell>
        </row>
        <row r="1072">
          <cell r="D1072" t="str">
            <v>Materia Prima Auxiliar</v>
          </cell>
        </row>
        <row r="1073">
          <cell r="D1073" t="str">
            <v>Serviços de Terceiros</v>
          </cell>
        </row>
        <row r="1074">
          <cell r="D1074" t="str">
            <v>Materia Prima Auxiliar</v>
          </cell>
        </row>
        <row r="1075">
          <cell r="D1075" t="str">
            <v>Materia Prima Auxiliar</v>
          </cell>
        </row>
        <row r="1076">
          <cell r="D1076" t="str">
            <v>Aço</v>
          </cell>
        </row>
        <row r="1077">
          <cell r="D1077" t="str">
            <v>Materia Prima Auxiliar</v>
          </cell>
        </row>
        <row r="1078">
          <cell r="D1078" t="str">
            <v>Aço</v>
          </cell>
        </row>
        <row r="1079">
          <cell r="D1079" t="str">
            <v>Materia Prima Auxiliar</v>
          </cell>
        </row>
        <row r="1080">
          <cell r="D1080" t="str">
            <v>Aço</v>
          </cell>
        </row>
        <row r="1081">
          <cell r="D1081" t="str">
            <v>Materia Prima Auxiliar</v>
          </cell>
        </row>
        <row r="1082">
          <cell r="D1082" t="str">
            <v>Aço</v>
          </cell>
        </row>
        <row r="1083">
          <cell r="D1083" t="str">
            <v>Materia Prima Auxiliar</v>
          </cell>
        </row>
        <row r="1084">
          <cell r="D1084" t="str">
            <v>Material de Consumo</v>
          </cell>
        </row>
        <row r="1085">
          <cell r="D1085" t="str">
            <v>Serviços de Terceiros</v>
          </cell>
        </row>
        <row r="1086">
          <cell r="D1086" t="str">
            <v>Aço</v>
          </cell>
        </row>
        <row r="1087">
          <cell r="D1087" t="str">
            <v>Materia Prima Auxiliar</v>
          </cell>
        </row>
        <row r="1088">
          <cell r="D1088" t="str">
            <v>Aço</v>
          </cell>
        </row>
        <row r="1089">
          <cell r="D1089" t="str">
            <v>Materia Prima Auxiliar</v>
          </cell>
        </row>
        <row r="1090">
          <cell r="D1090" t="str">
            <v>Materia Prima Auxiliar</v>
          </cell>
        </row>
        <row r="1091">
          <cell r="D1091" t="str">
            <v>Materia Prima Auxiliar</v>
          </cell>
        </row>
        <row r="1092">
          <cell r="D1092" t="str">
            <v>Materia Prima Auxiliar</v>
          </cell>
        </row>
        <row r="1093">
          <cell r="D1093" t="str">
            <v>Serviços de Terceiros</v>
          </cell>
        </row>
        <row r="1094">
          <cell r="D1094" t="str">
            <v>Materia Prima Auxiliar</v>
          </cell>
        </row>
        <row r="1095">
          <cell r="D1095" t="str">
            <v>Materia Prima Auxiliar</v>
          </cell>
        </row>
        <row r="1096">
          <cell r="D1096" t="str">
            <v>Materia Prima Auxiliar</v>
          </cell>
        </row>
        <row r="1097">
          <cell r="D1097" t="str">
            <v>Aço</v>
          </cell>
        </row>
        <row r="1098">
          <cell r="D1098" t="str">
            <v>Materia Prima Auxiliar</v>
          </cell>
        </row>
        <row r="1099">
          <cell r="D1099" t="str">
            <v>Aço</v>
          </cell>
        </row>
        <row r="1100">
          <cell r="D1100" t="str">
            <v>Materia Prima Auxiliar</v>
          </cell>
        </row>
        <row r="1101">
          <cell r="D1101" t="str">
            <v>Aço</v>
          </cell>
        </row>
        <row r="1102">
          <cell r="D1102" t="str">
            <v>Materia Prima Auxiliar</v>
          </cell>
        </row>
        <row r="1103">
          <cell r="D1103" t="str">
            <v>Aço</v>
          </cell>
        </row>
        <row r="1104">
          <cell r="D1104" t="str">
            <v>Materia Prima Auxiliar</v>
          </cell>
        </row>
        <row r="1105">
          <cell r="D1105" t="str">
            <v>Aço</v>
          </cell>
        </row>
        <row r="1106">
          <cell r="D1106" t="str">
            <v>Materia Prima Auxiliar</v>
          </cell>
        </row>
        <row r="1107">
          <cell r="D1107" t="str">
            <v>Aço</v>
          </cell>
        </row>
        <row r="1108">
          <cell r="D1108" t="str">
            <v>Materia Prima Auxiliar</v>
          </cell>
        </row>
        <row r="1109">
          <cell r="D1109" t="str">
            <v>Aço</v>
          </cell>
        </row>
        <row r="1110">
          <cell r="D1110" t="str">
            <v>Materia Prima Auxiliar</v>
          </cell>
        </row>
        <row r="1111">
          <cell r="D1111" t="str">
            <v>Aço</v>
          </cell>
        </row>
        <row r="1112">
          <cell r="D1112" t="str">
            <v>Materia Prima Auxiliar</v>
          </cell>
        </row>
        <row r="1113">
          <cell r="D1113" t="str">
            <v>Serviços de Terceiros</v>
          </cell>
        </row>
        <row r="1114">
          <cell r="D1114" t="str">
            <v>Aço</v>
          </cell>
        </row>
        <row r="1115">
          <cell r="D1115" t="str">
            <v>Materia Prima Auxiliar</v>
          </cell>
        </row>
        <row r="1116">
          <cell r="D1116" t="str">
            <v>Material de Consumo</v>
          </cell>
        </row>
        <row r="1117">
          <cell r="D1117" t="str">
            <v>Materia Prima Auxiliar</v>
          </cell>
        </row>
        <row r="1118">
          <cell r="D1118" t="str">
            <v>Aço</v>
          </cell>
        </row>
        <row r="1119">
          <cell r="D1119" t="str">
            <v>Materia Prima Auxiliar</v>
          </cell>
        </row>
        <row r="1120">
          <cell r="D1120" t="str">
            <v>Aço</v>
          </cell>
        </row>
        <row r="1121">
          <cell r="D1121" t="str">
            <v>Materia Prima Auxiliar</v>
          </cell>
        </row>
        <row r="1122">
          <cell r="D1122" t="str">
            <v>Aço</v>
          </cell>
        </row>
        <row r="1123">
          <cell r="D1123" t="str">
            <v>Materia Prima Auxiliar</v>
          </cell>
        </row>
      </sheetData>
      <sheetData sheetId="3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xed"/>
      <sheetName val="Local Quality"/>
      <sheetName val="Operations"/>
      <sheetName val="Operations - OverHead"/>
      <sheetName val="Operations - Mantenimiento"/>
      <sheetName val="Operations - Stocks"/>
      <sheetName val="Datos1"/>
      <sheetName val="Dato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K4" t="str">
            <v>Agr5Centro_Agr3Voz</v>
          </cell>
          <cell r="M4" t="str">
            <v>Agr6Centro_Agr3Voz</v>
          </cell>
        </row>
        <row r="5">
          <cell r="K5" t="str">
            <v>Fix - AA17 - STOCK MATERIAL AND DIRECT PURCHASES</v>
          </cell>
          <cell r="M5" t="str">
            <v>Fix - AA1707 - STOCK MATERIAL AND DIRECT PURCHASES</v>
          </cell>
        </row>
        <row r="6">
          <cell r="K6" t="str">
            <v xml:space="preserve">Fix - AA17 - </v>
          </cell>
          <cell r="M6" t="str">
            <v xml:space="preserve">Fix - AA1707 - </v>
          </cell>
        </row>
        <row r="7">
          <cell r="K7" t="str">
            <v>Fix - AA17 - CLUSTER 1</v>
          </cell>
          <cell r="M7" t="str">
            <v>Fix - AA1707 - CLUSTER 1</v>
          </cell>
        </row>
        <row r="8">
          <cell r="K8" t="str">
            <v>Fix - AA17 - CLUSTER 1</v>
          </cell>
          <cell r="M8" t="str">
            <v>Fix - AA1707 - CLUSTER 1</v>
          </cell>
        </row>
        <row r="9">
          <cell r="K9" t="str">
            <v>Fix - AA17 - STOCK MATERIAL AND DIRECT PURCHASES</v>
          </cell>
          <cell r="M9" t="str">
            <v>Fix - AA1707 - STOCK MATERIAL AND DIRECT PURCHASES</v>
          </cell>
        </row>
        <row r="10">
          <cell r="K10" t="str">
            <v>Fix - AA17 - STOCK MATERIAL AND DIRECT PURCHASES</v>
          </cell>
          <cell r="M10" t="str">
            <v>Fix - AA1707 - STOCK MATERIAL AND DIRECT PURCHASES</v>
          </cell>
        </row>
        <row r="11">
          <cell r="K11" t="str">
            <v>Fix - AA17 - OTHERS</v>
          </cell>
          <cell r="M11" t="str">
            <v>Fix - AA1707 - OTHERS</v>
          </cell>
        </row>
        <row r="12">
          <cell r="K12" t="str">
            <v>Fix - AA17 - OTHERS</v>
          </cell>
          <cell r="M12" t="str">
            <v>Fix - AA1707 - OTHERS</v>
          </cell>
        </row>
        <row r="13">
          <cell r="K13" t="str">
            <v>Fix - AA17 - OTHERS</v>
          </cell>
          <cell r="M13" t="str">
            <v>Fix - AA1707 - OTHERS</v>
          </cell>
        </row>
        <row r="14">
          <cell r="K14" t="str">
            <v>Fix - AA17 - OTHERS</v>
          </cell>
          <cell r="M14" t="str">
            <v>Fix - AA1707 - OTHERS</v>
          </cell>
        </row>
        <row r="15">
          <cell r="K15" t="str">
            <v>Fix - AA17 - TRAVELING</v>
          </cell>
          <cell r="M15" t="str">
            <v>Fix - AA1707 - TRAVELING</v>
          </cell>
        </row>
        <row r="16">
          <cell r="K16" t="str">
            <v>Fix - AA17 - TRAVELING</v>
          </cell>
          <cell r="M16" t="str">
            <v>Fix - AA1707 - TRAVELING</v>
          </cell>
        </row>
        <row r="17">
          <cell r="K17" t="str">
            <v>Fix - AA17 - OTHERS</v>
          </cell>
          <cell r="M17" t="str">
            <v>Fix - AA1707 - OTHERS</v>
          </cell>
        </row>
        <row r="18">
          <cell r="K18" t="str">
            <v>Fix - AA17 - PERSONNEL</v>
          </cell>
          <cell r="M18" t="str">
            <v>Fix - AA1707 - PERSONNEL</v>
          </cell>
        </row>
        <row r="19">
          <cell r="K19" t="str">
            <v>Fix - AA17 - OTHERS</v>
          </cell>
          <cell r="M19" t="str">
            <v>Fix - AA1707 - OTHERS</v>
          </cell>
        </row>
        <row r="20">
          <cell r="K20" t="str">
            <v>Fix - AA17 - SERVICES</v>
          </cell>
          <cell r="M20" t="str">
            <v>Fix - AA1707 - SERVICES</v>
          </cell>
        </row>
        <row r="21">
          <cell r="K21" t="str">
            <v>Fix - AA17 - CIVIL WORKS AND MAINTENANCE SERVICE</v>
          </cell>
          <cell r="M21" t="str">
            <v>Fix - AA1707 - CIVIL WORKS AND MAINTENANCE SERVICE</v>
          </cell>
        </row>
        <row r="22">
          <cell r="K22" t="str">
            <v>Fix - AA17 - SERVICES</v>
          </cell>
          <cell r="M22" t="str">
            <v>Fix - AA1707 - SERVICES</v>
          </cell>
        </row>
        <row r="23">
          <cell r="K23" t="str">
            <v>Fix - AA17 - PERSONNEL</v>
          </cell>
          <cell r="M23" t="str">
            <v>Fix - AA1707 - PERSONNEL</v>
          </cell>
        </row>
        <row r="24">
          <cell r="K24" t="str">
            <v xml:space="preserve">Fix - AA17 - </v>
          </cell>
          <cell r="M24" t="str">
            <v xml:space="preserve">Fix - AA1707 - </v>
          </cell>
        </row>
        <row r="25">
          <cell r="K25" t="str">
            <v xml:space="preserve">Fix - AA17 - </v>
          </cell>
          <cell r="M25" t="str">
            <v xml:space="preserve">Fix - AA1707 - </v>
          </cell>
        </row>
        <row r="26">
          <cell r="K26" t="str">
            <v xml:space="preserve">Fix - AA17 - </v>
          </cell>
          <cell r="M26" t="str">
            <v xml:space="preserve">Fix - AA1707 - </v>
          </cell>
        </row>
        <row r="27">
          <cell r="K27" t="str">
            <v xml:space="preserve">Fix - AA17 - </v>
          </cell>
          <cell r="M27" t="str">
            <v xml:space="preserve">Fix - AA1707 - </v>
          </cell>
        </row>
        <row r="28">
          <cell r="K28" t="str">
            <v xml:space="preserve">Fix - AA17 - </v>
          </cell>
          <cell r="M28" t="str">
            <v xml:space="preserve">Fix - AA1707 - </v>
          </cell>
        </row>
        <row r="29">
          <cell r="K29" t="str">
            <v xml:space="preserve">Fix - AA17 - </v>
          </cell>
          <cell r="M29" t="str">
            <v xml:space="preserve">Fix - AA1707 - </v>
          </cell>
        </row>
        <row r="30">
          <cell r="K30" t="str">
            <v xml:space="preserve">Fix - AA17 - </v>
          </cell>
          <cell r="M30" t="str">
            <v xml:space="preserve">Fix - AA1707 - </v>
          </cell>
        </row>
        <row r="31">
          <cell r="K31" t="str">
            <v xml:space="preserve">Fix - AA17 - </v>
          </cell>
          <cell r="M31" t="str">
            <v xml:space="preserve">Fix - AA1707 - </v>
          </cell>
        </row>
        <row r="32">
          <cell r="K32" t="str">
            <v xml:space="preserve">Fix - AA17 - </v>
          </cell>
          <cell r="M32" t="str">
            <v xml:space="preserve">Fix - AA1707 - </v>
          </cell>
        </row>
        <row r="33">
          <cell r="K33" t="str">
            <v xml:space="preserve">Fix - AA17 - </v>
          </cell>
          <cell r="M33" t="str">
            <v xml:space="preserve">Fix - AA1707 - </v>
          </cell>
        </row>
        <row r="34">
          <cell r="K34" t="str">
            <v>Fix - AA17 - STOCK MATERIAL AND DIRECT PURCHASES</v>
          </cell>
          <cell r="M34" t="str">
            <v>Fix - AA1710 - STOCK MATERIAL AND DIRECT PURCHASES</v>
          </cell>
        </row>
        <row r="35">
          <cell r="K35" t="str">
            <v>Fix - AA17 - STOCK MATERIAL AND DIRECT PURCHASES</v>
          </cell>
          <cell r="M35" t="str">
            <v>Fix - AA1710 - STOCK MATERIAL AND DIRECT PURCHASES</v>
          </cell>
        </row>
        <row r="36">
          <cell r="K36" t="str">
            <v xml:space="preserve">Fix - AA17 - </v>
          </cell>
          <cell r="M36" t="str">
            <v xml:space="preserve">Fix - AA1710 - </v>
          </cell>
        </row>
        <row r="37">
          <cell r="K37" t="str">
            <v>Fix - AA17 - CLUSTER 1</v>
          </cell>
          <cell r="M37" t="str">
            <v>Fix - AA1710 - CLUSTER 1</v>
          </cell>
        </row>
        <row r="38">
          <cell r="K38" t="str">
            <v>Fix - AA17 - CLUSTER 1</v>
          </cell>
          <cell r="M38" t="str">
            <v>Fix - AA1710 - CLUSTER 1</v>
          </cell>
        </row>
        <row r="39">
          <cell r="K39" t="str">
            <v>Fix - AA17 - CLUSTER 2</v>
          </cell>
          <cell r="M39" t="str">
            <v>Fix - AA1710 - CLUSTER 2</v>
          </cell>
        </row>
        <row r="40">
          <cell r="K40" t="str">
            <v>Fix - AA17 - CLUSTER 2</v>
          </cell>
          <cell r="M40" t="str">
            <v>Fix - AA1710 - CLUSTER 2</v>
          </cell>
        </row>
        <row r="41">
          <cell r="K41" t="str">
            <v>Fix - AA17 - STOCK MATERIAL AND DIRECT PURCHASES</v>
          </cell>
          <cell r="M41" t="str">
            <v>Fix - AA1710 - STOCK MATERIAL AND DIRECT PURCHASES</v>
          </cell>
        </row>
        <row r="42">
          <cell r="K42" t="str">
            <v>Fix - AA17 - STOCK MATERIAL AND DIRECT PURCHASES</v>
          </cell>
          <cell r="M42" t="str">
            <v>Fix - AA1710 - STOCK MATERIAL AND DIRECT PURCHASES</v>
          </cell>
        </row>
        <row r="43">
          <cell r="K43" t="str">
            <v>Fix - AA17 - OTHERS</v>
          </cell>
          <cell r="M43" t="str">
            <v>Fix - AA1710 - OTHERS</v>
          </cell>
        </row>
        <row r="44">
          <cell r="K44" t="str">
            <v>Fix - AA17 - OTHERS</v>
          </cell>
          <cell r="M44" t="str">
            <v>Fix - AA1710 - OTHERS</v>
          </cell>
        </row>
        <row r="45">
          <cell r="K45" t="str">
            <v>Fix - AA17 - TAXES</v>
          </cell>
          <cell r="M45" t="str">
            <v>Fix - AA1710 - TAXES</v>
          </cell>
        </row>
        <row r="46">
          <cell r="K46" t="str">
            <v>Fix - AA17 - OTHERS</v>
          </cell>
          <cell r="M46" t="str">
            <v>Fix - AA1710 - OTHERS</v>
          </cell>
        </row>
        <row r="47">
          <cell r="K47" t="str">
            <v>Fix - AA17 - OTHERS</v>
          </cell>
          <cell r="M47" t="str">
            <v>Fix - AA1710 - OTHERS</v>
          </cell>
        </row>
        <row r="48">
          <cell r="K48" t="str">
            <v>Fix - AA17 - OTHERS</v>
          </cell>
          <cell r="M48" t="str">
            <v>Fix - AA1710 - OTHERS</v>
          </cell>
        </row>
        <row r="49">
          <cell r="K49" t="str">
            <v>Fix - AA17 - SERVICES</v>
          </cell>
          <cell r="M49" t="str">
            <v>Fix - AA1710 - SERVICES</v>
          </cell>
        </row>
        <row r="50">
          <cell r="K50" t="str">
            <v>Fix - AA17 - PROPERTY, EQUIPMENT &amp; OTHERS RENTING</v>
          </cell>
          <cell r="M50" t="str">
            <v>Fix - AA1710 - PROPERTY, EQUIPMENT &amp; OTHERS RENTING</v>
          </cell>
        </row>
        <row r="51">
          <cell r="K51" t="str">
            <v xml:space="preserve">Fix - AA17 - </v>
          </cell>
          <cell r="M51" t="str">
            <v xml:space="preserve">Fix - AA1710 - </v>
          </cell>
        </row>
        <row r="52">
          <cell r="K52" t="str">
            <v>Fix - AA17 - TRAVELING</v>
          </cell>
          <cell r="M52" t="str">
            <v>Fix - AA1710 - TRAVELING</v>
          </cell>
        </row>
        <row r="53">
          <cell r="K53" t="str">
            <v>Fix - AA17 - TRAVELING</v>
          </cell>
          <cell r="M53" t="str">
            <v>Fix - AA1710 - TRAVELING</v>
          </cell>
        </row>
        <row r="54">
          <cell r="K54" t="str">
            <v>Fix - AA17 - OTHERS</v>
          </cell>
          <cell r="M54" t="str">
            <v>Fix - AA1710 - OTHERS</v>
          </cell>
        </row>
        <row r="55">
          <cell r="K55" t="str">
            <v>Fix - AA17 - PERSONNEL</v>
          </cell>
          <cell r="M55" t="str">
            <v>Fix - AA1710 - PERSONNEL</v>
          </cell>
        </row>
        <row r="56">
          <cell r="K56" t="str">
            <v>Fix - AA17 - PERSONNEL</v>
          </cell>
          <cell r="M56" t="str">
            <v>Fix - AA1710 - PERSONNEL</v>
          </cell>
        </row>
        <row r="57">
          <cell r="K57" t="str">
            <v>Fix - AA17 - OTHERS</v>
          </cell>
          <cell r="M57" t="str">
            <v>Fix - AA1710 - OTHERS</v>
          </cell>
        </row>
        <row r="58">
          <cell r="K58" t="str">
            <v>Fix - AA17 - OTHERS</v>
          </cell>
          <cell r="M58" t="str">
            <v>Fix - AA1710 - OTHERS</v>
          </cell>
        </row>
        <row r="59">
          <cell r="K59" t="str">
            <v>Fix - AA17 - CIVIL WORKS AND MAINTENANCE SERVICE</v>
          </cell>
          <cell r="M59" t="str">
            <v>Fix - AA1710 - CIVIL WORKS AND MAINTENANCE SERVICE</v>
          </cell>
        </row>
        <row r="60">
          <cell r="K60" t="str">
            <v>Fix - AA17 - PERSONNEL</v>
          </cell>
          <cell r="M60" t="str">
            <v>Fix - AA1710 - PERSONNEL</v>
          </cell>
        </row>
        <row r="61">
          <cell r="K61" t="str">
            <v>Fix - AA17 - SERVICES</v>
          </cell>
          <cell r="M61" t="str">
            <v>Fix - AA1710 - SERVICES</v>
          </cell>
        </row>
        <row r="62">
          <cell r="K62" t="str">
            <v>Fix - AA17 - INTERCOMPANY REINVOICING</v>
          </cell>
          <cell r="M62" t="str">
            <v>Fix - AA1710 - INTERCOMPANY REINVOICING</v>
          </cell>
        </row>
        <row r="63">
          <cell r="K63" t="str">
            <v>Fix - AA17 - STOCK MATERIAL AND DIRECT PURCHASES</v>
          </cell>
          <cell r="M63" t="str">
            <v>Fix - AA1710 - STOCK MATERIAL AND DIRECT PURCHASES</v>
          </cell>
        </row>
        <row r="64">
          <cell r="K64" t="str">
            <v>Fix - AA17 - STOCK MATERIAL AND DIRECT PURCHASES</v>
          </cell>
          <cell r="M64" t="str">
            <v>Fix - AA1710 - STOCK MATERIAL AND DIRECT PURCHASES</v>
          </cell>
        </row>
        <row r="65">
          <cell r="K65" t="str">
            <v>Fix - AA17 - OTHERS</v>
          </cell>
          <cell r="M65" t="str">
            <v>Fix - AA1710 - OTHERS</v>
          </cell>
        </row>
        <row r="66">
          <cell r="K66" t="str">
            <v>Fix - AA17 - OTHERS</v>
          </cell>
          <cell r="M66" t="str">
            <v>Fix - AA1710 - OTHERS</v>
          </cell>
        </row>
        <row r="67">
          <cell r="K67" t="str">
            <v>Fix - AA17 - SERVICES</v>
          </cell>
          <cell r="M67" t="str">
            <v>Fix - AA1710 - SERVICES</v>
          </cell>
        </row>
        <row r="68">
          <cell r="K68" t="str">
            <v>Fix - AA17 - TRAVELING</v>
          </cell>
          <cell r="M68" t="str">
            <v>Fix - AA1710 - TRAVELING</v>
          </cell>
        </row>
        <row r="69">
          <cell r="K69" t="str">
            <v>Fix - AA17 - TRAVELING</v>
          </cell>
          <cell r="M69" t="str">
            <v>Fix - AA1710 - TRAVELING</v>
          </cell>
        </row>
        <row r="70">
          <cell r="K70" t="str">
            <v>Fix - AA17 - OTHERS</v>
          </cell>
          <cell r="M70" t="str">
            <v>Fix - AA1710 - OTHERS</v>
          </cell>
        </row>
        <row r="71">
          <cell r="K71" t="str">
            <v>Fix - AA17 - PERSONNEL</v>
          </cell>
          <cell r="M71" t="str">
            <v>Fix - AA1710 - PERSONNEL</v>
          </cell>
        </row>
        <row r="72">
          <cell r="K72" t="str">
            <v>Fix - AA17 - OTHERS</v>
          </cell>
          <cell r="M72" t="str">
            <v>Fix - AA1710 - OTHERS</v>
          </cell>
        </row>
        <row r="73">
          <cell r="K73" t="str">
            <v>Fix - AA17 - OTHERS</v>
          </cell>
          <cell r="M73" t="str">
            <v>Fix - AA1710 - OTHERS</v>
          </cell>
        </row>
        <row r="74">
          <cell r="K74" t="str">
            <v>Fix - AA17 - CIVIL WORKS AND MAINTENANCE SERVICE</v>
          </cell>
          <cell r="M74" t="str">
            <v>Fix - AA1710 - CIVIL WORKS AND MAINTENANCE SERVICE</v>
          </cell>
        </row>
        <row r="75">
          <cell r="K75" t="str">
            <v>Fix - AA17 - CIVIL WORKS AND MAINTENANCE SERVICE</v>
          </cell>
          <cell r="M75" t="str">
            <v>Fix - AA1710 - CIVIL WORKS AND MAINTENANCE SERVICE</v>
          </cell>
        </row>
        <row r="76">
          <cell r="K76" t="str">
            <v xml:space="preserve">Fix - AA17 - </v>
          </cell>
          <cell r="M76" t="str">
            <v xml:space="preserve">Fix - AA1710 - </v>
          </cell>
        </row>
        <row r="77">
          <cell r="K77" t="str">
            <v xml:space="preserve">Fix - AA17 - </v>
          </cell>
          <cell r="M77" t="str">
            <v xml:space="preserve">Fix - AA1710 - </v>
          </cell>
        </row>
        <row r="78">
          <cell r="K78" t="str">
            <v>Fix - AA17 - STOCK MATERIAL AND DIRECT PURCHASES</v>
          </cell>
          <cell r="M78" t="str">
            <v>Fix - AA1712 - STOCK MATERIAL AND DIRECT PURCHASES</v>
          </cell>
        </row>
        <row r="79">
          <cell r="K79" t="str">
            <v xml:space="preserve">Fix - AA17 - </v>
          </cell>
          <cell r="M79" t="str">
            <v xml:space="preserve">Fix - AA1712 - </v>
          </cell>
        </row>
        <row r="80">
          <cell r="K80" t="str">
            <v>Fix - AA17 - CLUSTER 1</v>
          </cell>
          <cell r="M80" t="str">
            <v>Fix - AA1712 - CLUSTER 1</v>
          </cell>
        </row>
        <row r="81">
          <cell r="K81" t="str">
            <v>Fix - AA17 - CLUSTER 1</v>
          </cell>
          <cell r="M81" t="str">
            <v>Fix - AA1712 - CLUSTER 1</v>
          </cell>
        </row>
        <row r="82">
          <cell r="K82" t="str">
            <v>Fix - AA17 - STOCK MATERIAL AND DIRECT PURCHASES</v>
          </cell>
          <cell r="M82" t="str">
            <v>Fix - AA1712 - STOCK MATERIAL AND DIRECT PURCHASES</v>
          </cell>
        </row>
        <row r="83">
          <cell r="K83" t="str">
            <v xml:space="preserve">Fix - AA17 - </v>
          </cell>
          <cell r="M83" t="str">
            <v xml:space="preserve">Fix - AA1712 - </v>
          </cell>
        </row>
        <row r="84">
          <cell r="K84" t="str">
            <v>Fix - AA17 - OTHERS</v>
          </cell>
          <cell r="M84" t="str">
            <v>Fix - AA1712 - OTHERS</v>
          </cell>
        </row>
        <row r="85">
          <cell r="K85" t="str">
            <v>Fix - AA17 - OTHERS</v>
          </cell>
          <cell r="M85" t="str">
            <v>Fix - AA1712 - OTHERS</v>
          </cell>
        </row>
        <row r="86">
          <cell r="K86" t="str">
            <v>Fix - AA17 - SERVICES</v>
          </cell>
          <cell r="M86" t="str">
            <v>Fix - AA1712 - SERVICES</v>
          </cell>
        </row>
        <row r="87">
          <cell r="K87" t="str">
            <v>Fix - AA17 - PERSONNEL</v>
          </cell>
          <cell r="M87" t="str">
            <v>Fix - AA1712 - PERSONNEL</v>
          </cell>
        </row>
        <row r="88">
          <cell r="K88" t="str">
            <v>Fix - AA17 - PROPERTY, EQUIPMENT &amp; OTHERS RENTING</v>
          </cell>
          <cell r="M88" t="str">
            <v>Fix - AA1712 - PROPERTY, EQUIPMENT &amp; OTHERS RENTING</v>
          </cell>
        </row>
        <row r="89">
          <cell r="K89" t="str">
            <v xml:space="preserve">Fix - AA17 - </v>
          </cell>
          <cell r="M89" t="str">
            <v xml:space="preserve">Fix - AA1712 - </v>
          </cell>
        </row>
        <row r="90">
          <cell r="K90" t="str">
            <v>Fix - AA17 - TRAVELING</v>
          </cell>
          <cell r="M90" t="str">
            <v>Fix - AA1712 - TRAVELING</v>
          </cell>
        </row>
        <row r="91">
          <cell r="K91" t="str">
            <v>Fix - AA17 - TRAVELING</v>
          </cell>
          <cell r="M91" t="str">
            <v>Fix - AA1712 - TRAVELING</v>
          </cell>
        </row>
        <row r="92">
          <cell r="K92" t="str">
            <v>Fix - AA17 - OTHERS</v>
          </cell>
          <cell r="M92" t="str">
            <v>Fix - AA1712 - OTHERS</v>
          </cell>
        </row>
        <row r="93">
          <cell r="K93" t="str">
            <v>Fix - AA17 - OTHERS</v>
          </cell>
          <cell r="M93" t="str">
            <v>Fix - AA1712 - OTHERS</v>
          </cell>
        </row>
        <row r="94">
          <cell r="K94" t="str">
            <v>Fix - AA17 - OTHERS</v>
          </cell>
          <cell r="M94" t="str">
            <v>Fix - AA1712 - OTHERS</v>
          </cell>
        </row>
        <row r="95">
          <cell r="K95" t="str">
            <v>Fix - AA17 - CIVIL WORKS AND MAINTENANCE SERVICE</v>
          </cell>
          <cell r="M95" t="str">
            <v>Fix - AA1712 - CIVIL WORKS AND MAINTENANCE SERVICE</v>
          </cell>
        </row>
        <row r="96">
          <cell r="K96" t="str">
            <v>Fix - AA17 - OWN SIMBOLIZED SERVICES</v>
          </cell>
          <cell r="M96" t="str">
            <v>Fix - AA1712 - OWN SIMBOLIZED SERVICES</v>
          </cell>
        </row>
        <row r="97">
          <cell r="K97" t="str">
            <v>Fix - AA17 - OWN SIMBOLIZED SERVICES</v>
          </cell>
          <cell r="M97" t="str">
            <v>Fix - AA1712 - OWN SIMBOLIZED SERVICES</v>
          </cell>
        </row>
        <row r="98">
          <cell r="K98" t="str">
            <v xml:space="preserve">Fix - AA17 - </v>
          </cell>
          <cell r="M98" t="str">
            <v xml:space="preserve">Fix - AA1712 - </v>
          </cell>
        </row>
        <row r="99">
          <cell r="K99" t="str">
            <v>Fix - AA17 - STOCK MATERIAL AND DIRECT PURCHASES</v>
          </cell>
          <cell r="M99" t="str">
            <v>Fix - AA1714 - STOCK MATERIAL AND DIRECT PURCHASES</v>
          </cell>
        </row>
        <row r="100">
          <cell r="K100" t="str">
            <v>Fix - AA17 - STOCK MATERIAL AND DIRECT PURCHASES</v>
          </cell>
          <cell r="M100" t="str">
            <v>Fix - AA1714 - STOCK MATERIAL AND DIRECT PURCHASES</v>
          </cell>
        </row>
        <row r="101">
          <cell r="K101" t="str">
            <v xml:space="preserve">Fix - AA17 - </v>
          </cell>
          <cell r="M101" t="str">
            <v xml:space="preserve">Fix - AA1714 - </v>
          </cell>
        </row>
        <row r="102">
          <cell r="K102" t="str">
            <v>Fix - AA17 - CLUSTER 1</v>
          </cell>
          <cell r="M102" t="str">
            <v>Fix - AA1714 - CLUSTER 1</v>
          </cell>
        </row>
        <row r="103">
          <cell r="K103" t="str">
            <v>Fix - AA17 - CLUSTER 1</v>
          </cell>
          <cell r="M103" t="str">
            <v>Fix - AA1714 - CLUSTER 1</v>
          </cell>
        </row>
        <row r="104">
          <cell r="K104" t="str">
            <v>Fix - AA17 - STOCK MATERIAL AND DIRECT PURCHASES</v>
          </cell>
          <cell r="M104" t="str">
            <v>Fix - AA1714 - STOCK MATERIAL AND DIRECT PURCHASES</v>
          </cell>
        </row>
        <row r="105">
          <cell r="K105" t="str">
            <v>Fix - AA17 - OTHERS</v>
          </cell>
          <cell r="M105" t="str">
            <v>Fix - AA1714 - OTHERS</v>
          </cell>
        </row>
        <row r="106">
          <cell r="K106" t="str">
            <v>Fix - AA17 - OTHERS</v>
          </cell>
          <cell r="M106" t="str">
            <v>Fix - AA1714 - OTHERS</v>
          </cell>
        </row>
        <row r="107">
          <cell r="K107" t="str">
            <v>Fix - AA17 - OTHERS</v>
          </cell>
          <cell r="M107" t="str">
            <v>Fix - AA1714 - OTHERS</v>
          </cell>
        </row>
        <row r="108">
          <cell r="K108" t="str">
            <v>Fix - AA17 - OTHERS</v>
          </cell>
          <cell r="M108" t="str">
            <v>Fix - AA1714 - OTHERS</v>
          </cell>
        </row>
        <row r="109">
          <cell r="K109" t="str">
            <v>Fix - AA17 - SERVICES</v>
          </cell>
          <cell r="M109" t="str">
            <v>Fix - AA1714 - SERVICES</v>
          </cell>
        </row>
        <row r="110">
          <cell r="K110" t="str">
            <v xml:space="preserve">Fix - AA17 - </v>
          </cell>
          <cell r="M110" t="str">
            <v xml:space="preserve">Fix - AA1714 - </v>
          </cell>
        </row>
        <row r="111">
          <cell r="K111" t="str">
            <v>Fix - AA17 - TRAVELING</v>
          </cell>
          <cell r="M111" t="str">
            <v>Fix - AA1714 - TRAVELING</v>
          </cell>
        </row>
        <row r="112">
          <cell r="K112" t="str">
            <v>Fix - AA17 - TRAVELING</v>
          </cell>
          <cell r="M112" t="str">
            <v>Fix - AA1714 - TRAVELING</v>
          </cell>
        </row>
        <row r="113">
          <cell r="K113" t="str">
            <v>Fix - AA17 - OTHERS</v>
          </cell>
          <cell r="M113" t="str">
            <v>Fix - AA1714 - OTHERS</v>
          </cell>
        </row>
        <row r="114">
          <cell r="K114" t="str">
            <v>Fix - AA17 - OTHERS</v>
          </cell>
          <cell r="M114" t="str">
            <v>Fix - AA1714 - OTHERS</v>
          </cell>
        </row>
        <row r="115">
          <cell r="K115" t="str">
            <v>Fix - AA17 - OTHERS</v>
          </cell>
          <cell r="M115" t="str">
            <v>Fix - AA1714 - OTHERS</v>
          </cell>
        </row>
        <row r="116">
          <cell r="K116" t="str">
            <v>Fix - AA17 - CIVIL WORKS AND MAINTENANCE SERVICE</v>
          </cell>
          <cell r="M116" t="str">
            <v>Fix - AA1714 - CIVIL WORKS AND MAINTENANCE SERVICE</v>
          </cell>
        </row>
        <row r="117">
          <cell r="K117" t="str">
            <v>Fix - AA17 - SERVICES</v>
          </cell>
          <cell r="M117" t="str">
            <v>Fix - AA1714 - SERVICES</v>
          </cell>
        </row>
        <row r="118">
          <cell r="K118" t="str">
            <v xml:space="preserve">Fix - AA17 - </v>
          </cell>
          <cell r="M118" t="str">
            <v xml:space="preserve">Fix - AA1714 - </v>
          </cell>
        </row>
        <row r="119">
          <cell r="K119" t="str">
            <v xml:space="preserve">Fix - AA17 - </v>
          </cell>
          <cell r="M119" t="str">
            <v xml:space="preserve">Fix - AA1714 - </v>
          </cell>
        </row>
        <row r="120">
          <cell r="K120" t="str">
            <v xml:space="preserve">Fix - AA17 - </v>
          </cell>
          <cell r="M120" t="str">
            <v xml:space="preserve">Fix - AA1714 - </v>
          </cell>
        </row>
        <row r="121">
          <cell r="K121" t="str">
            <v xml:space="preserve">Fix - AA17 - </v>
          </cell>
          <cell r="M121" t="str">
            <v xml:space="preserve">Fix - AA1714 - </v>
          </cell>
        </row>
        <row r="122">
          <cell r="K122" t="str">
            <v xml:space="preserve">Fix - AA17 - </v>
          </cell>
          <cell r="M122" t="str">
            <v xml:space="preserve">Fix - AA1714 - </v>
          </cell>
        </row>
        <row r="123">
          <cell r="K123" t="str">
            <v xml:space="preserve">Fix - AA17 - </v>
          </cell>
          <cell r="M123" t="str">
            <v xml:space="preserve">Fix - AA1714 - </v>
          </cell>
        </row>
        <row r="124">
          <cell r="K124" t="str">
            <v xml:space="preserve">Fix - AA17 - </v>
          </cell>
          <cell r="M124" t="str">
            <v xml:space="preserve">Fix - AA1714 - </v>
          </cell>
        </row>
        <row r="125">
          <cell r="K125" t="str">
            <v xml:space="preserve">Fix - AA17 - </v>
          </cell>
          <cell r="M125" t="str">
            <v xml:space="preserve">Fix - AA1714 - </v>
          </cell>
        </row>
        <row r="126">
          <cell r="K126" t="str">
            <v xml:space="preserve">Fix - AA17 - </v>
          </cell>
          <cell r="M126" t="str">
            <v xml:space="preserve">Fix - AA1714 - </v>
          </cell>
        </row>
        <row r="127">
          <cell r="K127" t="str">
            <v xml:space="preserve">Fix - AA17 - </v>
          </cell>
          <cell r="M127" t="str">
            <v xml:space="preserve">Fix - AA1714 - </v>
          </cell>
        </row>
      </sheetData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FYG"/>
      <sheetName val="Fixed"/>
      <sheetName val="Local Quality"/>
      <sheetName val="Operations"/>
      <sheetName val="Operations - OverHead"/>
      <sheetName val="Operations - Mantenimiento"/>
      <sheetName val="Operations - Stocks"/>
      <sheetName val="Dato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N4" t="str">
            <v>Agr7Centro_Agr3Voz</v>
          </cell>
        </row>
        <row r="5">
          <cell r="N5" t="str">
            <v>Fix - AA1707 - STOCK MATERIAL AND DIRECT PURCHASES</v>
          </cell>
        </row>
        <row r="6">
          <cell r="N6" t="str">
            <v>Fix - AA1707 - STOCK MATERIAL AND DIRECT PURCHASES</v>
          </cell>
        </row>
        <row r="7">
          <cell r="N7" t="str">
            <v>Fix - AA1707 - STOCK MATERIAL AND DIRECT PURCHASES</v>
          </cell>
        </row>
        <row r="8">
          <cell r="N8" t="str">
            <v>Fix - AA1707 - STOCK MATERIAL AND DIRECT PURCHASES</v>
          </cell>
        </row>
        <row r="9">
          <cell r="N9" t="str">
            <v>Fix - AA1707 - STOCK MATERIAL AND DIRECT PURCHASES</v>
          </cell>
        </row>
        <row r="10">
          <cell r="N10" t="str">
            <v>Fix - AA1707 - CLUSTER 1</v>
          </cell>
        </row>
        <row r="11">
          <cell r="N11" t="str">
            <v>Fix - AA1707 - CLUSTER 1</v>
          </cell>
        </row>
        <row r="12">
          <cell r="N12" t="str">
            <v>Fix - AA1707 - STOCK MATERIAL AND DIRECT PURCHASES</v>
          </cell>
        </row>
        <row r="13">
          <cell r="N13" t="str">
            <v>Fix - AA1707 - STOCK MATERIAL AND DIRECT PURCHASES</v>
          </cell>
        </row>
        <row r="14">
          <cell r="N14" t="str">
            <v>Fix - AA1707 - STOCK MATERIAL AND DIRECT PURCHASES</v>
          </cell>
        </row>
        <row r="15">
          <cell r="N15" t="str">
            <v>Fix - AA1707 - OFFICE EXPENSES</v>
          </cell>
        </row>
        <row r="16">
          <cell r="N16" t="str">
            <v>Fix - AA1707 - OTHERS EXPENSES-VARIOUS</v>
          </cell>
        </row>
        <row r="17">
          <cell r="N17" t="str">
            <v>Fix - AA1707 - OTHERS EXPENSES-VARIOUS</v>
          </cell>
        </row>
        <row r="18">
          <cell r="N18" t="str">
            <v>Fix - AA1707 - OTHERS EXPENSES-VARIOUS</v>
          </cell>
        </row>
        <row r="19">
          <cell r="N19" t="str">
            <v>Fix - AA1707 - TRAVELING EXPENSES</v>
          </cell>
        </row>
        <row r="20">
          <cell r="N20" t="str">
            <v>Fix - AA1707 - TRAVELING EXPENSES</v>
          </cell>
        </row>
        <row r="21">
          <cell r="N21" t="str">
            <v>Fix - AA1707 - TRAVELING EXPENSES</v>
          </cell>
        </row>
        <row r="22">
          <cell r="N22" t="str">
            <v>Fix - AA1707 - TRAVELING EXPENSES</v>
          </cell>
        </row>
        <row r="23">
          <cell r="N23" t="str">
            <v>Fix - AA1707 - OFFICE EXPENSES</v>
          </cell>
        </row>
        <row r="24">
          <cell r="N24" t="str">
            <v>Fix - AA1707 - THIRD PARTIES SERVICES</v>
          </cell>
        </row>
        <row r="25">
          <cell r="N25" t="str">
            <v>Fix - AA1707 - OFFICE EXPENSES</v>
          </cell>
        </row>
        <row r="26">
          <cell r="N26" t="str">
            <v>Fix - AA1707 - OTHERS EXPENSES-VARIOUS</v>
          </cell>
        </row>
        <row r="27">
          <cell r="N27" t="str">
            <v>Fix - AA1707 - THIRD PARTIES SERVICES</v>
          </cell>
        </row>
        <row r="28">
          <cell r="N28" t="str">
            <v>Fix - AA1707 - OWN SIMBOLIZED SERVICES</v>
          </cell>
        </row>
        <row r="29">
          <cell r="N29" t="str">
            <v>Fix - AA1707 - CLUSTER 1</v>
          </cell>
        </row>
        <row r="30">
          <cell r="N30" t="str">
            <v>Fix - AA1710 - STOCK MATERIAL AND DIRECT PURCHASES</v>
          </cell>
        </row>
        <row r="31">
          <cell r="N31" t="str">
            <v>Fix - AA1710 - STOCK MATERIAL AND DIRECT PURCHASES</v>
          </cell>
        </row>
        <row r="32">
          <cell r="N32" t="str">
            <v>Fix - AA1710 - STOCK MATERIAL AND DIRECT PURCHASES</v>
          </cell>
        </row>
        <row r="33">
          <cell r="N33" t="str">
            <v>Fix - AA1710 - STOCK MATERIAL AND DIRECT PURCHASES</v>
          </cell>
        </row>
        <row r="34">
          <cell r="N34" t="str">
            <v>Fix - AA1710 - STOCK MATERIAL AND DIRECT PURCHASES</v>
          </cell>
        </row>
        <row r="35">
          <cell r="N35" t="str">
            <v>Fix - AA1710 - CLUSTER 1</v>
          </cell>
        </row>
        <row r="36">
          <cell r="N36" t="str">
            <v>Fix - AA1710 - CLUSTER 1</v>
          </cell>
        </row>
        <row r="37">
          <cell r="N37" t="str">
            <v>Fix - AA1710 - CLUSTER 2</v>
          </cell>
        </row>
        <row r="38">
          <cell r="N38" t="str">
            <v>Fix - AA1710 - CLUSTER 2</v>
          </cell>
        </row>
        <row r="39">
          <cell r="N39" t="str">
            <v>Fix - AA1710 - STOCK MATERIAL AND DIRECT PURCHASES</v>
          </cell>
        </row>
        <row r="40">
          <cell r="N40" t="str">
            <v>Fix - AA1710 - STOCK MATERIAL AND DIRECT PURCHASES</v>
          </cell>
        </row>
        <row r="41">
          <cell r="N41" t="str">
            <v>Fix - AA1710 - OFFICE EXPENSES</v>
          </cell>
        </row>
        <row r="42">
          <cell r="N42" t="str">
            <v>Fix - AA1710 - OFFICE EXPENSES</v>
          </cell>
        </row>
        <row r="43">
          <cell r="N43" t="str">
            <v>Fix - AA1710 - TAXES</v>
          </cell>
        </row>
        <row r="44">
          <cell r="N44" t="str">
            <v>Fix - AA1710 - OTHERS EXPENSES-VARIOUS</v>
          </cell>
        </row>
        <row r="45">
          <cell r="N45" t="str">
            <v>Fix - AA1710 - OTHERS EXPENSES-VARIOUS</v>
          </cell>
        </row>
        <row r="46">
          <cell r="N46" t="str">
            <v>Fix - AA1710 - OTHERS EXPENSES-VARIOUS</v>
          </cell>
        </row>
        <row r="47">
          <cell r="N47" t="str">
            <v>Fix - AA1710 - TRAVELING EXPENSES</v>
          </cell>
        </row>
        <row r="48">
          <cell r="N48" t="str">
            <v>Fix - AA1710 - TRAVELING EXPENSES</v>
          </cell>
        </row>
        <row r="49">
          <cell r="N49" t="str">
            <v>Fix - AA1710 - PROPERTY, EQUIPMENT &amp; OTHERS RENTING</v>
          </cell>
        </row>
        <row r="50">
          <cell r="N50" t="str">
            <v>Fix - AA1710 - PROPERTY, EQUIPMENT &amp; OTHERS RENTING</v>
          </cell>
        </row>
        <row r="51">
          <cell r="N51" t="str">
            <v>Fix - AA1710 - TRAINING</v>
          </cell>
        </row>
        <row r="52">
          <cell r="N52" t="str">
            <v>Fix - AA1710 - TRAINING</v>
          </cell>
        </row>
        <row r="53">
          <cell r="N53" t="str">
            <v>Fix - AA1710 - TRAVELING EXPENSES</v>
          </cell>
        </row>
        <row r="54">
          <cell r="N54" t="str">
            <v>Fix - AA1710 - TRAVELING EXPENSES</v>
          </cell>
        </row>
        <row r="55">
          <cell r="N55" t="str">
            <v>Fix - AA1710 - OFFICE EXPENSES</v>
          </cell>
        </row>
        <row r="56">
          <cell r="N56" t="str">
            <v>Fix - AA1710 - OFFICE EXPENSES</v>
          </cell>
        </row>
        <row r="57">
          <cell r="N57" t="str">
            <v>Fix - AA1710 - THIRD PARTIES SERVICES</v>
          </cell>
        </row>
        <row r="58">
          <cell r="N58" t="str">
            <v>Fix - AA1710 - OFFICE EXPENSES</v>
          </cell>
        </row>
        <row r="59">
          <cell r="N59" t="str">
            <v>Fix - AA1710 - OFFICE EXPENSES</v>
          </cell>
        </row>
        <row r="60">
          <cell r="N60" t="str">
            <v>Fix - AA1710 - ADVERTISING &amp; EVENTS</v>
          </cell>
        </row>
        <row r="61">
          <cell r="N61" t="str">
            <v>Fix - AA1710 - OTHERS EXPENSES-VARIOUS</v>
          </cell>
        </row>
        <row r="62">
          <cell r="N62" t="str">
            <v>Fix - AA1710 - THIRD PARTIES SERVICES</v>
          </cell>
        </row>
        <row r="63">
          <cell r="N63" t="str">
            <v>Fix - AA1710 - COMMUNICATIONS</v>
          </cell>
        </row>
        <row r="64">
          <cell r="N64" t="str">
            <v>Fix - AA1710 - PROFESSIONAL SERVICES</v>
          </cell>
        </row>
        <row r="65">
          <cell r="N65" t="str">
            <v>Fix - AA1710 - LEGAL CONSULTANCY</v>
          </cell>
        </row>
        <row r="66">
          <cell r="N66" t="str">
            <v>Fix - AA1710 - OWN SIMBOLIZED SERVICES</v>
          </cell>
        </row>
        <row r="67">
          <cell r="N67" t="str">
            <v>Fix - AA1710 - CIVIL WORKS / MAINT SERV</v>
          </cell>
        </row>
        <row r="68">
          <cell r="N68" t="str">
            <v>Fix - AA1710 - THIRD PARTIES SERVICES</v>
          </cell>
        </row>
        <row r="69">
          <cell r="N69" t="str">
            <v>Fix - AA1710 - THIRD PARTIES SERVICES</v>
          </cell>
        </row>
        <row r="70">
          <cell r="N70" t="str">
            <v>Fix - AA1710 - THIRD PARTIES SERVICES</v>
          </cell>
        </row>
        <row r="71">
          <cell r="N71" t="str">
            <v>Fix - AA1710 - THIRD PARTIES SERVICES</v>
          </cell>
        </row>
        <row r="72">
          <cell r="N72" t="str">
            <v>Fix - AA1710 - OWN SIMBOLIZED SERVICES</v>
          </cell>
        </row>
        <row r="73">
          <cell r="N73" t="str">
            <v>Fix - AA1710 - CLUSTER 1</v>
          </cell>
        </row>
        <row r="74">
          <cell r="N74" t="str">
            <v>Fix - AA1710 - CLUSTER 2</v>
          </cell>
        </row>
        <row r="75">
          <cell r="N75" t="str">
            <v>Fix - AA1710 - STOCK MATERIAL AND DIRECT PURCHASES</v>
          </cell>
        </row>
        <row r="76">
          <cell r="N76" t="str">
            <v>Fix - AA1710 - STOCK MATERIAL AND DIRECT PURCHASES</v>
          </cell>
        </row>
        <row r="77">
          <cell r="N77" t="str">
            <v>Fix - AA1710 - STOCK MATERIAL AND DIRECT PURCHASES</v>
          </cell>
        </row>
        <row r="78">
          <cell r="N78" t="str">
            <v>Fix - AA1710 - STOCK MATERIAL AND DIRECT PURCHASES</v>
          </cell>
        </row>
        <row r="79">
          <cell r="N79" t="str">
            <v>Fix - AA1710 - STOCK MATERIAL AND DIRECT PURCHASES</v>
          </cell>
        </row>
        <row r="80">
          <cell r="N80" t="str">
            <v>Fix - AA1710 - CLUSTER 1</v>
          </cell>
        </row>
        <row r="81">
          <cell r="N81" t="str">
            <v>Fix - AA1710 - CLUSTER 1</v>
          </cell>
        </row>
        <row r="82">
          <cell r="N82" t="str">
            <v>Fix - AA1710 - STOCK MATERIAL AND DIRECT PURCHASES</v>
          </cell>
        </row>
        <row r="83">
          <cell r="N83" t="str">
            <v>Fix - AA1710 - OFFICE EXPENSES</v>
          </cell>
        </row>
        <row r="84">
          <cell r="N84" t="str">
            <v>Fix - AA1710 - OTHERS EXPENSES-VARIOUS</v>
          </cell>
        </row>
        <row r="85">
          <cell r="N85" t="str">
            <v>Fix - AA1710 - TRAVELING EXPENSES</v>
          </cell>
        </row>
        <row r="86">
          <cell r="N86" t="str">
            <v>Fix - AA1710 - TRAVELING EXPENSES</v>
          </cell>
        </row>
        <row r="87">
          <cell r="N87" t="str">
            <v>Fix - AA1710 - TRAVELING EXPENSES</v>
          </cell>
        </row>
        <row r="88">
          <cell r="N88" t="str">
            <v>Fix - AA1710 - OFFICE EXPENSES</v>
          </cell>
        </row>
        <row r="89">
          <cell r="N89" t="str">
            <v>Fix - AA1710 - OFFICE EXPENSES</v>
          </cell>
        </row>
        <row r="90">
          <cell r="N90" t="str">
            <v>Fix - AA1710 - OTHERS EXPENSES-VARIOUS</v>
          </cell>
        </row>
        <row r="91">
          <cell r="N91" t="str">
            <v>Fix - AA1710 - THIRD PARTIES SERVICES</v>
          </cell>
        </row>
        <row r="92">
          <cell r="N92" t="str">
            <v>Fix - AA1710 - OWN SIMBOLIZED SERVICES</v>
          </cell>
        </row>
        <row r="93">
          <cell r="N93" t="str">
            <v>Fix - AA1710 - OWN SIMBOLIZED SERVICES</v>
          </cell>
        </row>
        <row r="94">
          <cell r="N94" t="str">
            <v>Fix - AA1710 - ENVIROMENTAL RELATED SERV</v>
          </cell>
        </row>
        <row r="95">
          <cell r="N95" t="str">
            <v>Fix - AA1710 - CLUSTER 1</v>
          </cell>
        </row>
        <row r="96">
          <cell r="N96" t="str">
            <v>Fix - AA1712 - STOCK MATERIAL AND DIRECT PURCHASES</v>
          </cell>
        </row>
        <row r="97">
          <cell r="N97" t="str">
            <v>Fix - AA1712 - STOCK MATERIAL AND DIRECT PURCHASES</v>
          </cell>
        </row>
        <row r="98">
          <cell r="N98" t="str">
            <v>Fix - AA1712 - STOCK MATERIAL AND DIRECT PURCHASES</v>
          </cell>
        </row>
        <row r="99">
          <cell r="N99" t="str">
            <v>Fix - AA1712 - CLUSTER 1</v>
          </cell>
        </row>
        <row r="100">
          <cell r="N100" t="str">
            <v>Fix - AA1712 - STOCK MATERIAL AND DIRECT PURCHASES</v>
          </cell>
        </row>
        <row r="101">
          <cell r="N101" t="str">
            <v>Fix - AA1712 - OFFICE EXPENSES</v>
          </cell>
        </row>
        <row r="102">
          <cell r="N102" t="str">
            <v>Fix - AA1712 - OTHERS EXPENSES-VARIOUS</v>
          </cell>
        </row>
        <row r="103">
          <cell r="N103" t="str">
            <v>Fix - AA1712 - TRAVELING EXPENSES</v>
          </cell>
        </row>
        <row r="104">
          <cell r="N104" t="str">
            <v>Fix - AA1712 - TRAVELING EXPENSES</v>
          </cell>
        </row>
        <row r="105">
          <cell r="N105" t="str">
            <v>Fix - AA1712 - EXPATRIATES BENEFITS</v>
          </cell>
        </row>
        <row r="106">
          <cell r="N106" t="str">
            <v>Fix - AA1712 - TRAVELING EXPENSES</v>
          </cell>
        </row>
        <row r="107">
          <cell r="N107" t="str">
            <v>Fix - AA1712 - OFFICE EXPENSES</v>
          </cell>
        </row>
        <row r="108">
          <cell r="N108" t="str">
            <v>Fix - AA1712 - OFFICE EXPENSES</v>
          </cell>
        </row>
        <row r="109">
          <cell r="N109" t="str">
            <v>Fix - AA1712 - OFFICE EXPENSES</v>
          </cell>
        </row>
        <row r="110">
          <cell r="N110" t="str">
            <v>Fix - AA1712 - OTHERS EXPENSES-VARIOUS</v>
          </cell>
        </row>
        <row r="111">
          <cell r="N111" t="str">
            <v>Fix - AA1712 - THIRD PARTIES SERVICES</v>
          </cell>
        </row>
        <row r="112">
          <cell r="N112" t="str">
            <v>Fix - AA1712 - OWN SIMBOLIZED SERVICES</v>
          </cell>
        </row>
        <row r="113">
          <cell r="N113" t="str">
            <v>Fix - AA1712 - OWN SIMBOLIZED SERVICES</v>
          </cell>
        </row>
        <row r="114">
          <cell r="N114" t="str">
            <v>Fix - AA1714 - STOCK MATERIAL AND DIRECT PURCHASES</v>
          </cell>
        </row>
        <row r="115">
          <cell r="N115" t="str">
            <v>Fix - AA1714 - STOCK MATERIAL AND DIRECT PURCHASES</v>
          </cell>
        </row>
        <row r="116">
          <cell r="N116" t="str">
            <v>Fix - AA1714 - STOCK MATERIAL AND DIRECT PURCHASES</v>
          </cell>
        </row>
        <row r="117">
          <cell r="N117" t="str">
            <v>Fix - AA1714 - STOCK MATERIAL AND DIRECT PURCHASES</v>
          </cell>
        </row>
        <row r="118">
          <cell r="N118" t="str">
            <v>Fix - AA1714 - STOCK MATERIAL AND DIRECT PURCHASES</v>
          </cell>
        </row>
        <row r="119">
          <cell r="N119" t="str">
            <v>Fix - AA1714 - CLUSTER 1</v>
          </cell>
        </row>
        <row r="120">
          <cell r="N120" t="str">
            <v>Fix - AA1714 - CLUSTER 1</v>
          </cell>
        </row>
        <row r="121">
          <cell r="N121" t="str">
            <v>Fix - AA1714 - STOCK MATERIAL AND DIRECT PURCHASES</v>
          </cell>
        </row>
        <row r="122">
          <cell r="N122" t="str">
            <v>Fix - AA1714 - OFFICE EXPENSES</v>
          </cell>
        </row>
        <row r="123">
          <cell r="N123" t="str">
            <v>Fix - AA1714 - OTHERS EXPENSES-VARIOUS</v>
          </cell>
        </row>
        <row r="124">
          <cell r="N124" t="str">
            <v>Fix - AA1714 - OTHERS EXPENSES-VARIOUS</v>
          </cell>
        </row>
        <row r="125">
          <cell r="N125" t="str">
            <v>Fix - AA1714 - TRAVELING EXPENSES</v>
          </cell>
        </row>
        <row r="126">
          <cell r="N126" t="str">
            <v>Fix - AA1714 - TRAINING</v>
          </cell>
        </row>
        <row r="127">
          <cell r="N127" t="str">
            <v>Fix - AA1714 - TRAVELING EXPENSES</v>
          </cell>
        </row>
        <row r="128">
          <cell r="N128" t="str">
            <v>Fix - AA1714 - OFFICE EXPENSES</v>
          </cell>
        </row>
        <row r="129">
          <cell r="N129" t="str">
            <v>Fix - AA1714 - OFFICE EXPENSES</v>
          </cell>
        </row>
        <row r="130">
          <cell r="N130" t="str">
            <v>Fix - AA1714 - THIRD PARTIES SERVICES</v>
          </cell>
        </row>
        <row r="131">
          <cell r="N131" t="str">
            <v>Fix - AA1714 - OFFICE EXPENSES</v>
          </cell>
        </row>
        <row r="132">
          <cell r="N132" t="str">
            <v>Fix - AA1714 - OFFICE EXPENSES</v>
          </cell>
        </row>
        <row r="133">
          <cell r="N133" t="str">
            <v>Fix - AA1714 - OTHERS EXPENSES-VARIOUS</v>
          </cell>
        </row>
        <row r="134">
          <cell r="N134" t="str">
            <v>Fix - AA1714 - THIRD PARTIES SERVICES</v>
          </cell>
        </row>
        <row r="135">
          <cell r="N135" t="str">
            <v>Fix - AA1714 - CLUSTER 1</v>
          </cell>
        </row>
        <row r="136">
          <cell r="N136" t="str">
            <v>Fix - AA1714 - CLUSTER 1</v>
          </cell>
        </row>
        <row r="137">
          <cell r="N137" t="str">
            <v>Fix - AA1714 - CLUSTER 1</v>
          </cell>
        </row>
        <row r="138">
          <cell r="N138" t="str">
            <v>Fix - AA1714 - THIRD PARTIES SERVICES</v>
          </cell>
        </row>
        <row r="139">
          <cell r="N139" t="str">
            <v>Fix - AA1714 - LOCAL EMPLOYEE BENEFITS</v>
          </cell>
        </row>
        <row r="140">
          <cell r="N140" t="str">
            <v>Fix - AA1714 - CLUSTER 1</v>
          </cell>
        </row>
        <row r="141">
          <cell r="N141" t="str">
            <v>Fix - AA1714 - CLUSTER 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CONSU.XLS"/>
      <sheetName val="CARATFAT-2"/>
      <sheetName val="INDICE"/>
      <sheetName val="INSUMOS.XLS"/>
      <sheetName val="INSUCANT.X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GO"/>
      <sheetName val="CC3"/>
      <sheetName val="Graf_AGO"/>
      <sheetName val="Graf_datos"/>
      <sheetName val="Graf cel"/>
      <sheetName val="DATOS"/>
      <sheetName val="DATOSACE-G2"/>
      <sheetName val="DATOSREDI-G2"/>
      <sheetName val="DATOSH4-G2"/>
      <sheetName val="DATOSH5-G2"/>
      <sheetName val="DATOSCC3-G2"/>
      <sheetName val="Módulo1"/>
      <sheetName val="Módulo2"/>
      <sheetName val="CHATARRA"/>
      <sheetName val="DATOSCC2-G2"/>
      <sheetName val="CSUOM3"/>
      <sheetName val="BASE"/>
      <sheetName val="Vo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o Fijo"/>
      <sheetName val="Todografic"/>
      <sheetName val="Hoja1"/>
      <sheetName val="tabla"/>
      <sheetName val="Serviman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.Comerc."/>
      <sheetName val="Wbra"/>
      <sheetName val="Wexp"/>
      <sheetName val="Planning PU"/>
      <sheetName val="Confab Equipos"/>
      <sheetName val="Datos1"/>
      <sheetName val="Datos2"/>
    </sheetNames>
    <sheetDataSet>
      <sheetData sheetId="0"/>
      <sheetData sheetId="1"/>
      <sheetData sheetId="2"/>
      <sheetData sheetId="3"/>
      <sheetData sheetId="4"/>
      <sheetData sheetId="5">
        <row r="4">
          <cell r="N4" t="str">
            <v>Real</v>
          </cell>
          <cell r="O4" t="str">
            <v>Bdg</v>
          </cell>
          <cell r="P4" t="str">
            <v>BdgAct01</v>
          </cell>
          <cell r="Q4" t="str">
            <v>Total</v>
          </cell>
        </row>
        <row r="5">
          <cell r="N5">
            <v>0</v>
          </cell>
          <cell r="O5">
            <v>57</v>
          </cell>
          <cell r="Q5">
            <v>684</v>
          </cell>
        </row>
        <row r="6">
          <cell r="N6">
            <v>0</v>
          </cell>
          <cell r="O6">
            <v>181</v>
          </cell>
          <cell r="Q6">
            <v>2172</v>
          </cell>
        </row>
        <row r="7">
          <cell r="N7">
            <v>0</v>
          </cell>
          <cell r="O7">
            <v>57</v>
          </cell>
          <cell r="Q7">
            <v>684</v>
          </cell>
        </row>
        <row r="8">
          <cell r="N8">
            <v>0</v>
          </cell>
          <cell r="O8">
            <v>181</v>
          </cell>
          <cell r="Q8">
            <v>2172</v>
          </cell>
        </row>
        <row r="9">
          <cell r="N9">
            <v>11.8</v>
          </cell>
          <cell r="O9">
            <v>0</v>
          </cell>
          <cell r="P9">
            <v>0</v>
          </cell>
          <cell r="Q9">
            <v>0</v>
          </cell>
        </row>
        <row r="10">
          <cell r="N10">
            <v>14.53</v>
          </cell>
          <cell r="O10">
            <v>0</v>
          </cell>
          <cell r="P10">
            <v>0</v>
          </cell>
          <cell r="Q10">
            <v>0</v>
          </cell>
        </row>
        <row r="11">
          <cell r="N11">
            <v>4.37</v>
          </cell>
          <cell r="O11">
            <v>0</v>
          </cell>
          <cell r="P11">
            <v>0</v>
          </cell>
          <cell r="Q11">
            <v>0</v>
          </cell>
        </row>
        <row r="12">
          <cell r="N12">
            <v>20853.259999999998</v>
          </cell>
          <cell r="O12">
            <v>0</v>
          </cell>
          <cell r="P12">
            <v>0</v>
          </cell>
          <cell r="Q12">
            <v>0</v>
          </cell>
        </row>
        <row r="13">
          <cell r="N13">
            <v>0</v>
          </cell>
          <cell r="O13">
            <v>476</v>
          </cell>
          <cell r="Q13">
            <v>5712</v>
          </cell>
        </row>
        <row r="14">
          <cell r="N14">
            <v>0</v>
          </cell>
          <cell r="O14">
            <v>145.37</v>
          </cell>
          <cell r="Q14">
            <v>1718.5</v>
          </cell>
        </row>
        <row r="15">
          <cell r="N15">
            <v>0</v>
          </cell>
          <cell r="O15">
            <v>0</v>
          </cell>
          <cell r="Q15">
            <v>1906</v>
          </cell>
        </row>
        <row r="16">
          <cell r="N16">
            <v>0</v>
          </cell>
          <cell r="O16">
            <v>638.67999999999995</v>
          </cell>
          <cell r="Q16">
            <v>7549.96</v>
          </cell>
        </row>
        <row r="17">
          <cell r="N17">
            <v>0</v>
          </cell>
          <cell r="O17">
            <v>0</v>
          </cell>
          <cell r="Q17">
            <v>764.53</v>
          </cell>
        </row>
        <row r="18">
          <cell r="N18">
            <v>925.56</v>
          </cell>
          <cell r="O18">
            <v>0</v>
          </cell>
          <cell r="P18">
            <v>0</v>
          </cell>
          <cell r="Q18">
            <v>0</v>
          </cell>
        </row>
        <row r="19">
          <cell r="N19">
            <v>0</v>
          </cell>
          <cell r="O19">
            <v>0</v>
          </cell>
          <cell r="Q19">
            <v>664.23</v>
          </cell>
        </row>
        <row r="20">
          <cell r="N20">
            <v>118.96</v>
          </cell>
          <cell r="O20">
            <v>0</v>
          </cell>
          <cell r="P20">
            <v>0</v>
          </cell>
          <cell r="Q20">
            <v>0</v>
          </cell>
        </row>
        <row r="21">
          <cell r="N21">
            <v>25.42</v>
          </cell>
          <cell r="O21">
            <v>0</v>
          </cell>
          <cell r="P21">
            <v>0</v>
          </cell>
          <cell r="Q21">
            <v>0</v>
          </cell>
        </row>
        <row r="22">
          <cell r="N22">
            <v>384.8</v>
          </cell>
          <cell r="O22">
            <v>0</v>
          </cell>
          <cell r="P22">
            <v>0</v>
          </cell>
          <cell r="Q22">
            <v>0</v>
          </cell>
        </row>
        <row r="23">
          <cell r="N23">
            <v>72.650000000000006</v>
          </cell>
          <cell r="O23">
            <v>0</v>
          </cell>
          <cell r="P23">
            <v>0</v>
          </cell>
          <cell r="Q23">
            <v>0</v>
          </cell>
        </row>
        <row r="24">
          <cell r="N24">
            <v>0</v>
          </cell>
          <cell r="O24">
            <v>519.47</v>
          </cell>
          <cell r="Q24">
            <v>6140.8</v>
          </cell>
        </row>
        <row r="25">
          <cell r="N25">
            <v>35.06</v>
          </cell>
          <cell r="O25">
            <v>0</v>
          </cell>
          <cell r="P25">
            <v>0</v>
          </cell>
          <cell r="Q25">
            <v>0</v>
          </cell>
        </row>
        <row r="26">
          <cell r="N26">
            <v>0</v>
          </cell>
          <cell r="O26">
            <v>644.49</v>
          </cell>
          <cell r="Q26">
            <v>18957.72</v>
          </cell>
        </row>
        <row r="27">
          <cell r="N27">
            <v>281.45999999999998</v>
          </cell>
          <cell r="O27">
            <v>0</v>
          </cell>
          <cell r="P27">
            <v>0</v>
          </cell>
          <cell r="Q27">
            <v>0</v>
          </cell>
        </row>
        <row r="28">
          <cell r="N28">
            <v>688.32</v>
          </cell>
          <cell r="O28">
            <v>0</v>
          </cell>
          <cell r="P28">
            <v>0</v>
          </cell>
          <cell r="Q28">
            <v>0</v>
          </cell>
        </row>
        <row r="29">
          <cell r="N29">
            <v>2.98</v>
          </cell>
          <cell r="O29">
            <v>0</v>
          </cell>
          <cell r="P29">
            <v>0</v>
          </cell>
          <cell r="Q29">
            <v>0</v>
          </cell>
        </row>
        <row r="30">
          <cell r="N30">
            <v>0</v>
          </cell>
          <cell r="O30">
            <v>0</v>
          </cell>
          <cell r="Q30">
            <v>24671.23</v>
          </cell>
        </row>
        <row r="31">
          <cell r="N31">
            <v>0</v>
          </cell>
          <cell r="O31">
            <v>0</v>
          </cell>
          <cell r="Q31">
            <v>17136.78</v>
          </cell>
        </row>
        <row r="32">
          <cell r="N32">
            <v>0</v>
          </cell>
          <cell r="O32">
            <v>96.92</v>
          </cell>
          <cell r="Q32">
            <v>1145.67</v>
          </cell>
        </row>
        <row r="33">
          <cell r="N33">
            <v>1629.02</v>
          </cell>
          <cell r="O33">
            <v>0</v>
          </cell>
          <cell r="P33">
            <v>0</v>
          </cell>
          <cell r="Q33">
            <v>0</v>
          </cell>
        </row>
        <row r="34">
          <cell r="N34">
            <v>0</v>
          </cell>
          <cell r="O34">
            <v>96.92</v>
          </cell>
          <cell r="Q34">
            <v>1145.67</v>
          </cell>
        </row>
        <row r="35">
          <cell r="N35">
            <v>209.35</v>
          </cell>
          <cell r="O35">
            <v>0</v>
          </cell>
          <cell r="P35">
            <v>0</v>
          </cell>
          <cell r="Q35">
            <v>0</v>
          </cell>
        </row>
        <row r="36">
          <cell r="N36">
            <v>319.8</v>
          </cell>
          <cell r="O36">
            <v>0</v>
          </cell>
          <cell r="P36">
            <v>0</v>
          </cell>
          <cell r="Q36">
            <v>0</v>
          </cell>
        </row>
        <row r="37">
          <cell r="N37">
            <v>719.8</v>
          </cell>
          <cell r="O37">
            <v>0</v>
          </cell>
          <cell r="P37">
            <v>0</v>
          </cell>
          <cell r="Q37">
            <v>0</v>
          </cell>
        </row>
        <row r="38">
          <cell r="N38">
            <v>57.94</v>
          </cell>
          <cell r="O38">
            <v>0</v>
          </cell>
          <cell r="P38">
            <v>0</v>
          </cell>
          <cell r="Q38">
            <v>0</v>
          </cell>
        </row>
        <row r="39">
          <cell r="N39">
            <v>0</v>
          </cell>
          <cell r="O39">
            <v>21234</v>
          </cell>
          <cell r="Q39">
            <v>252522</v>
          </cell>
        </row>
        <row r="40">
          <cell r="N40">
            <v>50.95</v>
          </cell>
          <cell r="O40">
            <v>0</v>
          </cell>
          <cell r="P40">
            <v>0</v>
          </cell>
          <cell r="Q40">
            <v>0</v>
          </cell>
        </row>
        <row r="41">
          <cell r="N41">
            <v>0</v>
          </cell>
          <cell r="O41">
            <v>1495</v>
          </cell>
          <cell r="Q41">
            <v>17940</v>
          </cell>
        </row>
        <row r="42">
          <cell r="N42">
            <v>-8270.69</v>
          </cell>
          <cell r="O42">
            <v>0</v>
          </cell>
          <cell r="P42">
            <v>0</v>
          </cell>
          <cell r="Q42">
            <v>0</v>
          </cell>
        </row>
        <row r="43">
          <cell r="N43">
            <v>-60581.08</v>
          </cell>
          <cell r="O43">
            <v>0</v>
          </cell>
          <cell r="P43">
            <v>0</v>
          </cell>
          <cell r="Q43">
            <v>0</v>
          </cell>
        </row>
        <row r="44">
          <cell r="N44">
            <v>0</v>
          </cell>
          <cell r="O44">
            <v>10771</v>
          </cell>
          <cell r="Q44">
            <v>125206</v>
          </cell>
        </row>
        <row r="45">
          <cell r="N45">
            <v>0</v>
          </cell>
          <cell r="O45">
            <v>9330</v>
          </cell>
          <cell r="Q45">
            <v>109002</v>
          </cell>
        </row>
        <row r="46">
          <cell r="N46">
            <v>0</v>
          </cell>
          <cell r="O46">
            <v>5824</v>
          </cell>
          <cell r="Q46">
            <v>68588</v>
          </cell>
        </row>
        <row r="47">
          <cell r="N47">
            <v>0</v>
          </cell>
          <cell r="O47">
            <v>298</v>
          </cell>
          <cell r="Q47">
            <v>3576</v>
          </cell>
        </row>
        <row r="48">
          <cell r="N48">
            <v>0</v>
          </cell>
          <cell r="O48">
            <v>193.83</v>
          </cell>
          <cell r="Q48">
            <v>7803.76</v>
          </cell>
        </row>
        <row r="49">
          <cell r="N49">
            <v>0</v>
          </cell>
          <cell r="O49">
            <v>48.46</v>
          </cell>
          <cell r="Q49">
            <v>1701.18</v>
          </cell>
        </row>
        <row r="50">
          <cell r="N50">
            <v>0.12</v>
          </cell>
          <cell r="O50">
            <v>0</v>
          </cell>
          <cell r="P50">
            <v>0</v>
          </cell>
          <cell r="Q50">
            <v>0</v>
          </cell>
        </row>
        <row r="51">
          <cell r="N51">
            <v>0</v>
          </cell>
          <cell r="O51">
            <v>0</v>
          </cell>
          <cell r="Q51">
            <v>1328.45</v>
          </cell>
        </row>
        <row r="52">
          <cell r="N52">
            <v>0</v>
          </cell>
          <cell r="O52">
            <v>323.7</v>
          </cell>
          <cell r="Q52">
            <v>3826.53</v>
          </cell>
        </row>
        <row r="53">
          <cell r="N53">
            <v>0</v>
          </cell>
          <cell r="O53">
            <v>48.46</v>
          </cell>
          <cell r="Q53">
            <v>191.5</v>
          </cell>
        </row>
        <row r="54">
          <cell r="N54">
            <v>483.07</v>
          </cell>
          <cell r="O54">
            <v>0</v>
          </cell>
          <cell r="P54">
            <v>0</v>
          </cell>
          <cell r="Q54">
            <v>0</v>
          </cell>
        </row>
        <row r="55">
          <cell r="N55">
            <v>0</v>
          </cell>
          <cell r="O55">
            <v>193.83</v>
          </cell>
          <cell r="Q55">
            <v>2291.34</v>
          </cell>
        </row>
        <row r="56">
          <cell r="N56">
            <v>0</v>
          </cell>
          <cell r="O56">
            <v>793.84</v>
          </cell>
          <cell r="Q56">
            <v>9658.8799999999992</v>
          </cell>
        </row>
        <row r="57">
          <cell r="N57">
            <v>0</v>
          </cell>
          <cell r="O57">
            <v>726.87</v>
          </cell>
          <cell r="Q57">
            <v>8592.5499999999993</v>
          </cell>
        </row>
        <row r="58">
          <cell r="N58">
            <v>146.91999999999999</v>
          </cell>
          <cell r="O58">
            <v>0</v>
          </cell>
          <cell r="P58">
            <v>0</v>
          </cell>
          <cell r="Q58">
            <v>0</v>
          </cell>
        </row>
        <row r="59">
          <cell r="N59">
            <v>0</v>
          </cell>
          <cell r="O59">
            <v>10328.36</v>
          </cell>
          <cell r="Q59">
            <v>123962.56</v>
          </cell>
        </row>
        <row r="60">
          <cell r="N60">
            <v>265.02999999999997</v>
          </cell>
          <cell r="O60">
            <v>0</v>
          </cell>
          <cell r="P60">
            <v>0</v>
          </cell>
          <cell r="Q60">
            <v>0</v>
          </cell>
        </row>
        <row r="61">
          <cell r="N61">
            <v>0</v>
          </cell>
          <cell r="O61">
            <v>565.99</v>
          </cell>
          <cell r="Q61">
            <v>6690.73</v>
          </cell>
        </row>
        <row r="62">
          <cell r="N62">
            <v>472.89</v>
          </cell>
          <cell r="O62">
            <v>0</v>
          </cell>
          <cell r="P62">
            <v>0</v>
          </cell>
          <cell r="Q62">
            <v>0</v>
          </cell>
        </row>
        <row r="63">
          <cell r="N63">
            <v>0</v>
          </cell>
          <cell r="O63">
            <v>1683.44</v>
          </cell>
          <cell r="Q63">
            <v>19900.330000000002</v>
          </cell>
        </row>
        <row r="64">
          <cell r="N64">
            <v>16.079999999999998</v>
          </cell>
          <cell r="O64">
            <v>0</v>
          </cell>
          <cell r="P64">
            <v>0</v>
          </cell>
          <cell r="Q64">
            <v>0</v>
          </cell>
        </row>
        <row r="65">
          <cell r="N65">
            <v>0</v>
          </cell>
          <cell r="O65">
            <v>872.25</v>
          </cell>
          <cell r="Q65">
            <v>10311.049999999999</v>
          </cell>
        </row>
        <row r="66">
          <cell r="N66">
            <v>0</v>
          </cell>
          <cell r="O66">
            <v>629.96</v>
          </cell>
          <cell r="Q66">
            <v>7446.86</v>
          </cell>
        </row>
        <row r="67">
          <cell r="N67">
            <v>31.38</v>
          </cell>
          <cell r="O67">
            <v>0</v>
          </cell>
          <cell r="P67">
            <v>0</v>
          </cell>
          <cell r="Q67">
            <v>0</v>
          </cell>
        </row>
        <row r="68">
          <cell r="N68">
            <v>0</v>
          </cell>
          <cell r="O68">
            <v>1453.74</v>
          </cell>
          <cell r="Q68">
            <v>8603.84</v>
          </cell>
        </row>
        <row r="69">
          <cell r="N69">
            <v>0</v>
          </cell>
          <cell r="O69">
            <v>469.07</v>
          </cell>
          <cell r="Q69">
            <v>5545.03</v>
          </cell>
        </row>
        <row r="70">
          <cell r="N70">
            <v>0</v>
          </cell>
          <cell r="O70">
            <v>4845.8100000000004</v>
          </cell>
          <cell r="Q70">
            <v>57283.58</v>
          </cell>
        </row>
        <row r="71">
          <cell r="N71">
            <v>58.86</v>
          </cell>
          <cell r="O71">
            <v>0</v>
          </cell>
          <cell r="P71">
            <v>0</v>
          </cell>
          <cell r="Q71">
            <v>0</v>
          </cell>
        </row>
        <row r="72">
          <cell r="N72">
            <v>10.78</v>
          </cell>
          <cell r="O72">
            <v>0</v>
          </cell>
          <cell r="P72">
            <v>0</v>
          </cell>
          <cell r="Q72">
            <v>0</v>
          </cell>
        </row>
        <row r="73">
          <cell r="N73">
            <v>765.84</v>
          </cell>
          <cell r="O73">
            <v>0</v>
          </cell>
          <cell r="P73">
            <v>0</v>
          </cell>
          <cell r="Q73">
            <v>0</v>
          </cell>
        </row>
        <row r="74">
          <cell r="N74">
            <v>1682.76</v>
          </cell>
          <cell r="O74">
            <v>0</v>
          </cell>
          <cell r="P74">
            <v>0</v>
          </cell>
          <cell r="Q74">
            <v>0</v>
          </cell>
        </row>
        <row r="75">
          <cell r="N75">
            <v>0</v>
          </cell>
          <cell r="O75">
            <v>6628</v>
          </cell>
          <cell r="Q75">
            <v>77062</v>
          </cell>
        </row>
        <row r="76">
          <cell r="N76">
            <v>3072.75</v>
          </cell>
          <cell r="O76">
            <v>0</v>
          </cell>
          <cell r="P76">
            <v>0</v>
          </cell>
          <cell r="Q76">
            <v>0</v>
          </cell>
        </row>
        <row r="77">
          <cell r="N77">
            <v>0</v>
          </cell>
          <cell r="O77">
            <v>4206</v>
          </cell>
          <cell r="Q77">
            <v>49362</v>
          </cell>
        </row>
        <row r="78">
          <cell r="N78">
            <v>1821.84</v>
          </cell>
          <cell r="O78">
            <v>0</v>
          </cell>
          <cell r="P78">
            <v>0</v>
          </cell>
          <cell r="Q78">
            <v>0</v>
          </cell>
        </row>
        <row r="79">
          <cell r="N79">
            <v>0</v>
          </cell>
          <cell r="O79">
            <v>29.07</v>
          </cell>
          <cell r="Q79">
            <v>343.7</v>
          </cell>
        </row>
        <row r="80">
          <cell r="N80">
            <v>0</v>
          </cell>
          <cell r="O80">
            <v>0</v>
          </cell>
          <cell r="Q80">
            <v>2859</v>
          </cell>
        </row>
        <row r="81">
          <cell r="N81">
            <v>0</v>
          </cell>
          <cell r="O81">
            <v>121.15</v>
          </cell>
          <cell r="Q81">
            <v>1432.11</v>
          </cell>
        </row>
        <row r="82">
          <cell r="N82">
            <v>0</v>
          </cell>
          <cell r="O82">
            <v>67.84</v>
          </cell>
          <cell r="Q82">
            <v>801.96</v>
          </cell>
        </row>
        <row r="83">
          <cell r="N83">
            <v>0.78</v>
          </cell>
          <cell r="O83">
            <v>0</v>
          </cell>
          <cell r="P83">
            <v>0</v>
          </cell>
          <cell r="Q83">
            <v>0</v>
          </cell>
        </row>
        <row r="84">
          <cell r="N84">
            <v>0</v>
          </cell>
          <cell r="O84">
            <v>32.950000000000003</v>
          </cell>
          <cell r="Q84">
            <v>389.51</v>
          </cell>
        </row>
        <row r="85">
          <cell r="N85">
            <v>58.32</v>
          </cell>
          <cell r="O85">
            <v>0</v>
          </cell>
          <cell r="P85">
            <v>0</v>
          </cell>
          <cell r="Q85">
            <v>0</v>
          </cell>
        </row>
        <row r="86">
          <cell r="N86">
            <v>0</v>
          </cell>
          <cell r="O86">
            <v>237.84</v>
          </cell>
          <cell r="Q86">
            <v>2893.82</v>
          </cell>
        </row>
        <row r="87">
          <cell r="N87">
            <v>1670.54</v>
          </cell>
          <cell r="O87">
            <v>0</v>
          </cell>
          <cell r="P87">
            <v>0</v>
          </cell>
          <cell r="Q87">
            <v>0</v>
          </cell>
        </row>
        <row r="88">
          <cell r="N88">
            <v>291.77999999999997</v>
          </cell>
          <cell r="O88">
            <v>0</v>
          </cell>
          <cell r="P88">
            <v>0</v>
          </cell>
          <cell r="Q88">
            <v>0</v>
          </cell>
        </row>
        <row r="89">
          <cell r="N89">
            <v>2290.21</v>
          </cell>
          <cell r="O89">
            <v>0</v>
          </cell>
          <cell r="P89">
            <v>0</v>
          </cell>
          <cell r="Q89">
            <v>0</v>
          </cell>
        </row>
        <row r="90">
          <cell r="N90">
            <v>0</v>
          </cell>
          <cell r="O90">
            <v>3111.01</v>
          </cell>
          <cell r="Q90">
            <v>36776.06</v>
          </cell>
        </row>
        <row r="91">
          <cell r="N91">
            <v>1210.49</v>
          </cell>
          <cell r="O91">
            <v>0</v>
          </cell>
          <cell r="P91">
            <v>0</v>
          </cell>
          <cell r="Q91">
            <v>0</v>
          </cell>
        </row>
        <row r="92">
          <cell r="N92">
            <v>319.44</v>
          </cell>
          <cell r="O92">
            <v>0</v>
          </cell>
          <cell r="P92">
            <v>0</v>
          </cell>
          <cell r="Q92">
            <v>0</v>
          </cell>
        </row>
        <row r="93">
          <cell r="N93">
            <v>0</v>
          </cell>
          <cell r="O93">
            <v>20.350000000000001</v>
          </cell>
          <cell r="Q93">
            <v>240.6</v>
          </cell>
        </row>
        <row r="94">
          <cell r="N94">
            <v>22.13</v>
          </cell>
          <cell r="O94">
            <v>0</v>
          </cell>
          <cell r="P94">
            <v>0</v>
          </cell>
          <cell r="Q94">
            <v>0</v>
          </cell>
        </row>
        <row r="95">
          <cell r="N95">
            <v>2306.9299999999998</v>
          </cell>
          <cell r="O95">
            <v>0</v>
          </cell>
          <cell r="P95">
            <v>0</v>
          </cell>
          <cell r="Q95">
            <v>0</v>
          </cell>
        </row>
        <row r="96">
          <cell r="N96">
            <v>0</v>
          </cell>
          <cell r="O96">
            <v>523.35</v>
          </cell>
          <cell r="Q96">
            <v>6186.62</v>
          </cell>
        </row>
        <row r="97">
          <cell r="N97">
            <v>536.13</v>
          </cell>
          <cell r="O97">
            <v>0</v>
          </cell>
          <cell r="P97">
            <v>0</v>
          </cell>
          <cell r="Q97">
            <v>0</v>
          </cell>
        </row>
        <row r="98">
          <cell r="N98">
            <v>94.43</v>
          </cell>
          <cell r="O98">
            <v>0</v>
          </cell>
          <cell r="P98">
            <v>0</v>
          </cell>
          <cell r="Q98">
            <v>0</v>
          </cell>
        </row>
        <row r="99">
          <cell r="N99">
            <v>0</v>
          </cell>
          <cell r="O99">
            <v>16.48</v>
          </cell>
          <cell r="Q99">
            <v>194.78</v>
          </cell>
        </row>
        <row r="100">
          <cell r="N100">
            <v>64.239999999999995</v>
          </cell>
          <cell r="O100">
            <v>0</v>
          </cell>
          <cell r="P100">
            <v>0</v>
          </cell>
          <cell r="Q100">
            <v>0</v>
          </cell>
        </row>
        <row r="101">
          <cell r="N101">
            <v>963.25</v>
          </cell>
          <cell r="O101">
            <v>0</v>
          </cell>
        </row>
        <row r="102">
          <cell r="N102">
            <v>0</v>
          </cell>
          <cell r="O102">
            <v>19.38</v>
          </cell>
        </row>
        <row r="103">
          <cell r="N103">
            <v>767.57</v>
          </cell>
          <cell r="O103">
            <v>0</v>
          </cell>
        </row>
        <row r="104">
          <cell r="N104">
            <v>394.85</v>
          </cell>
          <cell r="O104">
            <v>0</v>
          </cell>
        </row>
        <row r="105">
          <cell r="N105">
            <v>184.18</v>
          </cell>
          <cell r="O105">
            <v>0</v>
          </cell>
        </row>
        <row r="106">
          <cell r="N106">
            <v>165.03</v>
          </cell>
          <cell r="O106">
            <v>0</v>
          </cell>
        </row>
        <row r="107">
          <cell r="N107">
            <v>-850.68</v>
          </cell>
          <cell r="O107">
            <v>0</v>
          </cell>
        </row>
        <row r="108">
          <cell r="N108">
            <v>0</v>
          </cell>
          <cell r="O108">
            <v>6706</v>
          </cell>
        </row>
        <row r="109">
          <cell r="N109">
            <v>3072.75</v>
          </cell>
          <cell r="O109">
            <v>0</v>
          </cell>
        </row>
        <row r="110">
          <cell r="N110">
            <v>0</v>
          </cell>
          <cell r="O110">
            <v>6711</v>
          </cell>
        </row>
        <row r="111">
          <cell r="N111">
            <v>4293.1499999999996</v>
          </cell>
          <cell r="O111">
            <v>0</v>
          </cell>
        </row>
        <row r="112">
          <cell r="N112">
            <v>0</v>
          </cell>
          <cell r="O112">
            <v>6309</v>
          </cell>
        </row>
        <row r="113">
          <cell r="N113">
            <v>4864.8100000000004</v>
          </cell>
          <cell r="O113">
            <v>0</v>
          </cell>
        </row>
        <row r="114">
          <cell r="N114">
            <v>0</v>
          </cell>
          <cell r="O114">
            <v>298</v>
          </cell>
        </row>
        <row r="115">
          <cell r="N115">
            <v>0</v>
          </cell>
          <cell r="O115">
            <v>0</v>
          </cell>
        </row>
        <row r="116">
          <cell r="N116">
            <v>0</v>
          </cell>
          <cell r="O116">
            <v>137.62</v>
          </cell>
        </row>
        <row r="117">
          <cell r="N117">
            <v>0</v>
          </cell>
          <cell r="O117">
            <v>17.440000000000001</v>
          </cell>
        </row>
        <row r="118">
          <cell r="N118">
            <v>0</v>
          </cell>
          <cell r="O118">
            <v>0</v>
          </cell>
        </row>
        <row r="119">
          <cell r="N119">
            <v>0.92</v>
          </cell>
          <cell r="O119">
            <v>0</v>
          </cell>
        </row>
        <row r="120">
          <cell r="N120">
            <v>0</v>
          </cell>
          <cell r="O120">
            <v>31.01</v>
          </cell>
        </row>
        <row r="121">
          <cell r="N121">
            <v>34.24</v>
          </cell>
          <cell r="O121">
            <v>0</v>
          </cell>
        </row>
        <row r="122">
          <cell r="N122">
            <v>0</v>
          </cell>
          <cell r="O122">
            <v>57.18</v>
          </cell>
        </row>
        <row r="123">
          <cell r="N123">
            <v>8.02</v>
          </cell>
          <cell r="O123">
            <v>0</v>
          </cell>
        </row>
        <row r="124">
          <cell r="N124">
            <v>0</v>
          </cell>
          <cell r="O124">
            <v>84.32</v>
          </cell>
        </row>
        <row r="125">
          <cell r="N125">
            <v>0.75</v>
          </cell>
          <cell r="O125">
            <v>0</v>
          </cell>
        </row>
        <row r="126">
          <cell r="N126">
            <v>0</v>
          </cell>
          <cell r="O126">
            <v>237.84</v>
          </cell>
        </row>
        <row r="127">
          <cell r="N127">
            <v>517.71</v>
          </cell>
          <cell r="O127">
            <v>0</v>
          </cell>
        </row>
        <row r="128">
          <cell r="N128">
            <v>223.75</v>
          </cell>
          <cell r="O128">
            <v>0</v>
          </cell>
        </row>
        <row r="129">
          <cell r="N129">
            <v>295</v>
          </cell>
          <cell r="O129">
            <v>0</v>
          </cell>
        </row>
        <row r="130">
          <cell r="N130">
            <v>-295</v>
          </cell>
          <cell r="O130">
            <v>0</v>
          </cell>
        </row>
        <row r="131">
          <cell r="N131">
            <v>0</v>
          </cell>
          <cell r="O131">
            <v>546.61</v>
          </cell>
        </row>
        <row r="132">
          <cell r="N132">
            <v>0</v>
          </cell>
          <cell r="O132">
            <v>2316.3000000000002</v>
          </cell>
        </row>
        <row r="133">
          <cell r="N133">
            <v>2267.14</v>
          </cell>
          <cell r="O133">
            <v>0</v>
          </cell>
        </row>
        <row r="134">
          <cell r="N134">
            <v>0</v>
          </cell>
          <cell r="O134">
            <v>33.92</v>
          </cell>
        </row>
        <row r="135">
          <cell r="N135">
            <v>54.75</v>
          </cell>
          <cell r="O135">
            <v>0</v>
          </cell>
        </row>
        <row r="136">
          <cell r="N136">
            <v>0</v>
          </cell>
          <cell r="O136">
            <v>24.23</v>
          </cell>
        </row>
        <row r="137">
          <cell r="N137">
            <v>0</v>
          </cell>
          <cell r="O137">
            <v>150.22</v>
          </cell>
        </row>
        <row r="138">
          <cell r="N138">
            <v>54.85</v>
          </cell>
          <cell r="O138">
            <v>0</v>
          </cell>
        </row>
        <row r="139">
          <cell r="N139">
            <v>0</v>
          </cell>
          <cell r="O139">
            <v>416.74</v>
          </cell>
        </row>
        <row r="140">
          <cell r="N140">
            <v>429.22</v>
          </cell>
          <cell r="O140">
            <v>0</v>
          </cell>
        </row>
        <row r="141">
          <cell r="N141">
            <v>0</v>
          </cell>
          <cell r="O141">
            <v>350.84</v>
          </cell>
        </row>
        <row r="142">
          <cell r="N142">
            <v>142.44</v>
          </cell>
          <cell r="O142">
            <v>0</v>
          </cell>
        </row>
        <row r="143">
          <cell r="N143">
            <v>0</v>
          </cell>
          <cell r="O143">
            <v>0</v>
          </cell>
        </row>
        <row r="144">
          <cell r="N144">
            <v>64.239999999999995</v>
          </cell>
          <cell r="O144">
            <v>0</v>
          </cell>
        </row>
        <row r="145">
          <cell r="N145">
            <v>2265.81</v>
          </cell>
          <cell r="O145">
            <v>0</v>
          </cell>
        </row>
        <row r="146">
          <cell r="N146">
            <v>767.57</v>
          </cell>
          <cell r="O146">
            <v>0</v>
          </cell>
        </row>
        <row r="147">
          <cell r="N147">
            <v>930.46</v>
          </cell>
          <cell r="O147">
            <v>0</v>
          </cell>
        </row>
        <row r="148">
          <cell r="N148">
            <v>6950.03</v>
          </cell>
          <cell r="O148">
            <v>0</v>
          </cell>
        </row>
        <row r="149">
          <cell r="N149">
            <v>115.39</v>
          </cell>
          <cell r="O149">
            <v>0</v>
          </cell>
        </row>
        <row r="150">
          <cell r="N150">
            <v>3.04</v>
          </cell>
          <cell r="O150">
            <v>0</v>
          </cell>
        </row>
        <row r="151">
          <cell r="N151">
            <v>-18.7</v>
          </cell>
          <cell r="O151">
            <v>0</v>
          </cell>
        </row>
        <row r="152">
          <cell r="N152">
            <v>-2405.6</v>
          </cell>
          <cell r="O152">
            <v>0</v>
          </cell>
        </row>
        <row r="153">
          <cell r="N153">
            <v>0</v>
          </cell>
          <cell r="O153">
            <v>5052</v>
          </cell>
        </row>
        <row r="154">
          <cell r="N154">
            <v>3072.75</v>
          </cell>
          <cell r="O154">
            <v>0</v>
          </cell>
        </row>
        <row r="155">
          <cell r="N155">
            <v>0</v>
          </cell>
          <cell r="O155">
            <v>3110</v>
          </cell>
        </row>
        <row r="156">
          <cell r="N156">
            <v>2346.02</v>
          </cell>
          <cell r="O156">
            <v>0</v>
          </cell>
        </row>
        <row r="157">
          <cell r="N157">
            <v>0</v>
          </cell>
          <cell r="O157">
            <v>5824</v>
          </cell>
        </row>
        <row r="158">
          <cell r="N158">
            <v>4495.6099999999997</v>
          </cell>
          <cell r="O158">
            <v>0</v>
          </cell>
        </row>
        <row r="159">
          <cell r="N159">
            <v>0</v>
          </cell>
          <cell r="O159">
            <v>298</v>
          </cell>
        </row>
        <row r="160">
          <cell r="N160">
            <v>0</v>
          </cell>
          <cell r="O160">
            <v>0</v>
          </cell>
        </row>
        <row r="161">
          <cell r="N161">
            <v>0</v>
          </cell>
          <cell r="O161">
            <v>16.48</v>
          </cell>
        </row>
        <row r="162">
          <cell r="N162">
            <v>0</v>
          </cell>
          <cell r="O162">
            <v>440.97</v>
          </cell>
        </row>
        <row r="163">
          <cell r="N163">
            <v>0.16</v>
          </cell>
          <cell r="O163">
            <v>0</v>
          </cell>
        </row>
        <row r="164">
          <cell r="N164">
            <v>0</v>
          </cell>
          <cell r="O164">
            <v>67.84</v>
          </cell>
        </row>
        <row r="165">
          <cell r="N165">
            <v>39.020000000000003</v>
          </cell>
          <cell r="O165">
            <v>0</v>
          </cell>
        </row>
        <row r="166">
          <cell r="N166">
            <v>0</v>
          </cell>
          <cell r="O166">
            <v>100.79</v>
          </cell>
        </row>
        <row r="167">
          <cell r="N167">
            <v>0</v>
          </cell>
          <cell r="O167">
            <v>342.11</v>
          </cell>
        </row>
        <row r="168">
          <cell r="N168">
            <v>90.56</v>
          </cell>
          <cell r="O168">
            <v>0</v>
          </cell>
        </row>
        <row r="169">
          <cell r="N169">
            <v>0</v>
          </cell>
          <cell r="O169">
            <v>425.99</v>
          </cell>
        </row>
        <row r="170">
          <cell r="N170">
            <v>806.02</v>
          </cell>
          <cell r="O170">
            <v>0</v>
          </cell>
        </row>
        <row r="171">
          <cell r="N171">
            <v>205.22</v>
          </cell>
          <cell r="O171">
            <v>0</v>
          </cell>
        </row>
        <row r="172">
          <cell r="N172">
            <v>318.86</v>
          </cell>
          <cell r="O172">
            <v>0</v>
          </cell>
        </row>
        <row r="173">
          <cell r="N173">
            <v>0</v>
          </cell>
          <cell r="O173">
            <v>1453.74</v>
          </cell>
        </row>
        <row r="174">
          <cell r="N174">
            <v>1717.18</v>
          </cell>
          <cell r="O174">
            <v>0</v>
          </cell>
        </row>
        <row r="175">
          <cell r="N175">
            <v>0</v>
          </cell>
          <cell r="O175">
            <v>23.26</v>
          </cell>
        </row>
        <row r="176">
          <cell r="N176">
            <v>50.22</v>
          </cell>
          <cell r="O176">
            <v>0</v>
          </cell>
        </row>
        <row r="177">
          <cell r="N177">
            <v>0</v>
          </cell>
          <cell r="O177">
            <v>133.74</v>
          </cell>
        </row>
        <row r="178">
          <cell r="N178">
            <v>73.14</v>
          </cell>
          <cell r="O178">
            <v>0</v>
          </cell>
        </row>
        <row r="179">
          <cell r="N179">
            <v>0</v>
          </cell>
          <cell r="O179">
            <v>250.04</v>
          </cell>
        </row>
        <row r="180">
          <cell r="N180">
            <v>0</v>
          </cell>
          <cell r="O180">
            <v>334.36</v>
          </cell>
        </row>
        <row r="181">
          <cell r="N181">
            <v>449.83</v>
          </cell>
          <cell r="O181">
            <v>0</v>
          </cell>
        </row>
        <row r="182">
          <cell r="N182">
            <v>0</v>
          </cell>
          <cell r="O182">
            <v>206.43</v>
          </cell>
        </row>
        <row r="183">
          <cell r="N183">
            <v>793.87</v>
          </cell>
          <cell r="O183">
            <v>0</v>
          </cell>
        </row>
        <row r="184">
          <cell r="N184">
            <v>86.62</v>
          </cell>
          <cell r="O184">
            <v>0</v>
          </cell>
        </row>
        <row r="185">
          <cell r="N185">
            <v>425.4</v>
          </cell>
          <cell r="O185">
            <v>0</v>
          </cell>
        </row>
        <row r="186">
          <cell r="N186">
            <v>-3.17</v>
          </cell>
          <cell r="O186">
            <v>0</v>
          </cell>
        </row>
        <row r="187">
          <cell r="N187">
            <v>767.57</v>
          </cell>
          <cell r="O187">
            <v>0</v>
          </cell>
        </row>
        <row r="188">
          <cell r="N188">
            <v>508.45</v>
          </cell>
          <cell r="O188">
            <v>0</v>
          </cell>
        </row>
        <row r="189">
          <cell r="N189">
            <v>368.36</v>
          </cell>
          <cell r="O189">
            <v>0</v>
          </cell>
        </row>
        <row r="190">
          <cell r="N190">
            <v>-2019.22</v>
          </cell>
          <cell r="O190">
            <v>0</v>
          </cell>
        </row>
        <row r="191">
          <cell r="N191">
            <v>0</v>
          </cell>
          <cell r="O191">
            <v>10381</v>
          </cell>
        </row>
        <row r="192">
          <cell r="N192">
            <v>8073.15</v>
          </cell>
          <cell r="O192">
            <v>0</v>
          </cell>
        </row>
        <row r="193">
          <cell r="N193">
            <v>0</v>
          </cell>
          <cell r="O193">
            <v>3601</v>
          </cell>
        </row>
        <row r="194">
          <cell r="N194">
            <v>2729.14</v>
          </cell>
          <cell r="O194">
            <v>0</v>
          </cell>
        </row>
        <row r="195">
          <cell r="N195">
            <v>0</v>
          </cell>
          <cell r="O195">
            <v>72.69</v>
          </cell>
        </row>
        <row r="196">
          <cell r="N196">
            <v>0</v>
          </cell>
          <cell r="O196">
            <v>0</v>
          </cell>
        </row>
        <row r="197">
          <cell r="N197">
            <v>0</v>
          </cell>
          <cell r="O197">
            <v>72.69</v>
          </cell>
        </row>
        <row r="198">
          <cell r="N198">
            <v>0</v>
          </cell>
          <cell r="O198">
            <v>551.45000000000005</v>
          </cell>
        </row>
        <row r="199">
          <cell r="N199">
            <v>0</v>
          </cell>
          <cell r="O199">
            <v>354.11</v>
          </cell>
        </row>
        <row r="200">
          <cell r="N200">
            <v>166.82</v>
          </cell>
          <cell r="O200">
            <v>0</v>
          </cell>
        </row>
        <row r="201">
          <cell r="N201">
            <v>0</v>
          </cell>
          <cell r="O201">
            <v>0</v>
          </cell>
        </row>
        <row r="202">
          <cell r="N202">
            <v>185.31</v>
          </cell>
          <cell r="O202">
            <v>0</v>
          </cell>
        </row>
        <row r="203">
          <cell r="N203">
            <v>0</v>
          </cell>
          <cell r="O203">
            <v>736.56</v>
          </cell>
        </row>
        <row r="204">
          <cell r="N204">
            <v>365.16</v>
          </cell>
          <cell r="O204">
            <v>0</v>
          </cell>
        </row>
        <row r="205">
          <cell r="N205">
            <v>0</v>
          </cell>
          <cell r="O205">
            <v>1099.03</v>
          </cell>
        </row>
        <row r="206">
          <cell r="N206">
            <v>1255.1300000000001</v>
          </cell>
          <cell r="O206">
            <v>0</v>
          </cell>
        </row>
        <row r="207">
          <cell r="N207">
            <v>63.29</v>
          </cell>
          <cell r="O207">
            <v>0</v>
          </cell>
        </row>
        <row r="208">
          <cell r="N208">
            <v>0</v>
          </cell>
          <cell r="O208">
            <v>29.07</v>
          </cell>
        </row>
        <row r="209">
          <cell r="N209">
            <v>11.62</v>
          </cell>
          <cell r="O209">
            <v>0</v>
          </cell>
        </row>
        <row r="210">
          <cell r="N210">
            <v>0</v>
          </cell>
          <cell r="O210">
            <v>193.83</v>
          </cell>
        </row>
        <row r="211">
          <cell r="N211">
            <v>234.12</v>
          </cell>
          <cell r="O211">
            <v>0</v>
          </cell>
        </row>
        <row r="212">
          <cell r="N212">
            <v>64.239999999999995</v>
          </cell>
          <cell r="O212">
            <v>0</v>
          </cell>
        </row>
        <row r="213">
          <cell r="N213">
            <v>0</v>
          </cell>
          <cell r="O213">
            <v>3333.92</v>
          </cell>
        </row>
        <row r="214">
          <cell r="N214">
            <v>3258.05</v>
          </cell>
          <cell r="O214">
            <v>0</v>
          </cell>
        </row>
        <row r="215">
          <cell r="N215">
            <v>8.02</v>
          </cell>
          <cell r="O215">
            <v>0</v>
          </cell>
        </row>
        <row r="216">
          <cell r="N216">
            <v>39.729999999999997</v>
          </cell>
          <cell r="O216">
            <v>0</v>
          </cell>
        </row>
        <row r="217">
          <cell r="N217">
            <v>2016.67</v>
          </cell>
          <cell r="O217">
            <v>0</v>
          </cell>
        </row>
        <row r="218">
          <cell r="N218">
            <v>591.49</v>
          </cell>
          <cell r="O218">
            <v>0</v>
          </cell>
        </row>
        <row r="219">
          <cell r="N219">
            <v>-530.62</v>
          </cell>
          <cell r="O219">
            <v>0</v>
          </cell>
        </row>
        <row r="220">
          <cell r="N220">
            <v>0</v>
          </cell>
          <cell r="O220">
            <v>3601</v>
          </cell>
        </row>
        <row r="221">
          <cell r="N221">
            <v>2729.14</v>
          </cell>
          <cell r="O221">
            <v>0</v>
          </cell>
        </row>
        <row r="222">
          <cell r="N222">
            <v>0</v>
          </cell>
          <cell r="O222">
            <v>40.700000000000003</v>
          </cell>
        </row>
        <row r="223">
          <cell r="N223">
            <v>0</v>
          </cell>
          <cell r="O223">
            <v>28.54</v>
          </cell>
        </row>
        <row r="224">
          <cell r="N224">
            <v>208.34</v>
          </cell>
          <cell r="O224">
            <v>0</v>
          </cell>
        </row>
        <row r="225">
          <cell r="N225">
            <v>0</v>
          </cell>
          <cell r="O225">
            <v>697.8</v>
          </cell>
        </row>
        <row r="226">
          <cell r="N226">
            <v>0.77</v>
          </cell>
          <cell r="O226">
            <v>0</v>
          </cell>
        </row>
        <row r="227">
          <cell r="N227">
            <v>0</v>
          </cell>
          <cell r="O227">
            <v>8.7200000000000006</v>
          </cell>
        </row>
        <row r="228">
          <cell r="N228">
            <v>0</v>
          </cell>
          <cell r="O228">
            <v>29.07</v>
          </cell>
        </row>
        <row r="229">
          <cell r="N229">
            <v>1.74</v>
          </cell>
          <cell r="O229">
            <v>0</v>
          </cell>
        </row>
        <row r="230">
          <cell r="N230">
            <v>591.49</v>
          </cell>
          <cell r="O230">
            <v>0</v>
          </cell>
        </row>
        <row r="231">
          <cell r="N231">
            <v>175.13</v>
          </cell>
          <cell r="O231">
            <v>0</v>
          </cell>
        </row>
        <row r="232">
          <cell r="N232">
            <v>-4220.08</v>
          </cell>
          <cell r="O232">
            <v>0</v>
          </cell>
        </row>
        <row r="233">
          <cell r="N233">
            <v>0</v>
          </cell>
          <cell r="O233">
            <v>5339</v>
          </cell>
        </row>
        <row r="234">
          <cell r="N234">
            <v>3936.73</v>
          </cell>
          <cell r="O234">
            <v>0</v>
          </cell>
        </row>
        <row r="235">
          <cell r="N235">
            <v>0</v>
          </cell>
          <cell r="O235">
            <v>4974</v>
          </cell>
        </row>
        <row r="236">
          <cell r="N236">
            <v>3813.39</v>
          </cell>
          <cell r="O236">
            <v>0</v>
          </cell>
        </row>
        <row r="237">
          <cell r="N237">
            <v>0</v>
          </cell>
          <cell r="O237">
            <v>298</v>
          </cell>
        </row>
        <row r="238">
          <cell r="N238">
            <v>0</v>
          </cell>
          <cell r="O238">
            <v>20.350000000000001</v>
          </cell>
        </row>
        <row r="239">
          <cell r="N239">
            <v>0</v>
          </cell>
          <cell r="O239">
            <v>50.4</v>
          </cell>
        </row>
        <row r="240">
          <cell r="N240">
            <v>0</v>
          </cell>
          <cell r="O240">
            <v>0</v>
          </cell>
        </row>
        <row r="241">
          <cell r="N241">
            <v>0</v>
          </cell>
          <cell r="O241">
            <v>28.11</v>
          </cell>
        </row>
        <row r="242">
          <cell r="N242">
            <v>62.46</v>
          </cell>
          <cell r="O242">
            <v>0</v>
          </cell>
        </row>
        <row r="243">
          <cell r="N243">
            <v>0</v>
          </cell>
          <cell r="O243">
            <v>32.770000000000003</v>
          </cell>
        </row>
        <row r="244">
          <cell r="N244">
            <v>0</v>
          </cell>
          <cell r="O244">
            <v>39.74</v>
          </cell>
        </row>
        <row r="245">
          <cell r="N245">
            <v>118.99</v>
          </cell>
          <cell r="O245">
            <v>0</v>
          </cell>
        </row>
        <row r="246">
          <cell r="N246">
            <v>0</v>
          </cell>
          <cell r="O246">
            <v>4.8499999999999996</v>
          </cell>
        </row>
        <row r="247">
          <cell r="N247">
            <v>0</v>
          </cell>
          <cell r="O247">
            <v>95.95</v>
          </cell>
        </row>
        <row r="248">
          <cell r="N248">
            <v>79.44</v>
          </cell>
          <cell r="O248">
            <v>0</v>
          </cell>
        </row>
        <row r="249">
          <cell r="N249">
            <v>3.51</v>
          </cell>
          <cell r="O249">
            <v>0</v>
          </cell>
        </row>
        <row r="250">
          <cell r="N250">
            <v>907.79</v>
          </cell>
          <cell r="O250">
            <v>0</v>
          </cell>
        </row>
        <row r="251">
          <cell r="N251">
            <v>327.42</v>
          </cell>
          <cell r="O251">
            <v>0</v>
          </cell>
        </row>
      </sheetData>
      <sheetData sheetId="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atemala"/>
      <sheetName val="escala salarial"/>
      <sheetName val="Gral"/>
      <sheetName val="GASTOS PRODUCCION (Yaqueline)"/>
      <sheetName val="CSUOM3"/>
      <sheetName val="TOTAL"/>
      <sheetName val="Rev.1"/>
      <sheetName val="Datos1"/>
      <sheetName val="Hoja1"/>
      <sheetName val="IGO"/>
      <sheetName val="EMPRESA"/>
      <sheetName val="ESCOLARIDADE"/>
      <sheetName val="NEGÓCIO"/>
      <sheetName val="RESPONSÁVEL"/>
      <sheetName val="TIPO M.O."/>
      <sheetName val="UNIDADE"/>
    </sheetNames>
    <sheetDataSet>
      <sheetData sheetId="0" refreshError="1"/>
      <sheetData sheetId="1" refreshError="1">
        <row r="9">
          <cell r="A9">
            <v>41</v>
          </cell>
          <cell r="B9">
            <v>30750.101584721659</v>
          </cell>
          <cell r="C9">
            <v>32902.608695652176</v>
          </cell>
          <cell r="D9">
            <v>37838</v>
          </cell>
          <cell r="E9">
            <v>43513.7</v>
          </cell>
          <cell r="F9">
            <v>46559.659</v>
          </cell>
        </row>
        <row r="10">
          <cell r="A10">
            <v>42</v>
          </cell>
          <cell r="B10">
            <v>34747.614790735475</v>
          </cell>
          <cell r="C10">
            <v>37179.947826086958</v>
          </cell>
          <cell r="D10">
            <v>42756.939999999995</v>
          </cell>
          <cell r="E10">
            <v>49170.480999999992</v>
          </cell>
          <cell r="F10">
            <v>52612.414669999998</v>
          </cell>
        </row>
        <row r="11">
          <cell r="A11">
            <v>43</v>
          </cell>
          <cell r="B11">
            <v>39264.804713531077</v>
          </cell>
          <cell r="C11">
            <v>42013.341043478256</v>
          </cell>
          <cell r="D11">
            <v>48315.342199999992</v>
          </cell>
          <cell r="E11">
            <v>55562.643529999987</v>
          </cell>
          <cell r="F11">
            <v>59452.028577099991</v>
          </cell>
        </row>
        <row r="12">
          <cell r="A12">
            <v>44</v>
          </cell>
          <cell r="B12">
            <v>44369.229326290122</v>
          </cell>
          <cell r="C12">
            <v>47475.075379130431</v>
          </cell>
          <cell r="D12">
            <v>54596.336685999988</v>
          </cell>
          <cell r="E12">
            <v>62785.78718889998</v>
          </cell>
          <cell r="F12">
            <v>67180.792292122977</v>
          </cell>
        </row>
        <row r="13">
          <cell r="A13">
            <v>45</v>
          </cell>
          <cell r="B13">
            <v>50137.229138707829</v>
          </cell>
          <cell r="C13">
            <v>53646.835178417379</v>
          </cell>
          <cell r="D13">
            <v>61693.86045517998</v>
          </cell>
          <cell r="E13">
            <v>70947.939523456967</v>
          </cell>
          <cell r="F13">
            <v>75914.295290098962</v>
          </cell>
        </row>
        <row r="14">
          <cell r="A14">
            <v>46</v>
          </cell>
          <cell r="B14">
            <v>56655.068926739841</v>
          </cell>
          <cell r="C14">
            <v>60620.923751611634</v>
          </cell>
          <cell r="D14">
            <v>69714.062314353374</v>
          </cell>
          <cell r="E14">
            <v>80171.171661506378</v>
          </cell>
          <cell r="F14">
            <v>85783.153677811832</v>
          </cell>
        </row>
        <row r="15">
          <cell r="A15">
            <v>47</v>
          </cell>
          <cell r="B15">
            <v>64020.227887216002</v>
          </cell>
          <cell r="C15">
            <v>68501.643839321128</v>
          </cell>
          <cell r="D15">
            <v>78776.890415219299</v>
          </cell>
          <cell r="E15">
            <v>90593.423977502185</v>
          </cell>
          <cell r="F15">
            <v>96934.963655927349</v>
          </cell>
        </row>
        <row r="16">
          <cell r="A16">
            <v>48</v>
          </cell>
          <cell r="B16">
            <v>72342.857512554081</v>
          </cell>
          <cell r="C16">
            <v>77406.857538432872</v>
          </cell>
          <cell r="D16">
            <v>89017.886169197795</v>
          </cell>
          <cell r="E16">
            <v>102370.56909457745</v>
          </cell>
          <cell r="F16">
            <v>109536.50893119788</v>
          </cell>
        </row>
        <row r="17">
          <cell r="A17">
            <v>49</v>
          </cell>
          <cell r="B17">
            <v>81747.428989186112</v>
          </cell>
          <cell r="C17">
            <v>87469.749018429138</v>
          </cell>
          <cell r="D17">
            <v>100590.21137119349</v>
          </cell>
          <cell r="E17">
            <v>115678.7430768725</v>
          </cell>
          <cell r="F17">
            <v>123776.25509225359</v>
          </cell>
        </row>
        <row r="18">
          <cell r="A18">
            <v>50</v>
          </cell>
          <cell r="B18">
            <v>92374.594757780287</v>
          </cell>
          <cell r="C18">
            <v>98840.816390824912</v>
          </cell>
          <cell r="D18">
            <v>113666.93884944863</v>
          </cell>
          <cell r="E18">
            <v>130716.97967686591</v>
          </cell>
          <cell r="F18">
            <v>139867.16825424653</v>
          </cell>
        </row>
        <row r="19">
          <cell r="A19">
            <v>51</v>
          </cell>
          <cell r="B19">
            <v>104383.29207629171</v>
          </cell>
          <cell r="C19">
            <v>111690.12252163213</v>
          </cell>
          <cell r="D19">
            <v>128443.64089987695</v>
          </cell>
          <cell r="E19">
            <v>147710.18703485848</v>
          </cell>
          <cell r="F19">
            <v>158049.90012729858</v>
          </cell>
        </row>
        <row r="20">
          <cell r="A20">
            <v>52</v>
          </cell>
          <cell r="B20">
            <v>125259.95049155004</v>
          </cell>
          <cell r="C20">
            <v>134028.14702595855</v>
          </cell>
          <cell r="D20">
            <v>154132.36907985233</v>
          </cell>
          <cell r="E20">
            <v>177252.22444183016</v>
          </cell>
          <cell r="F20">
            <v>189659.88015275827</v>
          </cell>
        </row>
        <row r="21">
          <cell r="A21">
            <v>53</v>
          </cell>
          <cell r="B21">
            <v>150311.94058986005</v>
          </cell>
          <cell r="C21">
            <v>160833.77643115027</v>
          </cell>
          <cell r="D21">
            <v>184958.8428958228</v>
          </cell>
          <cell r="E21">
            <v>212702.66933019619</v>
          </cell>
          <cell r="F21">
            <v>227591.85618330995</v>
          </cell>
        </row>
        <row r="22">
          <cell r="A22">
            <v>54</v>
          </cell>
          <cell r="B22">
            <v>180374.32870783209</v>
          </cell>
          <cell r="C22">
            <v>193000.53171738033</v>
          </cell>
          <cell r="D22">
            <v>221950.61147498735</v>
          </cell>
          <cell r="E22">
            <v>255243.20319623544</v>
          </cell>
          <cell r="F22">
            <v>273110.22741997195</v>
          </cell>
        </row>
        <row r="23">
          <cell r="A23">
            <v>55</v>
          </cell>
          <cell r="B23">
            <v>216449.19444939846</v>
          </cell>
          <cell r="C23">
            <v>231600.63806085638</v>
          </cell>
          <cell r="D23">
            <v>266340.7337699848</v>
          </cell>
          <cell r="E23">
            <v>306291.84383548249</v>
          </cell>
          <cell r="F23">
            <v>327732.27290396631</v>
          </cell>
        </row>
        <row r="24">
          <cell r="A24">
            <v>56</v>
          </cell>
          <cell r="B24">
            <v>259739.03333927819</v>
          </cell>
          <cell r="C24">
            <v>277920.76567302766</v>
          </cell>
          <cell r="D24">
            <v>319608.88052398176</v>
          </cell>
          <cell r="E24">
            <v>367550.21260257898</v>
          </cell>
          <cell r="F24">
            <v>393278.72748475953</v>
          </cell>
        </row>
        <row r="25">
          <cell r="A25">
            <v>57</v>
          </cell>
          <cell r="B25">
            <v>311686.84000713378</v>
          </cell>
          <cell r="C25">
            <v>333504.91880763316</v>
          </cell>
          <cell r="D25">
            <v>383530.65662877809</v>
          </cell>
          <cell r="E25">
            <v>441060.25512309477</v>
          </cell>
          <cell r="F25">
            <v>471934.47298171144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Mese"/>
      <sheetName val="mese"/>
      <sheetName val="Foglio1"/>
      <sheetName val="Foglio1 (2)"/>
      <sheetName val="settembre"/>
      <sheetName val="agosto"/>
      <sheetName val="luglio"/>
      <sheetName val="settembre (2)"/>
      <sheetName val="settembre (3)"/>
      <sheetName val="agosto 2"/>
      <sheetName val="Analisi MOP progressivo"/>
      <sheetName val="AnalisiMOP"/>
      <sheetName val="Mat x ese"/>
      <sheetName val="Matxese"/>
      <sheetName val="Costi ind_Spa"/>
      <sheetName val="Gruppo Dalmine "/>
      <sheetName val="#RIF"/>
      <sheetName val="Fabbrica"/>
      <sheetName val="Area_a_caldo"/>
      <sheetName val="Area_a_freddo"/>
      <sheetName val="Magazzino_prodotti_finiti"/>
      <sheetName val="Manut-7310"/>
      <sheetName val="Servizio_qualità"/>
      <sheetName val="Manut_ordin_area_cal"/>
      <sheetName val="Manutenzione_ordinaria_area_fre"/>
      <sheetName val="Manutenzione_ordinaria_magazzin"/>
      <sheetName val="Manutenzione_straordinaria_area"/>
      <sheetName val="Manutenzione_straordinaria_ (2)"/>
      <sheetName val="Acciaieria"/>
      <sheetName val="FAP"/>
      <sheetName val="Insumos"/>
      <sheetName val="Personale"/>
      <sheetName val="CapTrab"/>
      <sheetName val="Inversiones"/>
      <sheetName val="PFL"/>
      <sheetName val="CE(Mus$)"/>
      <sheetName val="Stato Patr."/>
      <sheetName val="Presu"/>
      <sheetName val="Manutenzione_straordinaria"/>
      <sheetName val="Manutenzione_ordinaria"/>
      <sheetName val="Man_ord"/>
      <sheetName val="Dictionary"/>
      <sheetName val="#REF"/>
      <sheetName val="Base_lotação budget 1213_Resumo"/>
      <sheetName val="IGO"/>
      <sheetName val="bdg1°"/>
      <sheetName val="Validaciones"/>
      <sheetName val="JUN"/>
      <sheetName val="Price Sheet"/>
    </sheetNames>
    <definedNames>
      <definedName name="Ordine_nuova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s Reais 05.06"/>
      <sheetName val="Pareto Real"/>
      <sheetName val="ABC Indirect Cost"/>
      <sheetName val="Comparativo"/>
      <sheetName val="Material de Consumo"/>
      <sheetName val="Voces"/>
      <sheetName val="UO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Voz</v>
          </cell>
          <cell r="B1" t="str">
            <v>DescVoz</v>
          </cell>
          <cell r="C1" t="str">
            <v>Agr1Voz</v>
          </cell>
        </row>
        <row r="2">
          <cell r="A2">
            <v>5101030204</v>
          </cell>
          <cell r="B2" t="str">
            <v>Otras ferroaleaciones</v>
          </cell>
          <cell r="C2" t="str">
            <v>Material de Consumo</v>
          </cell>
        </row>
        <row r="3">
          <cell r="A3">
            <v>5101060401</v>
          </cell>
          <cell r="B3" t="str">
            <v>Ctos. e Gtos.- Barras comerciais</v>
          </cell>
          <cell r="C3" t="str">
            <v>Material de Consumo</v>
          </cell>
        </row>
        <row r="4">
          <cell r="A4">
            <v>5101070502</v>
          </cell>
          <cell r="B4" t="str">
            <v>Steel plates in shee</v>
          </cell>
          <cell r="C4" t="str">
            <v>Material de Consumo</v>
          </cell>
        </row>
        <row r="5">
          <cell r="A5">
            <v>5101070505</v>
          </cell>
          <cell r="B5" t="str">
            <v>Ctos. y Gtos.- Perfiles y planchuelas</v>
          </cell>
          <cell r="C5" t="str">
            <v>Material de Consumo</v>
          </cell>
        </row>
        <row r="6">
          <cell r="A6">
            <v>5101070508</v>
          </cell>
          <cell r="B6" t="str">
            <v>Tubos diversos</v>
          </cell>
          <cell r="C6" t="str">
            <v>Material de Consumo</v>
          </cell>
        </row>
        <row r="7">
          <cell r="A7">
            <v>5101070511</v>
          </cell>
          <cell r="B7" t="str">
            <v>Elementos de fijación</v>
          </cell>
          <cell r="C7" t="str">
            <v>Material de Consumo</v>
          </cell>
        </row>
        <row r="8">
          <cell r="A8">
            <v>5101070516</v>
          </cell>
          <cell r="B8" t="str">
            <v>Perfilados (barras / perfis )</v>
          </cell>
          <cell r="C8" t="str">
            <v>Material de Consumo</v>
          </cell>
        </row>
        <row r="9">
          <cell r="A9">
            <v>5101080610</v>
          </cell>
          <cell r="B9" t="str">
            <v>Ctos. y Gtos.- Otros materiales de revestimento</v>
          </cell>
          <cell r="C9" t="str">
            <v>Material de Consumo</v>
          </cell>
        </row>
        <row r="10">
          <cell r="A10">
            <v>5101110850</v>
          </cell>
          <cell r="B10" t="str">
            <v>Ctos. y Gtos. - Chapa de acero en bobinas (coils)</v>
          </cell>
          <cell r="C10" t="str">
            <v>Material de Consumo</v>
          </cell>
        </row>
        <row r="11">
          <cell r="A11">
            <v>5101302007</v>
          </cell>
          <cell r="B11" t="str">
            <v>Ctos. y Gtos.- Sierras</v>
          </cell>
          <cell r="C11" t="str">
            <v>Material de Consumo</v>
          </cell>
        </row>
        <row r="12">
          <cell r="A12">
            <v>5101302010</v>
          </cell>
          <cell r="B12" t="str">
            <v>Ctos. y Gtos.- Insertos y peines</v>
          </cell>
          <cell r="C12" t="str">
            <v>Material de Consumo</v>
          </cell>
        </row>
        <row r="13">
          <cell r="A13">
            <v>5101302015</v>
          </cell>
          <cell r="B13" t="str">
            <v>Ctos. y Gtos.- Otros equipos medianos y pequenos</v>
          </cell>
          <cell r="C13" t="str">
            <v>Material de Consumo</v>
          </cell>
        </row>
        <row r="14">
          <cell r="A14">
            <v>5101312102</v>
          </cell>
          <cell r="B14" t="str">
            <v>Ctos. y Gtos.- Tapones y barras</v>
          </cell>
          <cell r="C14" t="str">
            <v>Material de Consumo</v>
          </cell>
        </row>
        <row r="15">
          <cell r="A15">
            <v>5101312110</v>
          </cell>
          <cell r="B15" t="str">
            <v>Ctos. y Gtos.- Fibras ceramicas aislantes</v>
          </cell>
          <cell r="C15" t="str">
            <v>Material de Consumo</v>
          </cell>
        </row>
        <row r="16">
          <cell r="A16">
            <v>5101322204</v>
          </cell>
          <cell r="B16" t="str">
            <v>Ctos. y Gtos.- Aceites y Lubricantes</v>
          </cell>
          <cell r="C16" t="str">
            <v>Material de Consumo</v>
          </cell>
        </row>
        <row r="17">
          <cell r="A17">
            <v>5101322212</v>
          </cell>
          <cell r="B17" t="str">
            <v>Ctos. y Gtos.- Eslingas, Cables y Accesorios</v>
          </cell>
          <cell r="C17" t="str">
            <v>Material de Consumo</v>
          </cell>
        </row>
        <row r="18">
          <cell r="A18">
            <v>5101322217</v>
          </cell>
          <cell r="B18" t="str">
            <v>Ctos. y Gtos.- Combustibles</v>
          </cell>
          <cell r="C18" t="str">
            <v>Material de Consumo</v>
          </cell>
        </row>
        <row r="19">
          <cell r="A19">
            <v>5101322219</v>
          </cell>
          <cell r="B19" t="str">
            <v>Ctos. y Gtos.- Materiales químicos de Proceso y Analisis</v>
          </cell>
          <cell r="C19" t="str">
            <v>Material de Consumo</v>
          </cell>
        </row>
        <row r="20">
          <cell r="A20">
            <v>5101322223</v>
          </cell>
          <cell r="B20" t="str">
            <v>Ctos. y Gtos.- Materiales  Para Estibaje y embalaje</v>
          </cell>
          <cell r="C20" t="str">
            <v>Material de Consumo</v>
          </cell>
        </row>
        <row r="21">
          <cell r="A21">
            <v>5101322229</v>
          </cell>
          <cell r="B21" t="str">
            <v>Ctos. y Gtos.- Materiales Para Inspeccion y Control</v>
          </cell>
          <cell r="C21" t="str">
            <v>Material de Consumo</v>
          </cell>
        </row>
        <row r="22">
          <cell r="A22">
            <v>5101322235</v>
          </cell>
          <cell r="B22" t="str">
            <v>Ctos. y Gtos.- Solventes</v>
          </cell>
          <cell r="C22" t="str">
            <v>Material de Consumo</v>
          </cell>
        </row>
        <row r="23">
          <cell r="A23">
            <v>5101322236</v>
          </cell>
          <cell r="B23" t="str">
            <v>Ctos. y Gtos.- Pintura y Lacas</v>
          </cell>
          <cell r="C23" t="str">
            <v>Material de Consumo</v>
          </cell>
        </row>
        <row r="24">
          <cell r="A24">
            <v>5101322239</v>
          </cell>
          <cell r="B24" t="str">
            <v>Ctos. y Gtos.- Herramientas de Mano</v>
          </cell>
          <cell r="C24" t="str">
            <v>Material de Consumo</v>
          </cell>
        </row>
        <row r="25">
          <cell r="A25">
            <v>5101322243</v>
          </cell>
          <cell r="B25" t="str">
            <v>Ctos. y Gtos.- Indumentaria de trabajo</v>
          </cell>
          <cell r="C25" t="str">
            <v>Material de Consumo</v>
          </cell>
        </row>
        <row r="26">
          <cell r="A26">
            <v>5101322247</v>
          </cell>
          <cell r="B26" t="str">
            <v>Ctos. y Gtos.- Materiales y Articulos de oficina</v>
          </cell>
          <cell r="C26" t="str">
            <v>Material de Consumo</v>
          </cell>
        </row>
        <row r="27">
          <cell r="A27">
            <v>5101322264</v>
          </cell>
          <cell r="B27" t="str">
            <v>Ctos. y Gtos.- Materiales y equipo Informatico</v>
          </cell>
          <cell r="C27" t="str">
            <v>Material de Consumo</v>
          </cell>
        </row>
        <row r="28">
          <cell r="A28">
            <v>5101322268</v>
          </cell>
          <cell r="B28" t="str">
            <v>Ctos. y Gtos.- Materiales y repuestos equipo Automotor</v>
          </cell>
          <cell r="C28" t="str">
            <v>Material de Consumo</v>
          </cell>
        </row>
        <row r="29">
          <cell r="A29">
            <v>5101322274</v>
          </cell>
          <cell r="B29" t="str">
            <v>Ctos. y Gtos.- Otros Materiales de Consumo</v>
          </cell>
          <cell r="C29" t="str">
            <v>Material de Consumo</v>
          </cell>
        </row>
        <row r="30">
          <cell r="A30">
            <v>5101322295</v>
          </cell>
          <cell r="B30" t="str">
            <v>Componentes de aislamiento</v>
          </cell>
          <cell r="C30" t="str">
            <v>Material de Consumo</v>
          </cell>
        </row>
        <row r="31">
          <cell r="A31">
            <v>5101332400</v>
          </cell>
          <cell r="B31" t="str">
            <v>Ctos. y Gtos.- Elementos eléctricos y electrónicos</v>
          </cell>
          <cell r="C31" t="str">
            <v>Material de Consumo</v>
          </cell>
        </row>
        <row r="32">
          <cell r="A32">
            <v>5101342500</v>
          </cell>
          <cell r="B32" t="str">
            <v>Ctos. y Gtos.- Instrumentacion y Control</v>
          </cell>
          <cell r="C32" t="str">
            <v>Material de Consumo</v>
          </cell>
        </row>
        <row r="33">
          <cell r="A33">
            <v>5101362600</v>
          </cell>
          <cell r="B33" t="str">
            <v>Ctos. y Gtos.- Componentes Mecanicos</v>
          </cell>
          <cell r="C33" t="str">
            <v>Material de Consumo</v>
          </cell>
        </row>
        <row r="34">
          <cell r="A34">
            <v>5101372700</v>
          </cell>
          <cell r="B34" t="str">
            <v>Ctos. y Gtos.- Componentes Hidroneumaticos</v>
          </cell>
          <cell r="C34" t="str">
            <v>Material de Consumo</v>
          </cell>
        </row>
        <row r="35">
          <cell r="A35">
            <v>5101433000</v>
          </cell>
          <cell r="B35" t="str">
            <v>Ctos. y Gtos.- Repuestos Especificos bajo plano</v>
          </cell>
          <cell r="C35" t="str">
            <v>Material de Consumo</v>
          </cell>
        </row>
        <row r="36">
          <cell r="A36">
            <v>5101494700</v>
          </cell>
          <cell r="B36" t="str">
            <v>Productos tubulares</v>
          </cell>
          <cell r="C36" t="str">
            <v>Material de Consumo</v>
          </cell>
        </row>
        <row r="37">
          <cell r="A37">
            <v>5101494704</v>
          </cell>
          <cell r="B37" t="str">
            <v>Tubos metalioco no ferrosos</v>
          </cell>
          <cell r="C37" t="str">
            <v>Material de Consumo</v>
          </cell>
        </row>
        <row r="38">
          <cell r="A38">
            <v>5101494710</v>
          </cell>
          <cell r="B38" t="str">
            <v>Tubos soldados industriales</v>
          </cell>
          <cell r="C38" t="str">
            <v>Material de Consumo</v>
          </cell>
        </row>
        <row r="39">
          <cell r="A39">
            <v>5101494711</v>
          </cell>
          <cell r="B39" t="str">
            <v>Line pipe</v>
          </cell>
          <cell r="C39" t="str">
            <v>Material de Consumo</v>
          </cell>
        </row>
        <row r="40">
          <cell r="A40">
            <v>5109000001</v>
          </cell>
          <cell r="B40" t="str">
            <v>Liquidación ordenes internas gestional</v>
          </cell>
          <cell r="C40" t="str">
            <v>Material de Consumo</v>
          </cell>
        </row>
        <row r="41">
          <cell r="A41">
            <v>5112700100</v>
          </cell>
          <cell r="B41" t="str">
            <v>Ctos. y Gtos.- Producción tubo terminado</v>
          </cell>
          <cell r="C41" t="str">
            <v>Mão de Obra</v>
          </cell>
        </row>
        <row r="42">
          <cell r="A42">
            <v>5121160001</v>
          </cell>
          <cell r="B42" t="str">
            <v>Cluster 1</v>
          </cell>
          <cell r="C42" t="str">
            <v>Mão de Obra</v>
          </cell>
        </row>
        <row r="43">
          <cell r="A43">
            <v>5121160021</v>
          </cell>
          <cell r="B43" t="str">
            <v>Hs. Cedidas sindicalizado Jornalizado</v>
          </cell>
          <cell r="C43" t="str">
            <v>Mão de Obra</v>
          </cell>
        </row>
        <row r="44">
          <cell r="A44">
            <v>5198000006</v>
          </cell>
          <cell r="B44" t="str">
            <v>Distribucion Interna de otros</v>
          </cell>
          <cell r="C44" t="str">
            <v>Energia</v>
          </cell>
        </row>
        <row r="45">
          <cell r="A45">
            <v>5201056006</v>
          </cell>
          <cell r="B45" t="str">
            <v>Ctos. y Gtos. - C.D. Subproductos</v>
          </cell>
          <cell r="C45" t="str">
            <v>Material de Consumo</v>
          </cell>
        </row>
        <row r="46">
          <cell r="A46">
            <v>5201066007</v>
          </cell>
          <cell r="B46" t="str">
            <v>Ctos. y Gtos. - C.D. Acero</v>
          </cell>
          <cell r="C46" t="str">
            <v>Material de Consumo</v>
          </cell>
        </row>
        <row r="47">
          <cell r="A47">
            <v>5201076008</v>
          </cell>
          <cell r="B47" t="str">
            <v>Ctos. y Gtos. - C.D. Productos Industriales</v>
          </cell>
          <cell r="C47" t="str">
            <v>Material de Consumo</v>
          </cell>
        </row>
        <row r="48">
          <cell r="A48">
            <v>5201106011</v>
          </cell>
          <cell r="B48" t="str">
            <v>Ctos. y Gtos. - C.D. Materias primas p/protectores</v>
          </cell>
          <cell r="C48" t="str">
            <v>Material de Consumo</v>
          </cell>
        </row>
        <row r="49">
          <cell r="A49">
            <v>5201216013</v>
          </cell>
          <cell r="B49" t="str">
            <v>Ctos. y Gtos. - C.D. Protectores</v>
          </cell>
          <cell r="C49" t="str">
            <v>Material de Consumo</v>
          </cell>
        </row>
        <row r="50">
          <cell r="A50">
            <v>5201306015</v>
          </cell>
          <cell r="B50" t="str">
            <v>Ctos. y Gtos. - C.D. Equipos medianos y pequeños</v>
          </cell>
          <cell r="C50" t="str">
            <v>Material de Consumo</v>
          </cell>
        </row>
        <row r="51">
          <cell r="A51">
            <v>5201306017</v>
          </cell>
          <cell r="B51" t="str">
            <v>Ctos. y Gtos. - C.D. Ins y matles Insertos de desbaste</v>
          </cell>
          <cell r="C51" t="str">
            <v>Material de Consumo</v>
          </cell>
        </row>
        <row r="52">
          <cell r="A52">
            <v>5201316019</v>
          </cell>
          <cell r="B52" t="str">
            <v>Ctos. y Gtos. - C.D. Refractarios</v>
          </cell>
          <cell r="C52" t="str">
            <v>Material de Consumo</v>
          </cell>
        </row>
        <row r="53">
          <cell r="A53">
            <v>5201326020</v>
          </cell>
          <cell r="B53" t="str">
            <v>Ctos. y Gtos. - C.D. Insumos y materiales de consumo</v>
          </cell>
          <cell r="C53" t="str">
            <v>Material de Consumo</v>
          </cell>
        </row>
        <row r="54">
          <cell r="A54">
            <v>5201326023</v>
          </cell>
          <cell r="B54" t="str">
            <v>Ctos. y Gtos. - C.D. Ins y matles Uniformes y Ropa De Trabajo</v>
          </cell>
          <cell r="C54" t="str">
            <v>Mão de Obra</v>
          </cell>
        </row>
        <row r="55">
          <cell r="A55">
            <v>5201326053</v>
          </cell>
          <cell r="B55" t="str">
            <v>Automotors</v>
          </cell>
          <cell r="C55" t="str">
            <v>Serviços de Terceiros</v>
          </cell>
        </row>
        <row r="56">
          <cell r="A56">
            <v>5201336032</v>
          </cell>
          <cell r="B56" t="str">
            <v>Ctos. y Gtos. - C.D. Elementos eléctricos y electrónicos</v>
          </cell>
          <cell r="C56" t="str">
            <v>Material de Consumo</v>
          </cell>
        </row>
        <row r="57">
          <cell r="A57">
            <v>5201356033</v>
          </cell>
          <cell r="B57" t="str">
            <v>Ctos. y Gtos. - C.D. Instrumentacion y Control</v>
          </cell>
          <cell r="C57" t="str">
            <v>Material de Consumo</v>
          </cell>
        </row>
        <row r="58">
          <cell r="A58">
            <v>5201366034</v>
          </cell>
          <cell r="B58" t="str">
            <v>Ctos. y Gtos. - C.D. Componentes Mecanicos</v>
          </cell>
          <cell r="C58" t="str">
            <v>Material de Consumo</v>
          </cell>
        </row>
        <row r="59">
          <cell r="A59">
            <v>5201376035</v>
          </cell>
          <cell r="B59" t="str">
            <v>Ctos. y Gtos. - C.D. Componentes Hidroneumaticos</v>
          </cell>
          <cell r="C59" t="str">
            <v>Material de Consumo</v>
          </cell>
        </row>
        <row r="60">
          <cell r="A60">
            <v>5201436036</v>
          </cell>
          <cell r="B60" t="str">
            <v>Ctos. y Gtos. - C.D. Repuestos Especificos bajo plano</v>
          </cell>
          <cell r="C60" t="str">
            <v>Material de Consumo</v>
          </cell>
        </row>
        <row r="61">
          <cell r="A61">
            <v>5201606024</v>
          </cell>
          <cell r="B61" t="str">
            <v>Ctos. y Gtos. - C.D. Ins y matles Materiales Comestibles Para Cafeteria</v>
          </cell>
          <cell r="C61" t="str">
            <v>Mão de Obra</v>
          </cell>
        </row>
        <row r="62">
          <cell r="A62">
            <v>5201626030</v>
          </cell>
          <cell r="B62" t="str">
            <v>Ctos. y Gtos. - C.D. Ins y matles Presentes Empresariales</v>
          </cell>
          <cell r="C62" t="str">
            <v>Material de Consumo</v>
          </cell>
        </row>
        <row r="63">
          <cell r="A63">
            <v>5201636025</v>
          </cell>
          <cell r="B63" t="str">
            <v>Ctos. y Gtos. - C.D. Ins y matles Papeleria De Uso General</v>
          </cell>
          <cell r="C63" t="str">
            <v>Material de Consumo</v>
          </cell>
        </row>
        <row r="64">
          <cell r="A64">
            <v>5201646027</v>
          </cell>
          <cell r="B64" t="str">
            <v>Ctos. y Gtos. - C.D. Ins y matles Maquinas De Oficina(Hard-soft)</v>
          </cell>
          <cell r="C64" t="str">
            <v>Material de Consumo</v>
          </cell>
        </row>
        <row r="65">
          <cell r="A65">
            <v>5201646057</v>
          </cell>
          <cell r="B65" t="str">
            <v>PC purchase</v>
          </cell>
          <cell r="C65" t="str">
            <v>Serviços de Terceiros</v>
          </cell>
        </row>
        <row r="66">
          <cell r="A66">
            <v>5201656029</v>
          </cell>
          <cell r="B66" t="str">
            <v>Ctos. y Gtos. - C.D. Ins y matles Muebles De Oficina</v>
          </cell>
          <cell r="C66" t="str">
            <v>Material de Consumo</v>
          </cell>
        </row>
        <row r="67">
          <cell r="A67">
            <v>5201676026</v>
          </cell>
          <cell r="B67" t="str">
            <v>Ctos. y Gtos. - C.D. Ins y matles Articulos De Oficina Y Escritorio</v>
          </cell>
          <cell r="C67" t="str">
            <v>Material de Consumo</v>
          </cell>
        </row>
        <row r="68">
          <cell r="A68">
            <v>5201986042</v>
          </cell>
          <cell r="B68" t="str">
            <v>Material de Consumo</v>
          </cell>
          <cell r="C68" t="str">
            <v>Material de Consumo</v>
          </cell>
        </row>
        <row r="69">
          <cell r="A69">
            <v>5201986044</v>
          </cell>
          <cell r="B69" t="str">
            <v>Ctos. y Gtos. - C.D. Equipo completos</v>
          </cell>
          <cell r="C69" t="str">
            <v>Material de Consumo</v>
          </cell>
        </row>
        <row r="70">
          <cell r="A70">
            <v>5201996041</v>
          </cell>
          <cell r="B70" t="str">
            <v>Ctos. y Gtos. - C.D. Varios</v>
          </cell>
          <cell r="C70" t="str">
            <v>Material de Consumo</v>
          </cell>
        </row>
        <row r="71">
          <cell r="A71">
            <v>5202700711</v>
          </cell>
          <cell r="B71" t="str">
            <v>Ctos. y Gtos.- Flete terrestre Vessel Run</v>
          </cell>
          <cell r="C71" t="str">
            <v>Material de Consumo</v>
          </cell>
        </row>
        <row r="72">
          <cell r="A72">
            <v>5209000003</v>
          </cell>
          <cell r="B72" t="str">
            <v>Ctos. y Gtos.- Liquidación centros de costo</v>
          </cell>
          <cell r="C72" t="str">
            <v>Mão de Obra</v>
          </cell>
        </row>
        <row r="73">
          <cell r="A73">
            <v>5211048074</v>
          </cell>
          <cell r="B73" t="str">
            <v>ING BRUTOS</v>
          </cell>
          <cell r="C73" t="str">
            <v>Material de Consumo</v>
          </cell>
        </row>
        <row r="74">
          <cell r="A74">
            <v>5211058093</v>
          </cell>
          <cell r="B74" t="str">
            <v>pris por seguros/Assicurazioni non Inail</v>
          </cell>
          <cell r="C74" t="str">
            <v>Mão de Obra</v>
          </cell>
        </row>
        <row r="75">
          <cell r="A75">
            <v>5211058095</v>
          </cell>
          <cell r="B75" t="str">
            <v>SEGUROS PAT Y OTROS</v>
          </cell>
          <cell r="C75" t="str">
            <v>Material de Consumo</v>
          </cell>
        </row>
        <row r="76">
          <cell r="A76">
            <v>5211078154</v>
          </cell>
          <cell r="B76" t="str">
            <v>REMISES</v>
          </cell>
          <cell r="C76" t="str">
            <v>Mão de Obra</v>
          </cell>
        </row>
        <row r="77">
          <cell r="A77">
            <v>5211088170</v>
          </cell>
          <cell r="B77" t="str">
            <v>Treinamento Blue collar</v>
          </cell>
          <cell r="C77" t="str">
            <v>Mão de Obra</v>
          </cell>
        </row>
        <row r="78">
          <cell r="A78">
            <v>5211098190</v>
          </cell>
          <cell r="B78" t="str">
            <v>Ctos. y Gtos.- Arrendamiento de maquinaria y equipo</v>
          </cell>
          <cell r="C78" t="str">
            <v>Material de Consumo</v>
          </cell>
        </row>
        <row r="79">
          <cell r="A79">
            <v>5211098196</v>
          </cell>
          <cell r="B79" t="str">
            <v>Ctos. y Gtos.- Arrendamiento de vehiculos</v>
          </cell>
          <cell r="C79" t="str">
            <v>Material de Consumo</v>
          </cell>
        </row>
        <row r="80">
          <cell r="A80">
            <v>5211098201</v>
          </cell>
          <cell r="B80" t="str">
            <v>ALQUILER OFICINAS</v>
          </cell>
          <cell r="C80" t="str">
            <v>Material de Consumo</v>
          </cell>
        </row>
        <row r="81">
          <cell r="A81">
            <v>5211108220</v>
          </cell>
          <cell r="B81" t="str">
            <v>PASAJES Y VIATICOS I</v>
          </cell>
          <cell r="C81" t="str">
            <v>Material de Consumo</v>
          </cell>
        </row>
        <row r="82">
          <cell r="A82">
            <v>5211108222</v>
          </cell>
          <cell r="B82" t="str">
            <v>PASAJES Y VIATICOS E</v>
          </cell>
          <cell r="C82" t="str">
            <v>Material de Consumo</v>
          </cell>
        </row>
        <row r="83">
          <cell r="A83">
            <v>5211108225</v>
          </cell>
          <cell r="B83" t="str">
            <v>Gtos viaje(asistencia-comisióntrab)ext</v>
          </cell>
          <cell r="C83" t="str">
            <v>Material de Consumo</v>
          </cell>
        </row>
        <row r="84">
          <cell r="A84">
            <v>5211118240</v>
          </cell>
          <cell r="B84" t="str">
            <v>FOTOCOPIADORAS</v>
          </cell>
          <cell r="C84" t="str">
            <v>Material de Consumo</v>
          </cell>
        </row>
        <row r="85">
          <cell r="A85">
            <v>5211118241</v>
          </cell>
          <cell r="B85" t="str">
            <v>Ctos. y Gtos.- Mantto. Mobiliario y equipos de oficina</v>
          </cell>
          <cell r="C85" t="str">
            <v>Serviços de Terceiros</v>
          </cell>
        </row>
        <row r="86">
          <cell r="A86">
            <v>5211118243</v>
          </cell>
          <cell r="B86" t="str">
            <v>GASTOS POSTALES,COMU</v>
          </cell>
          <cell r="C86" t="str">
            <v>Material de Consumo</v>
          </cell>
        </row>
        <row r="87">
          <cell r="A87">
            <v>5211118247</v>
          </cell>
          <cell r="B87" t="str">
            <v>SUSCRIPCIONES</v>
          </cell>
          <cell r="C87" t="str">
            <v>Material de Consumo</v>
          </cell>
        </row>
        <row r="88">
          <cell r="A88">
            <v>5211128260</v>
          </cell>
          <cell r="B88" t="str">
            <v>Ctos. y Gtos.- Gastos de contratacion del personal/Ricerca Personal</v>
          </cell>
          <cell r="C88" t="str">
            <v>Mão de Obra</v>
          </cell>
        </row>
        <row r="89">
          <cell r="A89">
            <v>5211128268</v>
          </cell>
          <cell r="B89" t="str">
            <v>Gastos varios personal dependiente</v>
          </cell>
          <cell r="C89" t="str">
            <v>Mão de Obra</v>
          </cell>
        </row>
        <row r="90">
          <cell r="A90">
            <v>5211128269</v>
          </cell>
          <cell r="B90" t="str">
            <v>Fondo de asistencia interno</v>
          </cell>
          <cell r="C90" t="str">
            <v>Mão de Obra</v>
          </cell>
        </row>
        <row r="91">
          <cell r="A91">
            <v>5211128273</v>
          </cell>
          <cell r="B91" t="str">
            <v>ACONT. FAMILIARES</v>
          </cell>
          <cell r="C91" t="str">
            <v>Mão de Obra</v>
          </cell>
        </row>
        <row r="92">
          <cell r="A92">
            <v>5211128274</v>
          </cell>
          <cell r="B92" t="str">
            <v>CAFETERIA Y COMEDOR</v>
          </cell>
          <cell r="C92" t="str">
            <v>Mão de Obra</v>
          </cell>
        </row>
        <row r="93">
          <cell r="A93">
            <v>5211128280</v>
          </cell>
          <cell r="B93" t="str">
            <v>Ctos. y Gtos.- Otros gastos menores - servicios</v>
          </cell>
          <cell r="C93" t="str">
            <v>Serviços de Terceiros</v>
          </cell>
        </row>
        <row r="94">
          <cell r="A94">
            <v>5211128282</v>
          </cell>
          <cell r="B94" t="str">
            <v>Prima por matrimonio</v>
          </cell>
          <cell r="C94" t="str">
            <v>Mão de Obra</v>
          </cell>
        </row>
        <row r="95">
          <cell r="A95">
            <v>5211138290</v>
          </cell>
          <cell r="B95" t="str">
            <v>TELEFONO Y TELEX</v>
          </cell>
          <cell r="C95" t="str">
            <v>Outros</v>
          </cell>
        </row>
        <row r="96">
          <cell r="A96">
            <v>5211138293</v>
          </cell>
          <cell r="B96" t="str">
            <v>Celulares, beepers</v>
          </cell>
          <cell r="C96" t="str">
            <v>Outros</v>
          </cell>
        </row>
        <row r="97">
          <cell r="A97">
            <v>5211138295</v>
          </cell>
          <cell r="B97" t="str">
            <v>TELEFONO Y TELEX</v>
          </cell>
          <cell r="C97" t="str">
            <v>Outros</v>
          </cell>
        </row>
        <row r="98">
          <cell r="A98">
            <v>5211138309</v>
          </cell>
          <cell r="B98" t="str">
            <v>HARDWARE SERVICIOS</v>
          </cell>
          <cell r="C98" t="str">
            <v>Serviços de Terceiros</v>
          </cell>
        </row>
        <row r="99">
          <cell r="A99">
            <v>5211138310</v>
          </cell>
          <cell r="B99" t="str">
            <v>Manutenção software aplicativo/aplicaciones</v>
          </cell>
          <cell r="C99" t="str">
            <v>Serviços de Terceiros</v>
          </cell>
        </row>
        <row r="100">
          <cell r="A100">
            <v>5211138311</v>
          </cell>
          <cell r="B100" t="str">
            <v>HARDWARE SERVICIOS</v>
          </cell>
          <cell r="C100" t="str">
            <v>Serviços de Terceiros</v>
          </cell>
        </row>
        <row r="101">
          <cell r="A101">
            <v>5211148330</v>
          </cell>
          <cell r="B101" t="str">
            <v>SERVICIOS PROF. O IN</v>
          </cell>
          <cell r="C101" t="str">
            <v>Serviços de Terceiros</v>
          </cell>
        </row>
        <row r="102">
          <cell r="A102">
            <v>5211148334</v>
          </cell>
          <cell r="B102" t="str">
            <v>ASISTENCIA TECNICA</v>
          </cell>
          <cell r="C102" t="str">
            <v>Serviços de Terceiros</v>
          </cell>
        </row>
        <row r="103">
          <cell r="A103">
            <v>5211148338</v>
          </cell>
          <cell r="B103" t="str">
            <v>SERVICIOS PROF. O IN</v>
          </cell>
          <cell r="C103" t="str">
            <v>Serviços de Terceiros</v>
          </cell>
        </row>
        <row r="104">
          <cell r="A104">
            <v>5211168380</v>
          </cell>
          <cell r="B104" t="str">
            <v>Ctos. y Gtos.- Servicios Preparación de Pruebas y análisis de laboratorios</v>
          </cell>
          <cell r="C104" t="str">
            <v>Serviços de Terceiros</v>
          </cell>
        </row>
        <row r="105">
          <cell r="A105">
            <v>5211168386</v>
          </cell>
          <cell r="B105" t="str">
            <v>Ctos. y Gtos.- Servicios Inspección de tubos</v>
          </cell>
          <cell r="C105" t="str">
            <v>Serviços de Terceiros</v>
          </cell>
        </row>
        <row r="106">
          <cell r="A106">
            <v>5211168389</v>
          </cell>
          <cell r="B106" t="str">
            <v>S Calibrac eq/instr</v>
          </cell>
          <cell r="C106" t="str">
            <v>Serviços de Terceiros</v>
          </cell>
        </row>
        <row r="107">
          <cell r="A107">
            <v>5211178400</v>
          </cell>
          <cell r="B107" t="str">
            <v>Ctos. y Gtos.- Servicios Obras civiles y Mantto. en Naves industriales</v>
          </cell>
          <cell r="C107" t="str">
            <v>Serviços de Terceiros</v>
          </cell>
        </row>
        <row r="108">
          <cell r="A108">
            <v>5211178404</v>
          </cell>
          <cell r="B108" t="str">
            <v>Ctos. y Gtos.- Servicios Obras civiles y Mantto. en Naves industriales</v>
          </cell>
          <cell r="C108" t="str">
            <v>Serviços de Terceiros</v>
          </cell>
        </row>
        <row r="109">
          <cell r="A109">
            <v>5211178409</v>
          </cell>
          <cell r="B109" t="str">
            <v>Ctos. y Gtos.- Servicios Mano de obra administrada obra civil</v>
          </cell>
          <cell r="C109" t="str">
            <v>Serviços de Terceiros</v>
          </cell>
        </row>
        <row r="110">
          <cell r="A110">
            <v>5211188430</v>
          </cell>
          <cell r="B110" t="str">
            <v>Serviços Mão de obra admninistrada Engenharia</v>
          </cell>
          <cell r="C110" t="str">
            <v>Serviços de Terceiros</v>
          </cell>
        </row>
        <row r="111">
          <cell r="A111">
            <v>5211188437</v>
          </cell>
          <cell r="B111" t="str">
            <v>Ctos. y Gtos.- Servicios Mano de Obra Administrada Ingeniería Electrica</v>
          </cell>
          <cell r="C111" t="str">
            <v>Serviços de Terceiros</v>
          </cell>
        </row>
        <row r="112">
          <cell r="A112">
            <v>5211188439</v>
          </cell>
          <cell r="B112" t="str">
            <v>Ctos y Gtos.- Servicios Mano de Obra Administrada Ingeniería Automatizacion Niv 1</v>
          </cell>
          <cell r="C112" t="str">
            <v>Serviços de Terceiros</v>
          </cell>
        </row>
        <row r="113">
          <cell r="A113">
            <v>5211188441</v>
          </cell>
          <cell r="B113" t="str">
            <v>Ctos. y Gtos.- Servicios Monto Global Ingeniería</v>
          </cell>
          <cell r="C113" t="str">
            <v>Serviços de Terceiros</v>
          </cell>
        </row>
        <row r="114">
          <cell r="A114">
            <v>5211208480</v>
          </cell>
          <cell r="B114" t="str">
            <v>Ctos y Gtos.- Servicios Mantto. aire acondicionado y Calefaccion</v>
          </cell>
          <cell r="C114" t="str">
            <v>Serviços de Terceiros</v>
          </cell>
        </row>
        <row r="115">
          <cell r="A115">
            <v>5211218500</v>
          </cell>
          <cell r="B115" t="str">
            <v>Ctos. y Gtos.- Servicios Mantto. de automotores</v>
          </cell>
          <cell r="C115" t="str">
            <v>Serviços de Terceiros</v>
          </cell>
        </row>
        <row r="116">
          <cell r="A116">
            <v>5211228510</v>
          </cell>
          <cell r="B116" t="str">
            <v>Ctos. y Gtos.- Servicios Mantto. de motores eléctricos</v>
          </cell>
          <cell r="C116" t="str">
            <v>Serviços de Terceiros</v>
          </cell>
        </row>
        <row r="117">
          <cell r="A117">
            <v>5211228520</v>
          </cell>
          <cell r="B117" t="str">
            <v>Ctos. y Gtos.- Servicios Mano de obra administrada eléctrica</v>
          </cell>
          <cell r="C117" t="str">
            <v>Serviços de Terceiros</v>
          </cell>
        </row>
        <row r="118">
          <cell r="A118">
            <v>5211228521</v>
          </cell>
          <cell r="B118" t="str">
            <v>Ctos. y Gtos.- Servicios Mantto. e Instalaciones Electricas</v>
          </cell>
          <cell r="C118" t="str">
            <v>Serviços de Terceiros</v>
          </cell>
        </row>
        <row r="119">
          <cell r="A119">
            <v>5211238540</v>
          </cell>
          <cell r="B119" t="str">
            <v>Ctos. y Gtos.- Servicios Mano de obra administrada electrónica</v>
          </cell>
          <cell r="C119" t="str">
            <v>Serviços de Terceiros</v>
          </cell>
        </row>
        <row r="120">
          <cell r="A120">
            <v>5211238541</v>
          </cell>
          <cell r="B120" t="str">
            <v>Ctos. y Gtos.- Servicios Mantto. de equipos electrónicos</v>
          </cell>
          <cell r="C120" t="str">
            <v>Serviços de Terceiros</v>
          </cell>
        </row>
        <row r="121">
          <cell r="A121">
            <v>5211248560</v>
          </cell>
          <cell r="B121" t="str">
            <v>S Mano obra adm mec</v>
          </cell>
          <cell r="C121" t="str">
            <v>Serviços de Terceiros</v>
          </cell>
        </row>
        <row r="122">
          <cell r="A122">
            <v>5211248562</v>
          </cell>
          <cell r="B122" t="str">
            <v>Ctos. y Gtos.- Servicios Mantto. e instalaciones mecánicas</v>
          </cell>
          <cell r="C122" t="str">
            <v>Serviços de Terceiros</v>
          </cell>
        </row>
        <row r="123">
          <cell r="A123">
            <v>5211258580</v>
          </cell>
          <cell r="B123" t="str">
            <v>Ctos. y Gtos.- Servicios Mano de obra administrada limpieza</v>
          </cell>
          <cell r="C123" t="str">
            <v>Serviços de Terceiros</v>
          </cell>
        </row>
        <row r="124">
          <cell r="A124">
            <v>5211258585</v>
          </cell>
          <cell r="B124" t="str">
            <v>Ctos. y Gtos.- Servicios Limpieza Especializada</v>
          </cell>
          <cell r="C124" t="str">
            <v>Serviços de Terceiros</v>
          </cell>
        </row>
        <row r="125">
          <cell r="A125">
            <v>5211268620</v>
          </cell>
          <cell r="B125" t="str">
            <v>Ctos. y Gtos.- Servicios Transporte de personal</v>
          </cell>
          <cell r="C125" t="str">
            <v>Mão de Obra</v>
          </cell>
        </row>
        <row r="126">
          <cell r="A126">
            <v>5211288660</v>
          </cell>
          <cell r="B126" t="str">
            <v>Ctos. y Gtos.- Servicios Mecanizado de piezas mecánicas</v>
          </cell>
          <cell r="C126" t="str">
            <v>Serviços de Terceiros</v>
          </cell>
        </row>
        <row r="127">
          <cell r="A127">
            <v>5211288663</v>
          </cell>
          <cell r="B127" t="str">
            <v>Ctos. y Gtos.- Servicios Mecanizado de herramental fabricación</v>
          </cell>
          <cell r="C127" t="str">
            <v>Serviços de Terceiros</v>
          </cell>
        </row>
        <row r="128">
          <cell r="A128">
            <v>5211298681</v>
          </cell>
          <cell r="B128" t="str">
            <v>Ctos. y Gtos.- Servicios Deposición y procesamiento de residuos</v>
          </cell>
          <cell r="C128" t="str">
            <v>Outros</v>
          </cell>
        </row>
        <row r="129">
          <cell r="A129">
            <v>5211298682</v>
          </cell>
          <cell r="B129" t="str">
            <v>Ctos. y Gtos.- Servicios Tratamiento de residuos Industriales</v>
          </cell>
          <cell r="C129" t="str">
            <v>Serviços de Terceiros</v>
          </cell>
        </row>
        <row r="130">
          <cell r="A130">
            <v>5211298684</v>
          </cell>
          <cell r="B130" t="str">
            <v>Ctos y Gtos.- Servicios Tratamiento de residuos Barros de Acería</v>
          </cell>
          <cell r="C130" t="str">
            <v>Serviços de Terceiros</v>
          </cell>
        </row>
        <row r="131">
          <cell r="A131">
            <v>5211298690</v>
          </cell>
          <cell r="B131" t="str">
            <v>Ctos. y Gtos.- Servicios Confinamiento polvos</v>
          </cell>
          <cell r="C131" t="str">
            <v>Serviços de Terceiros</v>
          </cell>
        </row>
        <row r="132">
          <cell r="A132">
            <v>5211318720</v>
          </cell>
          <cell r="B132" t="str">
            <v>SERVICIOS PROF. O IN</v>
          </cell>
          <cell r="C132" t="str">
            <v>Mão de Obra</v>
          </cell>
        </row>
        <row r="133">
          <cell r="A133">
            <v>5211318722</v>
          </cell>
          <cell r="B133" t="str">
            <v>SERVICIOS PROF. O IN</v>
          </cell>
          <cell r="C133" t="str">
            <v>Mão de Obra</v>
          </cell>
        </row>
        <row r="134">
          <cell r="A134">
            <v>5211328723</v>
          </cell>
          <cell r="B134" t="str">
            <v>Ctos. y Gtos.- Servicios Vigilancia</v>
          </cell>
          <cell r="C134" t="str">
            <v>Serviços de Terceiros</v>
          </cell>
        </row>
        <row r="135">
          <cell r="A135">
            <v>5211358790</v>
          </cell>
          <cell r="B135" t="str">
            <v>Ctos. y Gtos.- Servicios Regeneración de mandriles</v>
          </cell>
          <cell r="C135" t="str">
            <v>Serviços de Terceiros</v>
          </cell>
        </row>
        <row r="136">
          <cell r="A136">
            <v>5211358793</v>
          </cell>
          <cell r="B136" t="str">
            <v>Ctos. y Gtos.- Servicios Regeneración de cilindros</v>
          </cell>
          <cell r="C136" t="str">
            <v>Serviços de Terceiros</v>
          </cell>
        </row>
        <row r="137">
          <cell r="A137">
            <v>5211358795</v>
          </cell>
          <cell r="B137" t="str">
            <v>Manutenção de Ferramentais</v>
          </cell>
          <cell r="C137" t="str">
            <v>Material de Consumo</v>
          </cell>
        </row>
        <row r="138">
          <cell r="A138">
            <v>5211368812</v>
          </cell>
          <cell r="B138" t="str">
            <v>packing Serv.</v>
          </cell>
          <cell r="C138" t="str">
            <v>Serviços de Terceiros</v>
          </cell>
        </row>
        <row r="139">
          <cell r="A139">
            <v>5211368815</v>
          </cell>
          <cell r="B139" t="str">
            <v>Ctos. y Gtos.- Servicios varios</v>
          </cell>
          <cell r="C139" t="str">
            <v>Serviços de Terceiros</v>
          </cell>
        </row>
        <row r="140">
          <cell r="A140">
            <v>5211368829</v>
          </cell>
          <cell r="B140" t="str">
            <v>Ctos. y Gtos.- Servicios Mano de obra administrada</v>
          </cell>
          <cell r="C140" t="str">
            <v>Serviços de Terceiros</v>
          </cell>
        </row>
        <row r="141">
          <cell r="A141">
            <v>5211368835</v>
          </cell>
          <cell r="B141" t="str">
            <v>Other Serv. Icome</v>
          </cell>
          <cell r="C141" t="str">
            <v>Serviços de Terceiros</v>
          </cell>
        </row>
        <row r="142">
          <cell r="A142">
            <v>5211398884</v>
          </cell>
          <cell r="B142" t="str">
            <v>Gastos Recupero gastos</v>
          </cell>
          <cell r="C142" t="str">
            <v>Mão de Obra</v>
          </cell>
        </row>
        <row r="143">
          <cell r="A143">
            <v>5211905002</v>
          </cell>
          <cell r="B143" t="str">
            <v>Ctos. y Gtos.- Energía Electrica Variable</v>
          </cell>
          <cell r="C143" t="str">
            <v>Energia</v>
          </cell>
        </row>
        <row r="144">
          <cell r="A144">
            <v>5215400000</v>
          </cell>
          <cell r="B144" t="str">
            <v>Mantenimiento extraoridinario</v>
          </cell>
          <cell r="C144" t="str">
            <v>Manutenção - Paradão</v>
          </cell>
        </row>
        <row r="145">
          <cell r="A145">
            <v>5218390000</v>
          </cell>
          <cell r="B145" t="str">
            <v>Ingreso por incremento personal</v>
          </cell>
          <cell r="C145" t="str">
            <v>Mão de Obra</v>
          </cell>
        </row>
        <row r="146">
          <cell r="A146">
            <v>5221100004</v>
          </cell>
          <cell r="B146" t="str">
            <v>Ctos. y Gtos.- Horas normales</v>
          </cell>
          <cell r="C146" t="str">
            <v>Mão de Obra</v>
          </cell>
        </row>
        <row r="147">
          <cell r="A147">
            <v>5221100036</v>
          </cell>
          <cell r="B147" t="str">
            <v>Bom extraordinaria</v>
          </cell>
          <cell r="C147" t="str">
            <v>Mão de Obra</v>
          </cell>
        </row>
        <row r="148">
          <cell r="A148">
            <v>5221100041</v>
          </cell>
          <cell r="B148" t="str">
            <v>Bonif especial</v>
          </cell>
          <cell r="C148" t="str">
            <v>Mão de Obra</v>
          </cell>
        </row>
        <row r="149">
          <cell r="A149">
            <v>5221100050</v>
          </cell>
          <cell r="B149" t="str">
            <v>Ctos. y Gtos.- Curso capacitación</v>
          </cell>
          <cell r="C149" t="str">
            <v>Mão de Obra</v>
          </cell>
        </row>
        <row r="150">
          <cell r="A150">
            <v>5221100052</v>
          </cell>
          <cell r="B150" t="str">
            <v>Compens transporte</v>
          </cell>
          <cell r="C150" t="str">
            <v>Mão de Obra</v>
          </cell>
        </row>
        <row r="151">
          <cell r="A151">
            <v>5221100053</v>
          </cell>
          <cell r="B151" t="str">
            <v>Compensación comida</v>
          </cell>
          <cell r="C151" t="str">
            <v>Mão de Obra</v>
          </cell>
        </row>
        <row r="152">
          <cell r="A152">
            <v>5221100059</v>
          </cell>
          <cell r="B152" t="str">
            <v>Ctos. y Gtos.- Descanso trabajado</v>
          </cell>
          <cell r="C152" t="str">
            <v>Mão de Obra</v>
          </cell>
        </row>
        <row r="153">
          <cell r="A153">
            <v>5221100085</v>
          </cell>
          <cell r="B153" t="str">
            <v>Vacaciones</v>
          </cell>
          <cell r="C153" t="str">
            <v>Mão de Obra</v>
          </cell>
        </row>
        <row r="154">
          <cell r="A154">
            <v>5221100090</v>
          </cell>
          <cell r="B154" t="str">
            <v>IMSS  seguridad social</v>
          </cell>
          <cell r="C154" t="str">
            <v>Mão de Obra</v>
          </cell>
        </row>
        <row r="155">
          <cell r="A155">
            <v>5221100092</v>
          </cell>
          <cell r="B155" t="str">
            <v>Ctos y Gtos.- Bono Nocturno</v>
          </cell>
          <cell r="C155" t="str">
            <v>Mão de Obra</v>
          </cell>
        </row>
        <row r="156">
          <cell r="A156">
            <v>5221100097</v>
          </cell>
          <cell r="B156" t="str">
            <v>Ctos y Gtos.- Seguro de Vida</v>
          </cell>
          <cell r="C156" t="str">
            <v>Mão de Obra</v>
          </cell>
        </row>
        <row r="157">
          <cell r="A157">
            <v>5221100114</v>
          </cell>
          <cell r="B157" t="str">
            <v>Cargas sociales SAC</v>
          </cell>
          <cell r="C157" t="str">
            <v>Mão de Obra</v>
          </cell>
        </row>
        <row r="158">
          <cell r="A158">
            <v>5221100117</v>
          </cell>
          <cell r="B158" t="str">
            <v>Ctos y Gtos.- Cargas sociales Bonus</v>
          </cell>
          <cell r="C158" t="str">
            <v>Mão de Obra</v>
          </cell>
        </row>
        <row r="159">
          <cell r="A159">
            <v>5221100121</v>
          </cell>
          <cell r="B159" t="str">
            <v>2% sobre nómina</v>
          </cell>
          <cell r="C159" t="str">
            <v>Mão de Obra</v>
          </cell>
        </row>
        <row r="160">
          <cell r="A160">
            <v>5221110002</v>
          </cell>
          <cell r="B160" t="str">
            <v>Ctos. y Gtos.- Horas extras</v>
          </cell>
          <cell r="C160" t="str">
            <v>Mão de Obra</v>
          </cell>
        </row>
        <row r="161">
          <cell r="A161">
            <v>5221110015</v>
          </cell>
          <cell r="B161" t="str">
            <v>Ctos. y Gtos.- Gtos de comidas hs extras</v>
          </cell>
          <cell r="C161" t="str">
            <v>Mão de Obra</v>
          </cell>
        </row>
        <row r="162">
          <cell r="A162">
            <v>5221130004</v>
          </cell>
          <cell r="B162" t="str">
            <v>Enfermedad</v>
          </cell>
          <cell r="C162" t="str">
            <v>Mão de Obra</v>
          </cell>
        </row>
        <row r="163">
          <cell r="A163">
            <v>5221150004</v>
          </cell>
          <cell r="B163" t="str">
            <v>Ctos. y Gtos.- Premio resultado</v>
          </cell>
          <cell r="C163" t="str">
            <v>Mão de Obra</v>
          </cell>
        </row>
        <row r="164">
          <cell r="A164">
            <v>5221150014</v>
          </cell>
          <cell r="B164" t="str">
            <v>Premio por antigüedad</v>
          </cell>
          <cell r="C164" t="str">
            <v>Mão de Obra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B1:O209"/>
  <sheetViews>
    <sheetView showGridLines="0" tabSelected="1" topLeftCell="A151" zoomScaleNormal="100" workbookViewId="0"/>
  </sheetViews>
  <sheetFormatPr defaultColWidth="11.42578125" defaultRowHeight="12.75"/>
  <cols>
    <col min="1" max="1" width="3.85546875" style="1" customWidth="1"/>
    <col min="2" max="13" width="12.140625" style="1" customWidth="1"/>
    <col min="14" max="14" width="11.85546875" style="1" customWidth="1"/>
    <col min="15" max="16384" width="11.42578125" style="1"/>
  </cols>
  <sheetData>
    <row r="1" spans="2:15" ht="35.25" customHeight="1">
      <c r="B1" s="27" t="s">
        <v>3</v>
      </c>
    </row>
    <row r="2" spans="2:15" ht="27" thickBot="1">
      <c r="B2" s="28" t="s">
        <v>763</v>
      </c>
    </row>
    <row r="3" spans="2:15" ht="15.95" customHeight="1">
      <c r="B3" s="15"/>
      <c r="C3" s="11"/>
      <c r="D3" s="11"/>
      <c r="E3" s="11"/>
      <c r="F3" s="11"/>
      <c r="G3" s="11"/>
      <c r="H3" s="16"/>
      <c r="I3" s="29"/>
      <c r="J3" s="11"/>
      <c r="K3" s="11"/>
      <c r="L3" s="11"/>
      <c r="M3" s="11"/>
      <c r="N3" s="11"/>
      <c r="O3" s="12"/>
    </row>
    <row r="4" spans="2:15" ht="15.95" customHeight="1">
      <c r="B4" s="17"/>
      <c r="C4" s="13"/>
      <c r="D4" s="13"/>
      <c r="E4" s="13"/>
      <c r="F4" s="13"/>
      <c r="G4" s="13"/>
      <c r="H4" s="18"/>
      <c r="I4" s="30"/>
      <c r="J4" s="13"/>
      <c r="K4" s="13"/>
      <c r="L4" s="13"/>
      <c r="M4" s="13"/>
      <c r="N4" s="13"/>
      <c r="O4" s="14"/>
    </row>
    <row r="5" spans="2:15" ht="15.95" customHeight="1">
      <c r="B5" s="17"/>
      <c r="C5" s="13"/>
      <c r="D5" s="13"/>
      <c r="E5" s="13"/>
      <c r="F5" s="13"/>
      <c r="G5" s="13"/>
      <c r="H5" s="18"/>
      <c r="I5" s="30"/>
      <c r="J5" s="13"/>
      <c r="K5" s="13"/>
      <c r="L5" s="13"/>
      <c r="M5" s="13"/>
      <c r="N5" s="13"/>
      <c r="O5" s="14"/>
    </row>
    <row r="6" spans="2:15" ht="15.95" customHeight="1">
      <c r="B6" s="17"/>
      <c r="C6" s="13"/>
      <c r="D6" s="13"/>
      <c r="E6" s="13"/>
      <c r="F6" s="13"/>
      <c r="G6" s="13"/>
      <c r="H6" s="18"/>
      <c r="I6" s="30"/>
      <c r="J6" s="13"/>
      <c r="K6" s="13"/>
      <c r="L6" s="13"/>
      <c r="M6" s="13"/>
      <c r="N6" s="13"/>
      <c r="O6" s="14"/>
    </row>
    <row r="7" spans="2:15" ht="15.95" customHeight="1">
      <c r="B7" s="17"/>
      <c r="C7" s="13"/>
      <c r="D7" s="13"/>
      <c r="E7" s="13"/>
      <c r="F7" s="13"/>
      <c r="G7" s="13"/>
      <c r="H7" s="18"/>
      <c r="I7" s="30"/>
      <c r="J7" s="13"/>
      <c r="K7" s="13"/>
      <c r="L7" s="13"/>
      <c r="M7" s="13"/>
      <c r="N7" s="13"/>
      <c r="O7" s="14"/>
    </row>
    <row r="8" spans="2:15" ht="15.95" customHeight="1">
      <c r="B8" s="17"/>
      <c r="C8" s="13"/>
      <c r="D8" s="13"/>
      <c r="E8" s="13"/>
      <c r="F8" s="13"/>
      <c r="G8" s="13"/>
      <c r="H8" s="18"/>
      <c r="I8" s="30"/>
      <c r="J8" s="13"/>
      <c r="K8" s="13"/>
      <c r="L8" s="13"/>
      <c r="M8" s="13"/>
      <c r="N8" s="13"/>
      <c r="O8" s="14"/>
    </row>
    <row r="9" spans="2:15" ht="15.95" customHeight="1">
      <c r="B9" s="17"/>
      <c r="C9" s="13"/>
      <c r="D9" s="13"/>
      <c r="E9" s="13"/>
      <c r="F9" s="13"/>
      <c r="G9" s="13"/>
      <c r="H9" s="18"/>
      <c r="I9" s="30"/>
      <c r="J9" s="13"/>
      <c r="K9" s="13"/>
      <c r="L9" s="13"/>
      <c r="M9" s="13"/>
      <c r="N9" s="13"/>
      <c r="O9" s="14"/>
    </row>
    <row r="10" spans="2:15" ht="15.95" customHeight="1">
      <c r="B10" s="17"/>
      <c r="C10" s="13"/>
      <c r="D10" s="13"/>
      <c r="E10" s="13"/>
      <c r="F10" s="13"/>
      <c r="G10" s="13"/>
      <c r="H10" s="18"/>
      <c r="I10" s="30"/>
      <c r="J10" s="13"/>
      <c r="K10" s="13"/>
      <c r="L10" s="13"/>
      <c r="M10" s="13"/>
      <c r="N10" s="13"/>
      <c r="O10" s="14"/>
    </row>
    <row r="11" spans="2:15" ht="15.95" customHeight="1">
      <c r="B11" s="17"/>
      <c r="C11" s="13"/>
      <c r="D11" s="13"/>
      <c r="E11" s="13"/>
      <c r="F11" s="13"/>
      <c r="G11" s="13"/>
      <c r="H11" s="18"/>
      <c r="I11" s="30"/>
      <c r="J11" s="13"/>
      <c r="K11" s="13"/>
      <c r="L11" s="13"/>
      <c r="M11" s="13"/>
      <c r="N11" s="13"/>
      <c r="O11" s="14"/>
    </row>
    <row r="12" spans="2:15" ht="15.95" customHeight="1">
      <c r="B12" s="17"/>
      <c r="C12" s="13"/>
      <c r="D12" s="13"/>
      <c r="E12" s="13"/>
      <c r="F12" s="13"/>
      <c r="G12" s="13"/>
      <c r="H12" s="18"/>
      <c r="I12" s="30"/>
      <c r="J12" s="13"/>
      <c r="K12" s="13"/>
      <c r="L12" s="13"/>
      <c r="M12" s="13"/>
      <c r="N12" s="13"/>
      <c r="O12" s="14"/>
    </row>
    <row r="13" spans="2:15" ht="15.95" customHeight="1">
      <c r="B13" s="17"/>
      <c r="C13" s="13"/>
      <c r="D13" s="13"/>
      <c r="E13" s="13"/>
      <c r="F13" s="13"/>
      <c r="G13" s="13"/>
      <c r="H13" s="19"/>
      <c r="I13" s="30"/>
      <c r="J13" s="13"/>
      <c r="K13" s="13"/>
      <c r="L13" s="13"/>
      <c r="M13" s="13"/>
      <c r="N13" s="13"/>
      <c r="O13" s="14"/>
    </row>
    <row r="14" spans="2:15" ht="15.95" customHeight="1">
      <c r="B14" s="17"/>
      <c r="C14" s="13"/>
      <c r="D14" s="13"/>
      <c r="E14" s="13"/>
      <c r="F14" s="13"/>
      <c r="G14" s="13"/>
      <c r="H14" s="18"/>
      <c r="I14" s="30"/>
      <c r="J14" s="13"/>
      <c r="K14" s="13"/>
      <c r="L14" s="13"/>
      <c r="M14" s="13"/>
      <c r="N14" s="13"/>
      <c r="O14" s="14"/>
    </row>
    <row r="15" spans="2:15" ht="15.95" customHeight="1">
      <c r="B15" s="17"/>
      <c r="C15" s="13"/>
      <c r="D15" s="13"/>
      <c r="E15" s="13"/>
      <c r="F15" s="13"/>
      <c r="G15" s="13"/>
      <c r="H15" s="18"/>
      <c r="I15" s="30"/>
      <c r="J15" s="13"/>
      <c r="K15" s="13"/>
      <c r="L15" s="13"/>
      <c r="M15" s="13"/>
      <c r="N15" s="13"/>
      <c r="O15" s="14"/>
    </row>
    <row r="16" spans="2:15" ht="15.95" customHeight="1">
      <c r="B16" s="17"/>
      <c r="C16" s="13"/>
      <c r="D16" s="13"/>
      <c r="E16" s="13"/>
      <c r="F16" s="13"/>
      <c r="G16" s="13"/>
      <c r="H16" s="18"/>
      <c r="I16" s="30"/>
      <c r="J16" s="13"/>
      <c r="K16" s="13"/>
      <c r="L16" s="13"/>
      <c r="M16" s="13"/>
      <c r="N16" s="13"/>
      <c r="O16" s="14"/>
    </row>
    <row r="17" spans="2:15" ht="15.95" customHeight="1">
      <c r="B17" s="17"/>
      <c r="C17" s="13"/>
      <c r="D17" s="13"/>
      <c r="E17" s="13"/>
      <c r="F17" s="13"/>
      <c r="G17" s="13"/>
      <c r="H17" s="18"/>
      <c r="I17" s="30"/>
      <c r="J17" s="13"/>
      <c r="K17" s="13"/>
      <c r="L17" s="13"/>
      <c r="M17" s="13"/>
      <c r="N17" s="13"/>
      <c r="O17" s="14"/>
    </row>
    <row r="18" spans="2:15" ht="15.95" customHeight="1">
      <c r="B18" s="17"/>
      <c r="C18" s="13"/>
      <c r="D18" s="13"/>
      <c r="E18" s="13"/>
      <c r="F18" s="13"/>
      <c r="G18" s="13"/>
      <c r="H18" s="18"/>
      <c r="I18" s="30"/>
      <c r="J18" s="13"/>
      <c r="K18" s="13"/>
      <c r="L18" s="13"/>
      <c r="M18" s="13"/>
      <c r="N18" s="13"/>
      <c r="O18" s="14"/>
    </row>
    <row r="19" spans="2:15" ht="15.95" customHeight="1">
      <c r="B19" s="17"/>
      <c r="C19" s="13"/>
      <c r="D19" s="13"/>
      <c r="E19" s="13"/>
      <c r="F19" s="13"/>
      <c r="G19" s="13"/>
      <c r="H19" s="18"/>
      <c r="I19" s="30"/>
      <c r="J19" s="13"/>
      <c r="K19" s="13"/>
      <c r="L19" s="13"/>
      <c r="M19" s="13"/>
      <c r="N19" s="13"/>
      <c r="O19" s="14"/>
    </row>
    <row r="20" spans="2:15" ht="15.95" customHeight="1">
      <c r="B20" s="20"/>
      <c r="C20" s="10"/>
      <c r="D20" s="10"/>
      <c r="E20" s="10"/>
      <c r="F20" s="10"/>
      <c r="G20" s="10"/>
      <c r="H20" s="19"/>
      <c r="I20" s="30"/>
      <c r="J20" s="13"/>
      <c r="K20" s="13"/>
      <c r="L20" s="13"/>
      <c r="M20" s="13"/>
      <c r="N20" s="13"/>
      <c r="O20" s="14"/>
    </row>
    <row r="21" spans="2:15" ht="15.95" customHeight="1">
      <c r="B21" s="21"/>
      <c r="C21" s="22"/>
      <c r="D21" s="22"/>
      <c r="E21" s="22"/>
      <c r="F21" s="22"/>
      <c r="G21" s="22"/>
      <c r="H21" s="23"/>
      <c r="I21" s="33"/>
      <c r="J21" s="22"/>
      <c r="K21" s="22"/>
      <c r="L21" s="22"/>
      <c r="M21" s="22"/>
      <c r="N21" s="22"/>
      <c r="O21" s="34"/>
    </row>
    <row r="22" spans="2:15" ht="15.95" customHeight="1">
      <c r="B22" s="17"/>
      <c r="C22" s="13"/>
      <c r="D22" s="13"/>
      <c r="E22" s="13"/>
      <c r="F22" s="13"/>
      <c r="G22" s="13"/>
      <c r="H22" s="18"/>
      <c r="I22" s="30"/>
      <c r="J22" s="13"/>
      <c r="K22" s="13"/>
      <c r="L22" s="13"/>
      <c r="M22" s="13"/>
      <c r="N22" s="13"/>
      <c r="O22" s="14"/>
    </row>
    <row r="23" spans="2:15" ht="15.95" customHeight="1">
      <c r="B23" s="17"/>
      <c r="C23" s="13"/>
      <c r="D23" s="13"/>
      <c r="E23" s="13"/>
      <c r="F23" s="13"/>
      <c r="G23" s="13"/>
      <c r="H23" s="18"/>
      <c r="I23" s="30"/>
      <c r="J23" s="13"/>
      <c r="K23" s="13"/>
      <c r="L23" s="13"/>
      <c r="M23" s="13"/>
      <c r="N23" s="13"/>
      <c r="O23" s="14"/>
    </row>
    <row r="24" spans="2:15" ht="15.75" customHeight="1">
      <c r="B24" s="17"/>
      <c r="C24" s="13"/>
      <c r="D24" s="13"/>
      <c r="E24" s="13"/>
      <c r="F24" s="13"/>
      <c r="G24" s="13"/>
      <c r="H24" s="18"/>
      <c r="I24" s="30"/>
      <c r="J24" s="13"/>
      <c r="K24" s="13"/>
      <c r="L24" s="13"/>
      <c r="M24" s="13"/>
      <c r="N24" s="13"/>
      <c r="O24" s="14"/>
    </row>
    <row r="25" spans="2:15" ht="15.95" customHeight="1">
      <c r="B25" s="17"/>
      <c r="C25" s="13"/>
      <c r="D25" s="13"/>
      <c r="E25" s="13"/>
      <c r="F25" s="13"/>
      <c r="G25" s="13"/>
      <c r="H25" s="18"/>
      <c r="I25" s="30"/>
      <c r="J25" s="13"/>
      <c r="K25" s="13"/>
      <c r="L25" s="13"/>
      <c r="M25" s="13"/>
      <c r="N25" s="13"/>
      <c r="O25" s="14"/>
    </row>
    <row r="26" spans="2:15" ht="15.95" customHeight="1">
      <c r="B26" s="17"/>
      <c r="C26" s="13"/>
      <c r="D26" s="13"/>
      <c r="E26" s="13"/>
      <c r="F26" s="13"/>
      <c r="G26" s="13"/>
      <c r="H26" s="18"/>
      <c r="I26" s="30"/>
      <c r="J26" s="13"/>
      <c r="K26" s="13"/>
      <c r="L26" s="13"/>
      <c r="M26" s="13"/>
      <c r="N26" s="13"/>
      <c r="O26" s="14"/>
    </row>
    <row r="27" spans="2:15" ht="15.75" customHeight="1">
      <c r="B27" s="17"/>
      <c r="C27" s="13"/>
      <c r="D27" s="13"/>
      <c r="E27" s="13"/>
      <c r="F27" s="13"/>
      <c r="G27" s="13"/>
      <c r="H27" s="18"/>
      <c r="I27" s="30"/>
      <c r="J27" s="13"/>
      <c r="K27" s="13"/>
      <c r="L27" s="13"/>
      <c r="M27" s="13"/>
      <c r="N27" s="13"/>
      <c r="O27" s="14"/>
    </row>
    <row r="28" spans="2:15" ht="15.95" customHeight="1">
      <c r="B28" s="17"/>
      <c r="C28" s="13"/>
      <c r="D28" s="13"/>
      <c r="E28" s="13"/>
      <c r="F28" s="13"/>
      <c r="G28" s="13"/>
      <c r="H28" s="18"/>
      <c r="I28" s="30"/>
      <c r="J28" s="13"/>
      <c r="K28" s="13"/>
      <c r="L28" s="13"/>
      <c r="M28" s="13"/>
      <c r="N28" s="13"/>
      <c r="O28" s="14"/>
    </row>
    <row r="29" spans="2:15" ht="15.95" customHeight="1">
      <c r="B29" s="17"/>
      <c r="C29" s="13"/>
      <c r="D29" s="13"/>
      <c r="E29" s="13"/>
      <c r="F29" s="13"/>
      <c r="G29" s="13"/>
      <c r="H29" s="18"/>
      <c r="I29" s="30"/>
      <c r="J29" s="13"/>
      <c r="K29" s="13"/>
      <c r="L29" s="13"/>
      <c r="M29" s="13"/>
      <c r="N29" s="13"/>
      <c r="O29" s="14"/>
    </row>
    <row r="30" spans="2:15" ht="15.95" customHeight="1">
      <c r="B30" s="17"/>
      <c r="C30" s="13"/>
      <c r="D30" s="13"/>
      <c r="E30" s="13"/>
      <c r="F30" s="13"/>
      <c r="G30" s="13"/>
      <c r="H30" s="18"/>
      <c r="I30" s="30"/>
      <c r="J30" s="13"/>
      <c r="K30" s="13"/>
      <c r="L30" s="13"/>
      <c r="M30" s="13"/>
      <c r="N30" s="13"/>
      <c r="O30" s="14"/>
    </row>
    <row r="31" spans="2:15" ht="15.95" customHeight="1">
      <c r="B31" s="17"/>
      <c r="C31" s="13"/>
      <c r="D31" s="13"/>
      <c r="E31" s="13"/>
      <c r="F31" s="13"/>
      <c r="G31" s="13"/>
      <c r="H31" s="18"/>
      <c r="I31" s="30"/>
      <c r="J31" s="13"/>
      <c r="K31" s="13"/>
      <c r="L31" s="13"/>
      <c r="M31" s="13"/>
      <c r="N31" s="13"/>
      <c r="O31" s="14"/>
    </row>
    <row r="32" spans="2:15" ht="15.95" customHeight="1">
      <c r="B32" s="17"/>
      <c r="C32" s="13"/>
      <c r="D32" s="13"/>
      <c r="E32" s="13"/>
      <c r="F32" s="13"/>
      <c r="G32" s="13"/>
      <c r="H32" s="18"/>
      <c r="I32" s="30"/>
      <c r="J32" s="13"/>
      <c r="K32" s="13"/>
      <c r="L32" s="13"/>
      <c r="M32" s="13"/>
      <c r="N32" s="13"/>
      <c r="O32" s="14"/>
    </row>
    <row r="33" spans="2:15" ht="15.95" customHeight="1">
      <c r="B33" s="17"/>
      <c r="C33" s="13"/>
      <c r="D33" s="13"/>
      <c r="E33" s="13"/>
      <c r="F33" s="13"/>
      <c r="G33" s="13"/>
      <c r="H33" s="18"/>
      <c r="I33" s="30"/>
      <c r="J33" s="13"/>
      <c r="K33" s="13"/>
      <c r="L33" s="13"/>
      <c r="M33" s="13"/>
      <c r="N33" s="13"/>
      <c r="O33" s="14"/>
    </row>
    <row r="34" spans="2:15" ht="15.95" customHeight="1">
      <c r="B34" s="17"/>
      <c r="C34" s="13"/>
      <c r="D34" s="13"/>
      <c r="E34" s="13"/>
      <c r="F34" s="13"/>
      <c r="G34" s="13"/>
      <c r="H34" s="18"/>
      <c r="I34" s="30"/>
      <c r="J34" s="13"/>
      <c r="K34" s="13"/>
      <c r="L34" s="13"/>
      <c r="M34" s="13"/>
      <c r="N34" s="13"/>
      <c r="O34" s="14"/>
    </row>
    <row r="35" spans="2:15" ht="15.95" customHeight="1">
      <c r="B35" s="17"/>
      <c r="C35" s="13"/>
      <c r="D35" s="13"/>
      <c r="E35" s="13"/>
      <c r="F35" s="13"/>
      <c r="G35" s="13"/>
      <c r="H35" s="18"/>
      <c r="I35" s="30"/>
      <c r="J35" s="13"/>
      <c r="K35" s="13"/>
      <c r="L35" s="13"/>
      <c r="M35" s="13"/>
      <c r="N35" s="13"/>
      <c r="O35" s="14"/>
    </row>
    <row r="36" spans="2:15" ht="15.95" customHeight="1">
      <c r="B36" s="17"/>
      <c r="C36" s="13"/>
      <c r="D36" s="13"/>
      <c r="E36" s="13"/>
      <c r="F36" s="13"/>
      <c r="G36" s="13"/>
      <c r="H36" s="18"/>
      <c r="I36" s="30"/>
      <c r="J36" s="13"/>
      <c r="K36" s="13"/>
      <c r="L36" s="13"/>
      <c r="M36" s="13"/>
      <c r="N36" s="13"/>
      <c r="O36" s="14"/>
    </row>
    <row r="37" spans="2:15" ht="15.95" customHeight="1">
      <c r="B37" s="17"/>
      <c r="C37" s="13"/>
      <c r="D37" s="13"/>
      <c r="E37" s="13"/>
      <c r="F37" s="13"/>
      <c r="G37" s="13"/>
      <c r="H37" s="18"/>
      <c r="I37" s="30"/>
      <c r="J37" s="13"/>
      <c r="K37" s="13"/>
      <c r="L37" s="13"/>
      <c r="M37" s="13"/>
      <c r="N37" s="13"/>
      <c r="O37" s="14"/>
    </row>
    <row r="38" spans="2:15" ht="15.95" customHeight="1" thickBot="1">
      <c r="B38" s="24"/>
      <c r="C38" s="25"/>
      <c r="D38" s="25"/>
      <c r="E38" s="25"/>
      <c r="F38" s="25"/>
      <c r="G38" s="25"/>
      <c r="H38" s="26"/>
      <c r="I38" s="31"/>
      <c r="J38" s="25"/>
      <c r="K38" s="25"/>
      <c r="L38" s="25"/>
      <c r="M38" s="25"/>
      <c r="N38" s="25"/>
      <c r="O38" s="32"/>
    </row>
    <row r="39" spans="2:15" ht="15.95" customHeight="1">
      <c r="B39" s="15"/>
      <c r="C39" s="11"/>
      <c r="D39" s="11"/>
      <c r="E39" s="11"/>
      <c r="F39" s="11"/>
      <c r="G39" s="11"/>
      <c r="H39" s="16"/>
      <c r="I39" s="29"/>
      <c r="J39" s="11"/>
      <c r="K39" s="11"/>
      <c r="L39" s="11"/>
      <c r="M39" s="11"/>
      <c r="N39" s="11"/>
      <c r="O39" s="12"/>
    </row>
    <row r="40" spans="2:15" ht="15.95" customHeight="1">
      <c r="B40" s="17"/>
      <c r="C40" s="13"/>
      <c r="D40" s="13"/>
      <c r="E40" s="13"/>
      <c r="F40" s="13"/>
      <c r="G40" s="13"/>
      <c r="H40" s="18"/>
      <c r="I40" s="30"/>
      <c r="J40" s="13"/>
      <c r="K40" s="13"/>
      <c r="L40" s="13"/>
      <c r="M40" s="13"/>
      <c r="N40" s="13"/>
      <c r="O40" s="14"/>
    </row>
    <row r="41" spans="2:15" ht="15.95" customHeight="1">
      <c r="B41" s="17"/>
      <c r="C41" s="13"/>
      <c r="D41" s="13"/>
      <c r="E41" s="13"/>
      <c r="F41" s="13"/>
      <c r="G41" s="13"/>
      <c r="H41" s="18"/>
      <c r="I41" s="30"/>
      <c r="J41" s="13"/>
      <c r="K41" s="13"/>
      <c r="L41" s="13"/>
      <c r="M41" s="13"/>
      <c r="N41" s="13"/>
      <c r="O41" s="14"/>
    </row>
    <row r="42" spans="2:15" ht="15.95" customHeight="1">
      <c r="B42" s="17"/>
      <c r="C42" s="13"/>
      <c r="D42" s="13"/>
      <c r="E42" s="13"/>
      <c r="F42" s="13"/>
      <c r="G42" s="13"/>
      <c r="H42" s="18"/>
      <c r="I42" s="30"/>
      <c r="J42" s="13"/>
      <c r="K42" s="13"/>
      <c r="L42" s="13"/>
      <c r="M42" s="13"/>
      <c r="N42" s="13"/>
      <c r="O42" s="14"/>
    </row>
    <row r="43" spans="2:15" ht="15.95" customHeight="1">
      <c r="B43" s="17"/>
      <c r="C43" s="13"/>
      <c r="D43" s="13"/>
      <c r="E43" s="13"/>
      <c r="F43" s="13"/>
      <c r="G43" s="13"/>
      <c r="H43" s="18"/>
      <c r="I43" s="30"/>
      <c r="J43" s="13"/>
      <c r="K43" s="13"/>
      <c r="L43" s="13"/>
      <c r="M43" s="13"/>
      <c r="N43" s="13"/>
      <c r="O43" s="14"/>
    </row>
    <row r="44" spans="2:15" ht="15.95" customHeight="1">
      <c r="B44" s="17"/>
      <c r="C44" s="13"/>
      <c r="D44" s="13"/>
      <c r="E44" s="13"/>
      <c r="F44" s="13"/>
      <c r="G44" s="13"/>
      <c r="H44" s="18"/>
      <c r="I44" s="30"/>
      <c r="J44" s="13"/>
      <c r="K44" s="13"/>
      <c r="L44" s="13"/>
      <c r="M44" s="13"/>
      <c r="N44" s="13"/>
      <c r="O44" s="14"/>
    </row>
    <row r="45" spans="2:15" ht="15.95" customHeight="1">
      <c r="B45" s="17"/>
      <c r="C45" s="13"/>
      <c r="D45" s="13"/>
      <c r="E45" s="13"/>
      <c r="F45" s="13"/>
      <c r="G45" s="13"/>
      <c r="H45" s="18"/>
      <c r="I45" s="30"/>
      <c r="J45" s="13"/>
      <c r="K45" s="13"/>
      <c r="L45" s="13"/>
      <c r="M45" s="13"/>
      <c r="N45" s="13"/>
      <c r="O45" s="14"/>
    </row>
    <row r="46" spans="2:15" ht="15.95" customHeight="1">
      <c r="B46" s="17"/>
      <c r="C46" s="13"/>
      <c r="D46" s="13"/>
      <c r="E46" s="13"/>
      <c r="F46" s="13"/>
      <c r="G46" s="13"/>
      <c r="H46" s="18"/>
      <c r="I46" s="30"/>
      <c r="J46" s="13"/>
      <c r="K46" s="13"/>
      <c r="L46" s="13"/>
      <c r="M46" s="13"/>
      <c r="N46" s="13"/>
      <c r="O46" s="14"/>
    </row>
    <row r="47" spans="2:15" ht="15.95" customHeight="1">
      <c r="B47" s="17"/>
      <c r="C47" s="13"/>
      <c r="D47" s="13"/>
      <c r="E47" s="13"/>
      <c r="F47" s="13"/>
      <c r="G47" s="13"/>
      <c r="H47" s="18"/>
      <c r="I47" s="30"/>
      <c r="J47" s="13"/>
      <c r="K47" s="13"/>
      <c r="L47" s="13"/>
      <c r="M47" s="13"/>
      <c r="N47" s="13"/>
      <c r="O47" s="14"/>
    </row>
    <row r="48" spans="2:15" ht="15.95" customHeight="1">
      <c r="B48" s="17"/>
      <c r="C48" s="13"/>
      <c r="D48" s="13"/>
      <c r="E48" s="13"/>
      <c r="F48" s="13"/>
      <c r="G48" s="13"/>
      <c r="H48" s="18"/>
      <c r="I48" s="30"/>
      <c r="J48" s="13"/>
      <c r="K48" s="13"/>
      <c r="L48" s="13"/>
      <c r="M48" s="13"/>
      <c r="N48" s="13"/>
      <c r="O48" s="14"/>
    </row>
    <row r="49" spans="2:15" ht="15.95" customHeight="1">
      <c r="B49" s="17"/>
      <c r="C49" s="13"/>
      <c r="D49" s="13"/>
      <c r="E49" s="13"/>
      <c r="F49" s="13"/>
      <c r="G49" s="13"/>
      <c r="H49" s="19"/>
      <c r="I49" s="30"/>
      <c r="J49" s="13"/>
      <c r="K49" s="13"/>
      <c r="L49" s="13"/>
      <c r="M49" s="13"/>
      <c r="N49" s="13"/>
      <c r="O49" s="14"/>
    </row>
    <row r="50" spans="2:15" ht="15.95" customHeight="1">
      <c r="B50" s="17"/>
      <c r="C50" s="13"/>
      <c r="D50" s="13"/>
      <c r="E50" s="13"/>
      <c r="F50" s="13"/>
      <c r="G50" s="13"/>
      <c r="H50" s="18"/>
      <c r="I50" s="30"/>
      <c r="J50" s="13"/>
      <c r="K50" s="13"/>
      <c r="L50" s="13"/>
      <c r="M50" s="13"/>
      <c r="N50" s="13"/>
      <c r="O50" s="14"/>
    </row>
    <row r="51" spans="2:15" ht="15.95" customHeight="1">
      <c r="B51" s="17"/>
      <c r="C51" s="13"/>
      <c r="D51" s="13"/>
      <c r="E51" s="13"/>
      <c r="F51" s="13"/>
      <c r="G51" s="13"/>
      <c r="H51" s="18"/>
      <c r="I51" s="30"/>
      <c r="J51" s="13"/>
      <c r="K51" s="13"/>
      <c r="L51" s="13"/>
      <c r="M51" s="13"/>
      <c r="N51" s="13"/>
      <c r="O51" s="14"/>
    </row>
    <row r="52" spans="2:15" ht="15.95" customHeight="1">
      <c r="B52" s="17"/>
      <c r="C52" s="13"/>
      <c r="D52" s="13"/>
      <c r="E52" s="13"/>
      <c r="F52" s="13"/>
      <c r="G52" s="13"/>
      <c r="H52" s="18"/>
      <c r="I52" s="30"/>
      <c r="J52" s="13"/>
      <c r="K52" s="13"/>
      <c r="L52" s="13"/>
      <c r="M52" s="13"/>
      <c r="N52" s="13"/>
      <c r="O52" s="14"/>
    </row>
    <row r="53" spans="2:15" ht="15.95" customHeight="1">
      <c r="B53" s="17"/>
      <c r="C53" s="13"/>
      <c r="D53" s="13"/>
      <c r="E53" s="13"/>
      <c r="F53" s="13"/>
      <c r="G53" s="13"/>
      <c r="H53" s="18"/>
      <c r="I53" s="30"/>
      <c r="J53" s="13"/>
      <c r="K53" s="13"/>
      <c r="L53" s="13"/>
      <c r="M53" s="13"/>
      <c r="N53" s="13"/>
      <c r="O53" s="14"/>
    </row>
    <row r="54" spans="2:15" ht="15.95" customHeight="1">
      <c r="B54" s="17"/>
      <c r="C54" s="13"/>
      <c r="D54" s="13"/>
      <c r="E54" s="13"/>
      <c r="F54" s="13"/>
      <c r="G54" s="13"/>
      <c r="H54" s="18"/>
      <c r="I54" s="30"/>
      <c r="J54" s="13"/>
      <c r="K54" s="13"/>
      <c r="L54" s="13"/>
      <c r="M54" s="13"/>
      <c r="N54" s="13"/>
      <c r="O54" s="14"/>
    </row>
    <row r="55" spans="2:15" ht="15.95" customHeight="1">
      <c r="B55" s="17"/>
      <c r="C55" s="13"/>
      <c r="D55" s="13"/>
      <c r="E55" s="13"/>
      <c r="F55" s="13"/>
      <c r="G55" s="13"/>
      <c r="H55" s="18"/>
      <c r="I55" s="30"/>
      <c r="J55" s="13"/>
      <c r="K55" s="13"/>
      <c r="L55" s="13"/>
      <c r="M55" s="13"/>
      <c r="N55" s="13"/>
      <c r="O55" s="14"/>
    </row>
    <row r="56" spans="2:15" ht="15.95" customHeight="1">
      <c r="B56" s="20"/>
      <c r="C56" s="10"/>
      <c r="D56" s="10"/>
      <c r="E56" s="10"/>
      <c r="F56" s="10"/>
      <c r="G56" s="10"/>
      <c r="H56" s="19"/>
      <c r="I56" s="30"/>
      <c r="J56" s="13"/>
      <c r="K56" s="13"/>
      <c r="L56" s="13"/>
      <c r="M56" s="13"/>
      <c r="N56" s="13"/>
      <c r="O56" s="14"/>
    </row>
    <row r="57" spans="2:15" ht="15.95" customHeight="1">
      <c r="B57" s="21"/>
      <c r="C57" s="22"/>
      <c r="D57" s="22"/>
      <c r="E57" s="22"/>
      <c r="F57" s="22"/>
      <c r="G57" s="22"/>
      <c r="H57" s="23"/>
      <c r="I57" s="33"/>
      <c r="J57" s="22"/>
      <c r="K57" s="22"/>
      <c r="L57" s="22"/>
      <c r="M57" s="22"/>
      <c r="N57" s="22"/>
      <c r="O57" s="34"/>
    </row>
    <row r="58" spans="2:15" ht="15.95" customHeight="1">
      <c r="B58" s="17"/>
      <c r="C58" s="13"/>
      <c r="D58" s="13"/>
      <c r="E58" s="13"/>
      <c r="F58" s="13"/>
      <c r="G58" s="13"/>
      <c r="H58" s="18"/>
      <c r="I58" s="30"/>
      <c r="J58" s="13"/>
      <c r="K58" s="13"/>
      <c r="L58" s="13"/>
      <c r="M58" s="13"/>
      <c r="N58" s="13"/>
      <c r="O58" s="14"/>
    </row>
    <row r="59" spans="2:15" ht="15.95" customHeight="1">
      <c r="B59" s="17"/>
      <c r="C59" s="13"/>
      <c r="D59" s="13"/>
      <c r="E59" s="13"/>
      <c r="F59" s="13"/>
      <c r="G59" s="13"/>
      <c r="H59" s="18"/>
      <c r="I59" s="30"/>
      <c r="J59" s="13"/>
      <c r="K59" s="13"/>
      <c r="L59" s="13"/>
      <c r="M59" s="13"/>
      <c r="N59" s="13"/>
      <c r="O59" s="14"/>
    </row>
    <row r="60" spans="2:15" ht="15.75" customHeight="1">
      <c r="B60" s="17"/>
      <c r="C60" s="13"/>
      <c r="D60" s="13"/>
      <c r="E60" s="13"/>
      <c r="F60" s="13"/>
      <c r="G60" s="13"/>
      <c r="H60" s="18"/>
      <c r="I60" s="30"/>
      <c r="J60" s="13"/>
      <c r="K60" s="13"/>
      <c r="L60" s="13"/>
      <c r="M60" s="13"/>
      <c r="N60" s="13"/>
      <c r="O60" s="14"/>
    </row>
    <row r="61" spans="2:15" ht="15.95" customHeight="1">
      <c r="B61" s="17"/>
      <c r="C61" s="13"/>
      <c r="D61" s="13"/>
      <c r="E61" s="13"/>
      <c r="F61" s="13"/>
      <c r="G61" s="13"/>
      <c r="H61" s="18"/>
      <c r="I61" s="30"/>
      <c r="J61" s="13"/>
      <c r="K61" s="13"/>
      <c r="L61" s="13"/>
      <c r="M61" s="13"/>
      <c r="N61" s="13"/>
      <c r="O61" s="14"/>
    </row>
    <row r="62" spans="2:15" ht="15.95" customHeight="1">
      <c r="B62" s="17"/>
      <c r="C62" s="13"/>
      <c r="D62" s="13"/>
      <c r="E62" s="13"/>
      <c r="F62" s="13"/>
      <c r="G62" s="13"/>
      <c r="H62" s="18"/>
      <c r="I62" s="30"/>
      <c r="J62" s="13"/>
      <c r="K62" s="13"/>
      <c r="L62" s="13"/>
      <c r="M62" s="13"/>
      <c r="N62" s="13"/>
      <c r="O62" s="14"/>
    </row>
    <row r="63" spans="2:15" ht="15.95" customHeight="1">
      <c r="B63" s="17"/>
      <c r="C63" s="13"/>
      <c r="D63" s="13"/>
      <c r="E63" s="13"/>
      <c r="F63" s="13"/>
      <c r="G63" s="13"/>
      <c r="H63" s="18"/>
      <c r="I63" s="30"/>
      <c r="J63" s="13"/>
      <c r="K63" s="13"/>
      <c r="L63" s="13"/>
      <c r="M63" s="13"/>
      <c r="N63" s="13"/>
      <c r="O63" s="14"/>
    </row>
    <row r="64" spans="2:15" ht="15.95" customHeight="1">
      <c r="B64" s="17"/>
      <c r="C64" s="13"/>
      <c r="D64" s="13"/>
      <c r="E64" s="13"/>
      <c r="F64" s="13"/>
      <c r="G64" s="13"/>
      <c r="H64" s="18"/>
      <c r="I64" s="30"/>
      <c r="J64" s="13"/>
      <c r="K64" s="13"/>
      <c r="L64" s="13"/>
      <c r="M64" s="13"/>
      <c r="N64" s="13"/>
      <c r="O64" s="14"/>
    </row>
    <row r="65" spans="2:15" ht="15.95" customHeight="1">
      <c r="B65" s="17"/>
      <c r="C65" s="13"/>
      <c r="D65" s="13"/>
      <c r="E65" s="13"/>
      <c r="F65" s="13"/>
      <c r="G65" s="13"/>
      <c r="H65" s="18"/>
      <c r="I65" s="30"/>
      <c r="J65" s="13"/>
      <c r="K65" s="13"/>
      <c r="L65" s="13"/>
      <c r="M65" s="13"/>
      <c r="N65" s="13"/>
      <c r="O65" s="14"/>
    </row>
    <row r="66" spans="2:15" ht="15.95" customHeight="1">
      <c r="B66" s="17"/>
      <c r="C66" s="13"/>
      <c r="D66" s="13"/>
      <c r="E66" s="13"/>
      <c r="F66" s="13"/>
      <c r="G66" s="13"/>
      <c r="H66" s="18"/>
      <c r="I66" s="30"/>
      <c r="J66" s="13"/>
      <c r="K66" s="13"/>
      <c r="L66" s="13"/>
      <c r="M66" s="13"/>
      <c r="N66" s="13"/>
      <c r="O66" s="14"/>
    </row>
    <row r="67" spans="2:15" ht="15.95" customHeight="1">
      <c r="B67" s="17"/>
      <c r="C67" s="13"/>
      <c r="D67" s="13"/>
      <c r="E67" s="13"/>
      <c r="F67" s="13"/>
      <c r="G67" s="13"/>
      <c r="H67" s="18"/>
      <c r="I67" s="30"/>
      <c r="J67" s="13"/>
      <c r="K67" s="13"/>
      <c r="L67" s="13"/>
      <c r="M67" s="13"/>
      <c r="N67" s="13"/>
      <c r="O67" s="14"/>
    </row>
    <row r="68" spans="2:15" ht="15.95" customHeight="1">
      <c r="B68" s="17"/>
      <c r="C68" s="13"/>
      <c r="D68" s="13"/>
      <c r="E68" s="13"/>
      <c r="F68" s="13"/>
      <c r="G68" s="13"/>
      <c r="H68" s="18"/>
      <c r="I68" s="30"/>
      <c r="J68" s="13"/>
      <c r="K68" s="13"/>
      <c r="L68" s="13"/>
      <c r="M68" s="13"/>
      <c r="N68" s="13"/>
      <c r="O68" s="14"/>
    </row>
    <row r="69" spans="2:15" ht="15.95" customHeight="1">
      <c r="B69" s="17"/>
      <c r="C69" s="13"/>
      <c r="D69" s="13"/>
      <c r="E69" s="13"/>
      <c r="F69" s="13"/>
      <c r="G69" s="13"/>
      <c r="H69" s="18"/>
      <c r="I69" s="30"/>
      <c r="J69" s="13"/>
      <c r="K69" s="13"/>
      <c r="L69" s="13"/>
      <c r="M69" s="13"/>
      <c r="N69" s="13"/>
      <c r="O69" s="14"/>
    </row>
    <row r="70" spans="2:15" ht="15.95" customHeight="1">
      <c r="B70" s="17"/>
      <c r="C70" s="13"/>
      <c r="D70" s="13"/>
      <c r="E70" s="13"/>
      <c r="F70" s="13"/>
      <c r="G70" s="13"/>
      <c r="H70" s="18"/>
      <c r="I70" s="30"/>
      <c r="J70" s="13"/>
      <c r="K70" s="13"/>
      <c r="L70" s="13"/>
      <c r="M70" s="13"/>
      <c r="N70" s="13"/>
      <c r="O70" s="14"/>
    </row>
    <row r="71" spans="2:15" ht="15.95" customHeight="1">
      <c r="B71" s="17"/>
      <c r="C71" s="13"/>
      <c r="D71" s="13"/>
      <c r="E71" s="13"/>
      <c r="F71" s="13"/>
      <c r="G71" s="13"/>
      <c r="H71" s="18"/>
      <c r="I71" s="30"/>
      <c r="J71" s="13"/>
      <c r="K71" s="13"/>
      <c r="L71" s="13"/>
      <c r="M71" s="13"/>
      <c r="N71" s="13"/>
      <c r="O71" s="14"/>
    </row>
    <row r="72" spans="2:15" ht="15.95" customHeight="1">
      <c r="B72" s="17"/>
      <c r="C72" s="13"/>
      <c r="D72" s="13"/>
      <c r="E72" s="13"/>
      <c r="F72" s="13"/>
      <c r="G72" s="13"/>
      <c r="H72" s="18"/>
      <c r="I72" s="30"/>
      <c r="J72" s="13"/>
      <c r="K72" s="13"/>
      <c r="L72" s="13"/>
      <c r="M72" s="13"/>
      <c r="N72" s="13"/>
      <c r="O72" s="14"/>
    </row>
    <row r="73" spans="2:15" ht="15.95" customHeight="1">
      <c r="B73" s="17"/>
      <c r="C73" s="13"/>
      <c r="D73" s="13"/>
      <c r="E73" s="13"/>
      <c r="F73" s="13"/>
      <c r="G73" s="13"/>
      <c r="H73" s="18"/>
      <c r="I73" s="30"/>
      <c r="J73" s="13"/>
      <c r="K73" s="13"/>
      <c r="L73" s="13"/>
      <c r="M73" s="13"/>
      <c r="N73" s="13"/>
      <c r="O73" s="14"/>
    </row>
    <row r="74" spans="2:15" ht="15.95" customHeight="1" thickBot="1">
      <c r="B74" s="24"/>
      <c r="C74" s="25"/>
      <c r="D74" s="25"/>
      <c r="E74" s="25"/>
      <c r="F74" s="25"/>
      <c r="G74" s="25"/>
      <c r="H74" s="26"/>
      <c r="I74" s="31"/>
      <c r="J74" s="25"/>
      <c r="K74" s="25"/>
      <c r="L74" s="25"/>
      <c r="M74" s="25"/>
      <c r="N74" s="25"/>
      <c r="O74" s="32"/>
    </row>
    <row r="75" spans="2:15" ht="15.95" customHeight="1">
      <c r="B75" s="15"/>
      <c r="C75" s="11"/>
      <c r="D75" s="11"/>
      <c r="E75" s="11"/>
      <c r="F75" s="11"/>
      <c r="G75" s="11"/>
      <c r="H75" s="16"/>
      <c r="I75" s="29"/>
      <c r="J75" s="11"/>
      <c r="K75" s="11"/>
      <c r="L75" s="11"/>
      <c r="M75" s="11"/>
      <c r="N75" s="11"/>
      <c r="O75" s="12"/>
    </row>
    <row r="76" spans="2:15" ht="15.95" customHeight="1">
      <c r="B76" s="17"/>
      <c r="C76" s="13"/>
      <c r="D76" s="13"/>
      <c r="E76" s="13"/>
      <c r="F76" s="13"/>
      <c r="G76" s="13"/>
      <c r="H76" s="18"/>
      <c r="I76" s="30"/>
      <c r="J76" s="13"/>
      <c r="K76" s="13"/>
      <c r="L76" s="13"/>
      <c r="M76" s="13"/>
      <c r="N76" s="13"/>
      <c r="O76" s="14"/>
    </row>
    <row r="77" spans="2:15" ht="15.95" customHeight="1">
      <c r="B77" s="17"/>
      <c r="C77" s="13"/>
      <c r="D77" s="13"/>
      <c r="E77" s="13"/>
      <c r="F77" s="13"/>
      <c r="G77" s="13"/>
      <c r="H77" s="18"/>
      <c r="I77" s="30"/>
      <c r="J77" s="13"/>
      <c r="K77" s="13"/>
      <c r="L77" s="13"/>
      <c r="M77" s="13"/>
      <c r="N77" s="13"/>
      <c r="O77" s="14"/>
    </row>
    <row r="78" spans="2:15" ht="15.95" customHeight="1">
      <c r="B78" s="17"/>
      <c r="C78" s="13"/>
      <c r="D78" s="13"/>
      <c r="E78" s="13"/>
      <c r="F78" s="13"/>
      <c r="G78" s="13"/>
      <c r="H78" s="18"/>
      <c r="I78" s="30"/>
      <c r="J78" s="13"/>
      <c r="K78" s="13"/>
      <c r="L78" s="13"/>
      <c r="M78" s="13"/>
      <c r="N78" s="13"/>
      <c r="O78" s="14"/>
    </row>
    <row r="79" spans="2:15" ht="15.95" customHeight="1">
      <c r="B79" s="17"/>
      <c r="C79" s="13"/>
      <c r="D79" s="13"/>
      <c r="E79" s="13"/>
      <c r="F79" s="13"/>
      <c r="G79" s="13"/>
      <c r="H79" s="18"/>
      <c r="I79" s="30"/>
      <c r="J79" s="13"/>
      <c r="K79" s="13"/>
      <c r="L79" s="13"/>
      <c r="M79" s="13"/>
      <c r="N79" s="13"/>
      <c r="O79" s="14"/>
    </row>
    <row r="80" spans="2:15" ht="15.95" customHeight="1">
      <c r="B80" s="17"/>
      <c r="C80" s="13"/>
      <c r="D80" s="13"/>
      <c r="E80" s="13"/>
      <c r="F80" s="13"/>
      <c r="G80" s="13"/>
      <c r="H80" s="18"/>
      <c r="I80" s="30"/>
      <c r="J80" s="13"/>
      <c r="K80" s="13"/>
      <c r="L80" s="13"/>
      <c r="M80" s="13"/>
      <c r="N80" s="13"/>
      <c r="O80" s="14"/>
    </row>
    <row r="81" spans="2:15" ht="15.95" customHeight="1">
      <c r="B81" s="17"/>
      <c r="C81" s="13"/>
      <c r="D81" s="13"/>
      <c r="E81" s="13"/>
      <c r="F81" s="13"/>
      <c r="G81" s="13"/>
      <c r="H81" s="18"/>
      <c r="I81" s="30"/>
      <c r="J81" s="13"/>
      <c r="K81" s="13"/>
      <c r="L81" s="13"/>
      <c r="M81" s="13"/>
      <c r="N81" s="13"/>
      <c r="O81" s="14"/>
    </row>
    <row r="82" spans="2:15" ht="15.95" customHeight="1">
      <c r="B82" s="17"/>
      <c r="C82" s="13"/>
      <c r="D82" s="13"/>
      <c r="E82" s="13"/>
      <c r="F82" s="13"/>
      <c r="G82" s="13"/>
      <c r="H82" s="18"/>
      <c r="I82" s="30"/>
      <c r="J82" s="13"/>
      <c r="K82" s="13"/>
      <c r="L82" s="13"/>
      <c r="M82" s="13"/>
      <c r="N82" s="13"/>
      <c r="O82" s="14"/>
    </row>
    <row r="83" spans="2:15" ht="15.95" customHeight="1">
      <c r="B83" s="17"/>
      <c r="C83" s="13"/>
      <c r="D83" s="13"/>
      <c r="E83" s="13"/>
      <c r="F83" s="13"/>
      <c r="G83" s="13"/>
      <c r="H83" s="18"/>
      <c r="I83" s="30"/>
      <c r="J83" s="13"/>
      <c r="K83" s="13"/>
      <c r="L83" s="13"/>
      <c r="M83" s="13"/>
      <c r="N83" s="13"/>
      <c r="O83" s="14"/>
    </row>
    <row r="84" spans="2:15" ht="15.95" customHeight="1">
      <c r="B84" s="17"/>
      <c r="C84" s="13"/>
      <c r="D84" s="13"/>
      <c r="E84" s="13"/>
      <c r="F84" s="13"/>
      <c r="G84" s="13"/>
      <c r="H84" s="18"/>
      <c r="I84" s="30"/>
      <c r="J84" s="13"/>
      <c r="K84" s="13"/>
      <c r="L84" s="13"/>
      <c r="M84" s="13"/>
      <c r="N84" s="13"/>
      <c r="O84" s="14"/>
    </row>
    <row r="85" spans="2:15" ht="15.95" customHeight="1">
      <c r="B85" s="17"/>
      <c r="C85" s="13"/>
      <c r="D85" s="13"/>
      <c r="E85" s="13"/>
      <c r="F85" s="13"/>
      <c r="G85" s="13"/>
      <c r="H85" s="18"/>
      <c r="I85" s="30"/>
      <c r="J85" s="13"/>
      <c r="K85" s="13"/>
      <c r="L85" s="13"/>
      <c r="M85" s="13"/>
      <c r="N85" s="13"/>
      <c r="O85" s="14"/>
    </row>
    <row r="86" spans="2:15" ht="15.95" customHeight="1">
      <c r="B86" s="17"/>
      <c r="C86" s="13"/>
      <c r="D86" s="13"/>
      <c r="E86" s="13"/>
      <c r="F86" s="13"/>
      <c r="G86" s="13"/>
      <c r="H86" s="18"/>
      <c r="I86" s="30"/>
      <c r="J86" s="13"/>
      <c r="K86" s="13"/>
      <c r="L86" s="13"/>
      <c r="M86" s="13"/>
      <c r="N86" s="13"/>
      <c r="O86" s="14"/>
    </row>
    <row r="87" spans="2:15" ht="15.95" customHeight="1">
      <c r="B87" s="17"/>
      <c r="C87" s="13"/>
      <c r="D87" s="13"/>
      <c r="E87" s="13"/>
      <c r="F87" s="13"/>
      <c r="G87" s="13"/>
      <c r="H87" s="18"/>
      <c r="I87" s="30"/>
      <c r="J87" s="13"/>
      <c r="K87" s="13"/>
      <c r="L87" s="13"/>
      <c r="M87" s="13"/>
      <c r="N87" s="13"/>
      <c r="O87" s="14"/>
    </row>
    <row r="88" spans="2:15" ht="15.95" customHeight="1">
      <c r="B88" s="17"/>
      <c r="C88" s="13"/>
      <c r="D88" s="13"/>
      <c r="E88" s="13"/>
      <c r="F88" s="13"/>
      <c r="G88" s="13"/>
      <c r="H88" s="18"/>
      <c r="I88" s="30"/>
      <c r="J88" s="13"/>
      <c r="K88" s="13"/>
      <c r="L88" s="13"/>
      <c r="M88" s="13"/>
      <c r="N88" s="13"/>
      <c r="O88" s="14"/>
    </row>
    <row r="89" spans="2:15" ht="15.95" customHeight="1">
      <c r="B89" s="17"/>
      <c r="C89" s="13"/>
      <c r="D89" s="13"/>
      <c r="E89" s="13"/>
      <c r="F89" s="13"/>
      <c r="G89" s="13"/>
      <c r="H89" s="18"/>
      <c r="I89" s="30"/>
      <c r="J89" s="13"/>
      <c r="K89" s="13"/>
      <c r="L89" s="13"/>
      <c r="M89" s="13"/>
      <c r="N89" s="13"/>
      <c r="O89" s="14"/>
    </row>
    <row r="90" spans="2:15" ht="15.95" customHeight="1">
      <c r="B90" s="17"/>
      <c r="C90" s="13"/>
      <c r="D90" s="13"/>
      <c r="E90" s="13"/>
      <c r="F90" s="13"/>
      <c r="G90" s="13"/>
      <c r="H90" s="18"/>
      <c r="I90" s="30"/>
      <c r="J90" s="13"/>
      <c r="K90" s="13"/>
      <c r="L90" s="13"/>
      <c r="M90" s="13"/>
      <c r="N90" s="13"/>
      <c r="O90" s="14"/>
    </row>
    <row r="91" spans="2:15" ht="15.95" customHeight="1">
      <c r="B91" s="17"/>
      <c r="C91" s="13"/>
      <c r="D91" s="13"/>
      <c r="E91" s="13"/>
      <c r="F91" s="13"/>
      <c r="G91" s="13"/>
      <c r="H91" s="18"/>
      <c r="I91" s="30"/>
      <c r="J91" s="13"/>
      <c r="K91" s="13"/>
      <c r="L91" s="13"/>
      <c r="M91" s="13"/>
      <c r="N91" s="13"/>
      <c r="O91" s="14"/>
    </row>
    <row r="92" spans="2:15" ht="15.95" customHeight="1">
      <c r="B92" s="17"/>
      <c r="C92" s="13"/>
      <c r="D92" s="13"/>
      <c r="E92" s="13"/>
      <c r="F92" s="13"/>
      <c r="G92" s="13"/>
      <c r="H92" s="18"/>
      <c r="I92" s="30"/>
      <c r="J92" s="13"/>
      <c r="K92" s="13"/>
      <c r="L92" s="13"/>
      <c r="M92" s="13"/>
      <c r="N92" s="13"/>
      <c r="O92" s="14"/>
    </row>
    <row r="93" spans="2:15" ht="15.95" customHeight="1">
      <c r="B93" s="21"/>
      <c r="C93" s="22"/>
      <c r="D93" s="22"/>
      <c r="E93" s="22"/>
      <c r="F93" s="22"/>
      <c r="G93" s="22"/>
      <c r="H93" s="23"/>
      <c r="I93" s="22"/>
      <c r="J93" s="22"/>
      <c r="K93" s="22"/>
      <c r="L93" s="22"/>
      <c r="M93" s="22"/>
      <c r="N93" s="22"/>
      <c r="O93" s="34"/>
    </row>
    <row r="94" spans="2:15" ht="15.95" customHeight="1">
      <c r="B94" s="17"/>
      <c r="C94" s="13"/>
      <c r="D94" s="13"/>
      <c r="E94" s="13"/>
      <c r="F94" s="13"/>
      <c r="G94" s="13"/>
      <c r="H94" s="18"/>
      <c r="I94" s="13"/>
      <c r="J94" s="13"/>
      <c r="K94" s="13"/>
      <c r="L94" s="13"/>
      <c r="M94" s="13"/>
      <c r="N94" s="13"/>
      <c r="O94" s="14"/>
    </row>
    <row r="95" spans="2:15" ht="15.95" customHeight="1">
      <c r="B95" s="17"/>
      <c r="C95" s="13"/>
      <c r="D95" s="13"/>
      <c r="E95" s="13"/>
      <c r="F95" s="13"/>
      <c r="G95" s="13"/>
      <c r="H95" s="18"/>
      <c r="I95" s="13"/>
      <c r="J95" s="13"/>
      <c r="K95" s="13"/>
      <c r="L95" s="13"/>
      <c r="M95" s="13"/>
      <c r="N95" s="13"/>
      <c r="O95" s="14"/>
    </row>
    <row r="96" spans="2:15" ht="15.95" customHeight="1">
      <c r="B96" s="17"/>
      <c r="C96" s="13"/>
      <c r="D96" s="13"/>
      <c r="E96" s="13"/>
      <c r="F96" s="13"/>
      <c r="G96" s="13"/>
      <c r="H96" s="18"/>
      <c r="I96" s="13"/>
      <c r="J96" s="13"/>
      <c r="K96" s="13"/>
      <c r="L96" s="13"/>
      <c r="M96" s="13"/>
      <c r="N96" s="13"/>
      <c r="O96" s="14"/>
    </row>
    <row r="97" spans="2:15" ht="15.95" customHeight="1">
      <c r="B97" s="17"/>
      <c r="C97" s="13"/>
      <c r="D97" s="13"/>
      <c r="E97" s="13"/>
      <c r="F97" s="13"/>
      <c r="G97" s="13"/>
      <c r="H97" s="18"/>
      <c r="I97" s="13"/>
      <c r="J97" s="13"/>
      <c r="K97" s="13"/>
      <c r="L97" s="13"/>
      <c r="M97" s="13"/>
      <c r="N97" s="13"/>
      <c r="O97" s="14"/>
    </row>
    <row r="98" spans="2:15" ht="15.95" customHeight="1">
      <c r="B98" s="17"/>
      <c r="C98" s="13"/>
      <c r="D98" s="13"/>
      <c r="E98" s="13"/>
      <c r="F98" s="13"/>
      <c r="G98" s="13"/>
      <c r="H98" s="18"/>
      <c r="I98" s="13"/>
      <c r="J98" s="13"/>
      <c r="K98" s="13"/>
      <c r="L98" s="13"/>
      <c r="M98" s="13"/>
      <c r="N98" s="13"/>
      <c r="O98" s="14"/>
    </row>
    <row r="99" spans="2:15" ht="15.95" customHeight="1">
      <c r="B99" s="17"/>
      <c r="C99" s="13"/>
      <c r="D99" s="13"/>
      <c r="E99" s="13"/>
      <c r="F99" s="13"/>
      <c r="G99" s="13"/>
      <c r="H99" s="18"/>
      <c r="I99" s="13"/>
      <c r="J99" s="13"/>
      <c r="K99" s="13"/>
      <c r="L99" s="13"/>
      <c r="M99" s="13"/>
      <c r="N99" s="13"/>
      <c r="O99" s="14"/>
    </row>
    <row r="100" spans="2:15" ht="15.95" customHeight="1">
      <c r="B100" s="17"/>
      <c r="C100" s="13"/>
      <c r="D100" s="13"/>
      <c r="E100" s="13"/>
      <c r="F100" s="13"/>
      <c r="G100" s="13"/>
      <c r="H100" s="18"/>
      <c r="I100" s="13"/>
      <c r="J100" s="13"/>
      <c r="K100" s="13"/>
      <c r="L100" s="13"/>
      <c r="M100" s="13"/>
      <c r="N100" s="13"/>
      <c r="O100" s="14"/>
    </row>
    <row r="101" spans="2:15" ht="15.95" customHeight="1">
      <c r="B101" s="17"/>
      <c r="C101" s="13"/>
      <c r="D101" s="13"/>
      <c r="E101" s="13"/>
      <c r="F101" s="13"/>
      <c r="G101" s="13"/>
      <c r="H101" s="18"/>
      <c r="I101" s="13"/>
      <c r="J101" s="13"/>
      <c r="K101" s="13"/>
      <c r="L101" s="13"/>
      <c r="M101" s="13"/>
      <c r="N101" s="13"/>
      <c r="O101" s="14"/>
    </row>
    <row r="102" spans="2:15" ht="15.95" customHeight="1">
      <c r="B102" s="17"/>
      <c r="C102" s="13"/>
      <c r="D102" s="13"/>
      <c r="E102" s="13"/>
      <c r="F102" s="13"/>
      <c r="G102" s="13"/>
      <c r="H102" s="18"/>
      <c r="I102" s="13"/>
      <c r="J102" s="13"/>
      <c r="K102" s="13"/>
      <c r="L102" s="13"/>
      <c r="M102" s="13"/>
      <c r="N102" s="13"/>
      <c r="O102" s="14"/>
    </row>
    <row r="103" spans="2:15" ht="15.95" customHeight="1">
      <c r="B103" s="17"/>
      <c r="C103" s="13"/>
      <c r="D103" s="13"/>
      <c r="E103" s="13"/>
      <c r="F103" s="13"/>
      <c r="G103" s="13"/>
      <c r="H103" s="18"/>
      <c r="I103" s="13"/>
      <c r="J103" s="13"/>
      <c r="K103" s="13"/>
      <c r="L103" s="13"/>
      <c r="M103" s="13"/>
      <c r="N103" s="13"/>
      <c r="O103" s="14"/>
    </row>
    <row r="104" spans="2:15" ht="15.95" customHeight="1">
      <c r="B104" s="17"/>
      <c r="C104" s="13"/>
      <c r="D104" s="13"/>
      <c r="E104" s="13"/>
      <c r="F104" s="13"/>
      <c r="G104" s="13"/>
      <c r="H104" s="18"/>
      <c r="I104" s="13"/>
      <c r="J104" s="13"/>
      <c r="K104" s="13"/>
      <c r="L104" s="13"/>
      <c r="M104" s="13"/>
      <c r="N104" s="13"/>
      <c r="O104" s="14"/>
    </row>
    <row r="105" spans="2:15" ht="15.95" customHeight="1">
      <c r="B105" s="17"/>
      <c r="C105" s="13"/>
      <c r="D105" s="13"/>
      <c r="E105" s="13"/>
      <c r="F105" s="13"/>
      <c r="G105" s="13"/>
      <c r="H105" s="18"/>
      <c r="I105" s="13"/>
      <c r="J105" s="13"/>
      <c r="K105" s="13"/>
      <c r="L105" s="13"/>
      <c r="M105" s="13"/>
      <c r="N105" s="13"/>
      <c r="O105" s="14"/>
    </row>
    <row r="106" spans="2:15" ht="15.95" customHeight="1">
      <c r="B106" s="17"/>
      <c r="C106" s="13"/>
      <c r="D106" s="13"/>
      <c r="E106" s="13"/>
      <c r="F106" s="13"/>
      <c r="G106" s="13"/>
      <c r="H106" s="18"/>
      <c r="I106" s="13"/>
      <c r="J106" s="13"/>
      <c r="K106" s="13"/>
      <c r="L106" s="13"/>
      <c r="M106" s="13"/>
      <c r="N106" s="13"/>
      <c r="O106" s="14"/>
    </row>
    <row r="107" spans="2:15" ht="15.95" customHeight="1">
      <c r="B107" s="17"/>
      <c r="C107" s="13"/>
      <c r="D107" s="13"/>
      <c r="E107" s="13"/>
      <c r="F107" s="13"/>
      <c r="G107" s="13"/>
      <c r="H107" s="18"/>
      <c r="I107" s="13"/>
      <c r="J107" s="13"/>
      <c r="K107" s="13"/>
      <c r="L107" s="13"/>
      <c r="M107" s="13"/>
      <c r="N107" s="13"/>
      <c r="O107" s="14"/>
    </row>
    <row r="108" spans="2:15" ht="15.95" customHeight="1">
      <c r="B108" s="17"/>
      <c r="C108" s="13"/>
      <c r="D108" s="13"/>
      <c r="E108" s="13"/>
      <c r="F108" s="13"/>
      <c r="G108" s="13"/>
      <c r="H108" s="18"/>
      <c r="I108" s="13"/>
      <c r="J108" s="13"/>
      <c r="K108" s="13"/>
      <c r="L108" s="13"/>
      <c r="M108" s="13"/>
      <c r="N108" s="13"/>
      <c r="O108" s="14"/>
    </row>
    <row r="109" spans="2:15" ht="15.95" customHeight="1">
      <c r="B109" s="17"/>
      <c r="C109" s="13"/>
      <c r="D109" s="13"/>
      <c r="E109" s="13"/>
      <c r="F109" s="13"/>
      <c r="G109" s="13"/>
      <c r="H109" s="18"/>
      <c r="I109" s="13"/>
      <c r="J109" s="13"/>
      <c r="K109" s="13"/>
      <c r="L109" s="13"/>
      <c r="M109" s="13"/>
      <c r="N109" s="13"/>
      <c r="O109" s="14"/>
    </row>
    <row r="110" spans="2:15" ht="15.95" customHeight="1">
      <c r="B110" s="17"/>
      <c r="C110" s="13"/>
      <c r="D110" s="13"/>
      <c r="E110" s="13"/>
      <c r="F110" s="13"/>
      <c r="G110" s="13"/>
      <c r="H110" s="18"/>
      <c r="I110" s="13"/>
      <c r="J110" s="13"/>
      <c r="K110" s="13"/>
      <c r="L110" s="13"/>
      <c r="M110" s="13"/>
      <c r="N110" s="13"/>
      <c r="O110" s="14"/>
    </row>
    <row r="111" spans="2:15" ht="15.95" customHeight="1">
      <c r="B111" s="21"/>
      <c r="C111" s="22"/>
      <c r="D111" s="22"/>
      <c r="E111" s="22"/>
      <c r="F111" s="22"/>
      <c r="G111" s="22"/>
      <c r="H111" s="23"/>
      <c r="I111" s="22"/>
      <c r="J111" s="22"/>
      <c r="K111" s="22"/>
      <c r="L111" s="22"/>
      <c r="M111" s="22"/>
      <c r="N111" s="22"/>
      <c r="O111" s="34"/>
    </row>
    <row r="112" spans="2:15" ht="15.95" customHeight="1">
      <c r="B112" s="17"/>
      <c r="C112" s="13"/>
      <c r="D112" s="13"/>
      <c r="E112" s="13"/>
      <c r="F112" s="13"/>
      <c r="G112" s="13"/>
      <c r="H112" s="18"/>
      <c r="I112" s="13"/>
      <c r="J112" s="13"/>
      <c r="K112" s="13"/>
      <c r="L112" s="13"/>
      <c r="M112" s="13"/>
      <c r="N112" s="13"/>
      <c r="O112" s="14"/>
    </row>
    <row r="113" spans="2:15" ht="15.95" customHeight="1">
      <c r="B113" s="17"/>
      <c r="C113" s="13"/>
      <c r="D113" s="13"/>
      <c r="E113" s="13"/>
      <c r="F113" s="13"/>
      <c r="G113" s="13"/>
      <c r="H113" s="18"/>
      <c r="I113" s="13"/>
      <c r="J113" s="13"/>
      <c r="K113" s="13"/>
      <c r="L113" s="13"/>
      <c r="M113" s="13"/>
      <c r="N113" s="13"/>
      <c r="O113" s="14"/>
    </row>
    <row r="114" spans="2:15" ht="15.75" customHeight="1">
      <c r="B114" s="17"/>
      <c r="C114" s="13"/>
      <c r="D114" s="13"/>
      <c r="E114" s="13"/>
      <c r="F114" s="13"/>
      <c r="G114" s="13"/>
      <c r="H114" s="18"/>
      <c r="I114" s="13"/>
      <c r="J114" s="13"/>
      <c r="K114" s="13"/>
      <c r="L114" s="13"/>
      <c r="M114" s="13"/>
      <c r="N114" s="13"/>
      <c r="O114" s="14"/>
    </row>
    <row r="115" spans="2:15" ht="15.95" customHeight="1">
      <c r="B115" s="17"/>
      <c r="C115" s="13"/>
      <c r="D115" s="13"/>
      <c r="E115" s="13"/>
      <c r="F115" s="13"/>
      <c r="G115" s="13"/>
      <c r="H115" s="18"/>
      <c r="I115" s="13"/>
      <c r="J115" s="13"/>
      <c r="K115" s="13"/>
      <c r="L115" s="13"/>
      <c r="M115" s="13"/>
      <c r="N115" s="13"/>
      <c r="O115" s="14"/>
    </row>
    <row r="116" spans="2:15" ht="15.95" customHeight="1">
      <c r="B116" s="17"/>
      <c r="C116" s="13"/>
      <c r="D116" s="13"/>
      <c r="E116" s="13"/>
      <c r="F116" s="13"/>
      <c r="G116" s="13"/>
      <c r="H116" s="18"/>
      <c r="I116" s="13"/>
      <c r="J116" s="13"/>
      <c r="K116" s="13"/>
      <c r="L116" s="13"/>
      <c r="M116" s="13"/>
      <c r="N116" s="13"/>
      <c r="O116" s="14"/>
    </row>
    <row r="117" spans="2:15" ht="15.95" customHeight="1">
      <c r="B117" s="17"/>
      <c r="C117" s="13"/>
      <c r="D117" s="13"/>
      <c r="E117" s="13"/>
      <c r="F117" s="13"/>
      <c r="G117" s="13"/>
      <c r="H117" s="18"/>
      <c r="I117" s="13"/>
      <c r="J117" s="13"/>
      <c r="K117" s="13"/>
      <c r="L117" s="13"/>
      <c r="M117" s="13"/>
      <c r="N117" s="13"/>
      <c r="O117" s="14"/>
    </row>
    <row r="118" spans="2:15" ht="15.95" customHeight="1">
      <c r="B118" s="17"/>
      <c r="C118" s="13"/>
      <c r="D118" s="13"/>
      <c r="E118" s="13"/>
      <c r="F118" s="13"/>
      <c r="G118" s="13"/>
      <c r="H118" s="18"/>
      <c r="I118" s="13"/>
      <c r="J118" s="13"/>
      <c r="K118" s="13"/>
      <c r="L118" s="13"/>
      <c r="M118" s="13"/>
      <c r="N118" s="13"/>
      <c r="O118" s="14"/>
    </row>
    <row r="119" spans="2:15" ht="15.95" customHeight="1">
      <c r="B119" s="17"/>
      <c r="C119" s="13"/>
      <c r="D119" s="13"/>
      <c r="E119" s="13"/>
      <c r="F119" s="13"/>
      <c r="G119" s="13"/>
      <c r="H119" s="18"/>
      <c r="I119" s="13"/>
      <c r="J119" s="13"/>
      <c r="K119" s="13"/>
      <c r="L119" s="13"/>
      <c r="M119" s="13"/>
      <c r="N119" s="13"/>
      <c r="O119" s="14"/>
    </row>
    <row r="120" spans="2:15" ht="15.95" customHeight="1">
      <c r="B120" s="17"/>
      <c r="C120" s="13"/>
      <c r="D120" s="13"/>
      <c r="E120" s="13"/>
      <c r="F120" s="13"/>
      <c r="G120" s="13"/>
      <c r="H120" s="18"/>
      <c r="I120" s="13"/>
      <c r="J120" s="13"/>
      <c r="K120" s="13"/>
      <c r="L120" s="13"/>
      <c r="M120" s="13"/>
      <c r="N120" s="13"/>
      <c r="O120" s="14"/>
    </row>
    <row r="121" spans="2:15" ht="15.95" customHeight="1">
      <c r="B121" s="17"/>
      <c r="C121" s="13"/>
      <c r="D121" s="13"/>
      <c r="E121" s="13"/>
      <c r="F121" s="13"/>
      <c r="G121" s="13"/>
      <c r="H121" s="18"/>
      <c r="I121" s="13"/>
      <c r="J121" s="13"/>
      <c r="K121" s="13"/>
      <c r="L121" s="13"/>
      <c r="M121" s="13"/>
      <c r="N121" s="13"/>
      <c r="O121" s="14"/>
    </row>
    <row r="122" spans="2:15" ht="15.95" customHeight="1">
      <c r="B122" s="17"/>
      <c r="C122" s="13"/>
      <c r="D122" s="13"/>
      <c r="E122" s="13"/>
      <c r="F122" s="13"/>
      <c r="G122" s="13"/>
      <c r="H122" s="18"/>
      <c r="I122" s="13"/>
      <c r="J122" s="13"/>
      <c r="K122" s="13"/>
      <c r="L122" s="13"/>
      <c r="M122" s="13"/>
      <c r="N122" s="13"/>
      <c r="O122" s="14"/>
    </row>
    <row r="123" spans="2:15" ht="15.95" customHeight="1">
      <c r="B123" s="17"/>
      <c r="C123" s="13"/>
      <c r="D123" s="13"/>
      <c r="E123" s="13"/>
      <c r="F123" s="13"/>
      <c r="G123" s="13"/>
      <c r="H123" s="18"/>
      <c r="I123" s="13"/>
      <c r="J123" s="13"/>
      <c r="K123" s="13"/>
      <c r="L123" s="13"/>
      <c r="M123" s="13"/>
      <c r="N123" s="13"/>
      <c r="O123" s="14"/>
    </row>
    <row r="124" spans="2:15" ht="15.95" customHeight="1">
      <c r="B124" s="17"/>
      <c r="C124" s="13"/>
      <c r="D124" s="13"/>
      <c r="E124" s="13"/>
      <c r="F124" s="13"/>
      <c r="G124" s="13"/>
      <c r="H124" s="18"/>
      <c r="I124" s="13"/>
      <c r="J124" s="13"/>
      <c r="K124" s="13"/>
      <c r="L124" s="13"/>
      <c r="M124" s="13"/>
      <c r="N124" s="13"/>
      <c r="O124" s="14"/>
    </row>
    <row r="125" spans="2:15" ht="15.95" customHeight="1">
      <c r="B125" s="17"/>
      <c r="C125" s="13"/>
      <c r="D125" s="13"/>
      <c r="E125" s="13"/>
      <c r="F125" s="13"/>
      <c r="G125" s="13"/>
      <c r="H125" s="18"/>
      <c r="I125" s="13"/>
      <c r="J125" s="13"/>
      <c r="K125" s="13"/>
      <c r="L125" s="13"/>
      <c r="M125" s="13"/>
      <c r="N125" s="13"/>
      <c r="O125" s="14"/>
    </row>
    <row r="126" spans="2:15" ht="15.95" customHeight="1">
      <c r="B126" s="17"/>
      <c r="C126" s="13"/>
      <c r="D126" s="13"/>
      <c r="E126" s="13"/>
      <c r="F126" s="13"/>
      <c r="G126" s="13"/>
      <c r="H126" s="18"/>
      <c r="I126" s="13"/>
      <c r="J126" s="13"/>
      <c r="K126" s="13"/>
      <c r="L126" s="13"/>
      <c r="M126" s="13"/>
      <c r="N126" s="13"/>
      <c r="O126" s="14"/>
    </row>
    <row r="127" spans="2:15" ht="15.95" customHeight="1">
      <c r="B127" s="17"/>
      <c r="C127" s="13"/>
      <c r="D127" s="13"/>
      <c r="E127" s="13"/>
      <c r="F127" s="13"/>
      <c r="G127" s="13"/>
      <c r="H127" s="18"/>
      <c r="I127" s="13"/>
      <c r="J127" s="13"/>
      <c r="K127" s="13"/>
      <c r="L127" s="13"/>
      <c r="M127" s="13"/>
      <c r="N127" s="13"/>
      <c r="O127" s="14"/>
    </row>
    <row r="128" spans="2:15" ht="15.95" customHeight="1" thickBot="1">
      <c r="B128" s="24"/>
      <c r="C128" s="25"/>
      <c r="D128" s="25"/>
      <c r="E128" s="25"/>
      <c r="F128" s="25"/>
      <c r="G128" s="25"/>
      <c r="H128" s="26"/>
      <c r="I128" s="25"/>
      <c r="J128" s="25"/>
      <c r="K128" s="25"/>
      <c r="L128" s="25"/>
      <c r="M128" s="25"/>
      <c r="N128" s="25"/>
      <c r="O128" s="32"/>
    </row>
    <row r="129" spans="2:15" ht="15.95" customHeight="1">
      <c r="B129" s="21"/>
      <c r="C129" s="22"/>
      <c r="D129" s="22"/>
      <c r="E129" s="22"/>
      <c r="F129" s="22"/>
      <c r="G129" s="22"/>
      <c r="H129" s="23"/>
      <c r="I129" s="22"/>
      <c r="J129" s="22"/>
      <c r="K129" s="22"/>
      <c r="L129" s="22"/>
      <c r="M129" s="22"/>
      <c r="N129" s="22"/>
      <c r="O129" s="34"/>
    </row>
    <row r="130" spans="2:15" ht="15.95" customHeight="1">
      <c r="B130" s="17"/>
      <c r="C130" s="13"/>
      <c r="D130" s="13"/>
      <c r="E130" s="13"/>
      <c r="F130" s="13"/>
      <c r="G130" s="13"/>
      <c r="H130" s="18"/>
      <c r="I130" s="13"/>
      <c r="J130" s="13"/>
      <c r="K130" s="13"/>
      <c r="L130" s="13"/>
      <c r="M130" s="13"/>
      <c r="N130" s="13"/>
      <c r="O130" s="14"/>
    </row>
    <row r="131" spans="2:15" ht="15.95" customHeight="1">
      <c r="B131" s="17"/>
      <c r="C131" s="13"/>
      <c r="D131" s="13"/>
      <c r="E131" s="13"/>
      <c r="F131" s="13"/>
      <c r="G131" s="13"/>
      <c r="H131" s="18"/>
      <c r="I131" s="13"/>
      <c r="J131" s="13"/>
      <c r="K131" s="13"/>
      <c r="L131" s="13"/>
      <c r="M131" s="13"/>
      <c r="N131" s="13"/>
      <c r="O131" s="14"/>
    </row>
    <row r="132" spans="2:15" ht="15.75" customHeight="1">
      <c r="B132" s="17"/>
      <c r="C132" s="13"/>
      <c r="D132" s="13"/>
      <c r="E132" s="13"/>
      <c r="F132" s="13"/>
      <c r="G132" s="13"/>
      <c r="H132" s="18"/>
      <c r="I132" s="13"/>
      <c r="J132" s="13"/>
      <c r="K132" s="13"/>
      <c r="L132" s="13"/>
      <c r="M132" s="13"/>
      <c r="N132" s="13"/>
      <c r="O132" s="14"/>
    </row>
    <row r="133" spans="2:15" ht="15.95" customHeight="1">
      <c r="B133" s="17"/>
      <c r="C133" s="13"/>
      <c r="D133" s="13"/>
      <c r="E133" s="13"/>
      <c r="F133" s="13"/>
      <c r="G133" s="13"/>
      <c r="H133" s="18"/>
      <c r="I133" s="13"/>
      <c r="J133" s="13"/>
      <c r="K133" s="13"/>
      <c r="L133" s="13"/>
      <c r="M133" s="13"/>
      <c r="N133" s="13"/>
      <c r="O133" s="14"/>
    </row>
    <row r="134" spans="2:15" ht="15.95" customHeight="1">
      <c r="B134" s="17"/>
      <c r="C134" s="13"/>
      <c r="D134" s="13"/>
      <c r="E134" s="13"/>
      <c r="F134" s="13"/>
      <c r="G134" s="13"/>
      <c r="H134" s="18"/>
      <c r="I134" s="13"/>
      <c r="J134" s="13"/>
      <c r="K134" s="13"/>
      <c r="L134" s="13"/>
      <c r="M134" s="13"/>
      <c r="N134" s="13"/>
      <c r="O134" s="14"/>
    </row>
    <row r="135" spans="2:15" ht="15.95" customHeight="1">
      <c r="B135" s="17"/>
      <c r="C135" s="13"/>
      <c r="D135" s="13"/>
      <c r="E135" s="13"/>
      <c r="F135" s="13"/>
      <c r="G135" s="13"/>
      <c r="H135" s="18"/>
      <c r="I135" s="13"/>
      <c r="J135" s="13"/>
      <c r="K135" s="13"/>
      <c r="L135" s="13"/>
      <c r="M135" s="13"/>
      <c r="N135" s="13"/>
      <c r="O135" s="14"/>
    </row>
    <row r="136" spans="2:15" ht="15.95" customHeight="1">
      <c r="B136" s="17"/>
      <c r="C136" s="13"/>
      <c r="D136" s="13"/>
      <c r="E136" s="13"/>
      <c r="F136" s="13"/>
      <c r="G136" s="13"/>
      <c r="H136" s="18"/>
      <c r="I136" s="13"/>
      <c r="J136" s="13"/>
      <c r="K136" s="13"/>
      <c r="L136" s="13"/>
      <c r="M136" s="13"/>
      <c r="N136" s="13"/>
      <c r="O136" s="14"/>
    </row>
    <row r="137" spans="2:15" ht="15.95" customHeight="1">
      <c r="B137" s="17"/>
      <c r="C137" s="13"/>
      <c r="D137" s="13"/>
      <c r="E137" s="13"/>
      <c r="F137" s="13"/>
      <c r="G137" s="13"/>
      <c r="H137" s="18"/>
      <c r="I137" s="13"/>
      <c r="J137" s="13"/>
      <c r="K137" s="13"/>
      <c r="L137" s="13"/>
      <c r="M137" s="13"/>
      <c r="N137" s="13"/>
      <c r="O137" s="14"/>
    </row>
    <row r="138" spans="2:15" ht="15.95" customHeight="1">
      <c r="B138" s="17"/>
      <c r="C138" s="13"/>
      <c r="D138" s="13"/>
      <c r="E138" s="13"/>
      <c r="F138" s="13"/>
      <c r="G138" s="13"/>
      <c r="H138" s="18"/>
      <c r="I138" s="13"/>
      <c r="J138" s="13"/>
      <c r="K138" s="13"/>
      <c r="L138" s="13"/>
      <c r="M138" s="13"/>
      <c r="N138" s="13"/>
      <c r="O138" s="14"/>
    </row>
    <row r="139" spans="2:15" ht="15.95" customHeight="1">
      <c r="B139" s="17"/>
      <c r="C139" s="13"/>
      <c r="D139" s="13"/>
      <c r="E139" s="13"/>
      <c r="F139" s="13"/>
      <c r="G139" s="13"/>
      <c r="H139" s="18"/>
      <c r="I139" s="13"/>
      <c r="J139" s="13"/>
      <c r="K139" s="13"/>
      <c r="L139" s="13"/>
      <c r="M139" s="13"/>
      <c r="N139" s="13"/>
      <c r="O139" s="14"/>
    </row>
    <row r="140" spans="2:15" ht="15.95" customHeight="1">
      <c r="B140" s="17"/>
      <c r="C140" s="13"/>
      <c r="D140" s="13"/>
      <c r="E140" s="13"/>
      <c r="F140" s="13"/>
      <c r="G140" s="13"/>
      <c r="H140" s="18"/>
      <c r="I140" s="13"/>
      <c r="J140" s="13"/>
      <c r="K140" s="13"/>
      <c r="L140" s="13"/>
      <c r="M140" s="13"/>
      <c r="N140" s="13"/>
      <c r="O140" s="14"/>
    </row>
    <row r="141" spans="2:15" ht="15.95" customHeight="1">
      <c r="B141" s="17"/>
      <c r="C141" s="13"/>
      <c r="D141" s="13"/>
      <c r="E141" s="13"/>
      <c r="F141" s="13"/>
      <c r="G141" s="13"/>
      <c r="H141" s="18"/>
      <c r="I141" s="13"/>
      <c r="J141" s="13"/>
      <c r="K141" s="13"/>
      <c r="L141" s="13"/>
      <c r="M141" s="13"/>
      <c r="N141" s="13"/>
      <c r="O141" s="14"/>
    </row>
    <row r="142" spans="2:15" ht="15.95" customHeight="1">
      <c r="B142" s="17"/>
      <c r="C142" s="13"/>
      <c r="D142" s="13"/>
      <c r="E142" s="13"/>
      <c r="F142" s="13"/>
      <c r="G142" s="13"/>
      <c r="H142" s="18"/>
      <c r="I142" s="13"/>
      <c r="J142" s="13"/>
      <c r="K142" s="13"/>
      <c r="L142" s="13"/>
      <c r="M142" s="13"/>
      <c r="N142" s="13"/>
      <c r="O142" s="14"/>
    </row>
    <row r="143" spans="2:15" ht="15.95" customHeight="1">
      <c r="B143" s="17"/>
      <c r="C143" s="13"/>
      <c r="D143" s="13"/>
      <c r="E143" s="13"/>
      <c r="F143" s="13"/>
      <c r="G143" s="13"/>
      <c r="H143" s="18"/>
      <c r="I143" s="13"/>
      <c r="J143" s="13"/>
      <c r="K143" s="13"/>
      <c r="L143" s="13"/>
      <c r="M143" s="13"/>
      <c r="N143" s="13"/>
      <c r="O143" s="14"/>
    </row>
    <row r="144" spans="2:15" ht="15.95" customHeight="1">
      <c r="B144" s="17"/>
      <c r="C144" s="13"/>
      <c r="D144" s="13"/>
      <c r="E144" s="13"/>
      <c r="F144" s="13"/>
      <c r="G144" s="13"/>
      <c r="H144" s="18"/>
      <c r="I144" s="13"/>
      <c r="J144" s="13"/>
      <c r="K144" s="13"/>
      <c r="L144" s="13"/>
      <c r="M144" s="13"/>
      <c r="N144" s="13"/>
      <c r="O144" s="14"/>
    </row>
    <row r="145" spans="2:15" ht="15.95" customHeight="1">
      <c r="B145" s="17"/>
      <c r="C145" s="13"/>
      <c r="D145" s="13"/>
      <c r="E145" s="13"/>
      <c r="F145" s="13"/>
      <c r="G145" s="13"/>
      <c r="H145" s="18"/>
      <c r="I145" s="13"/>
      <c r="J145" s="13"/>
      <c r="K145" s="13"/>
      <c r="L145" s="13"/>
      <c r="M145" s="13"/>
      <c r="N145" s="13"/>
      <c r="O145" s="14"/>
    </row>
    <row r="146" spans="2:15" ht="15.95" customHeight="1" thickBot="1">
      <c r="B146" s="24"/>
      <c r="C146" s="25"/>
      <c r="D146" s="25"/>
      <c r="E146" s="25"/>
      <c r="F146" s="25"/>
      <c r="G146" s="25"/>
      <c r="H146" s="26"/>
      <c r="I146" s="25"/>
      <c r="J146" s="25"/>
      <c r="K146" s="25"/>
      <c r="L146" s="25"/>
      <c r="M146" s="25"/>
      <c r="N146" s="25"/>
      <c r="O146" s="32"/>
    </row>
    <row r="147" spans="2:15" ht="15.95" customHeight="1">
      <c r="B147" s="21"/>
      <c r="C147" s="22"/>
      <c r="D147" s="22"/>
      <c r="E147" s="22"/>
      <c r="F147" s="22"/>
      <c r="G147" s="22"/>
      <c r="H147" s="23"/>
      <c r="I147" s="22"/>
      <c r="J147" s="22"/>
      <c r="K147" s="22"/>
      <c r="L147" s="22"/>
      <c r="M147" s="22"/>
      <c r="N147" s="22"/>
      <c r="O147" s="34"/>
    </row>
    <row r="148" spans="2:15" ht="15.95" customHeight="1">
      <c r="B148" s="17"/>
      <c r="C148" s="13"/>
      <c r="D148" s="13"/>
      <c r="E148" s="13"/>
      <c r="F148" s="13"/>
      <c r="G148" s="13"/>
      <c r="H148" s="18"/>
      <c r="I148" s="13"/>
      <c r="J148" s="13"/>
      <c r="K148" s="13"/>
      <c r="L148" s="13"/>
      <c r="M148" s="13"/>
      <c r="N148" s="13"/>
      <c r="O148" s="14"/>
    </row>
    <row r="149" spans="2:15" ht="15.95" customHeight="1">
      <c r="B149" s="17"/>
      <c r="C149" s="13"/>
      <c r="D149" s="13"/>
      <c r="E149" s="13"/>
      <c r="F149" s="13"/>
      <c r="G149" s="13"/>
      <c r="H149" s="18"/>
      <c r="I149" s="13"/>
      <c r="J149" s="13"/>
      <c r="K149" s="13"/>
      <c r="L149" s="13"/>
      <c r="M149" s="13"/>
      <c r="N149" s="13"/>
      <c r="O149" s="14"/>
    </row>
    <row r="150" spans="2:15" ht="15.75" customHeight="1">
      <c r="B150" s="17"/>
      <c r="C150" s="13"/>
      <c r="D150" s="13"/>
      <c r="E150" s="13"/>
      <c r="F150" s="13"/>
      <c r="G150" s="13"/>
      <c r="H150" s="18"/>
      <c r="I150" s="13"/>
      <c r="J150" s="13"/>
      <c r="K150" s="13"/>
      <c r="L150" s="13"/>
      <c r="M150" s="13"/>
      <c r="N150" s="13"/>
      <c r="O150" s="14"/>
    </row>
    <row r="151" spans="2:15" ht="15.95" customHeight="1">
      <c r="B151" s="17"/>
      <c r="C151" s="13"/>
      <c r="D151" s="13"/>
      <c r="E151" s="13"/>
      <c r="F151" s="13"/>
      <c r="G151" s="13"/>
      <c r="H151" s="18"/>
      <c r="I151" s="13"/>
      <c r="J151" s="13"/>
      <c r="K151" s="13"/>
      <c r="L151" s="13"/>
      <c r="M151" s="13"/>
      <c r="N151" s="13"/>
      <c r="O151" s="14"/>
    </row>
    <row r="152" spans="2:15" ht="15.95" customHeight="1">
      <c r="B152" s="17"/>
      <c r="C152" s="13"/>
      <c r="D152" s="13"/>
      <c r="E152" s="13"/>
      <c r="F152" s="13"/>
      <c r="G152" s="13"/>
      <c r="H152" s="18"/>
      <c r="I152" s="13"/>
      <c r="J152" s="13"/>
      <c r="K152" s="13"/>
      <c r="L152" s="13"/>
      <c r="M152" s="13"/>
      <c r="N152" s="13"/>
      <c r="O152" s="14"/>
    </row>
    <row r="153" spans="2:15" ht="15.95" customHeight="1">
      <c r="B153" s="17"/>
      <c r="C153" s="13"/>
      <c r="D153" s="13"/>
      <c r="E153" s="13"/>
      <c r="F153" s="13"/>
      <c r="G153" s="13"/>
      <c r="H153" s="18"/>
      <c r="I153" s="13"/>
      <c r="J153" s="13"/>
      <c r="K153" s="13"/>
      <c r="L153" s="13"/>
      <c r="M153" s="13"/>
      <c r="N153" s="13"/>
      <c r="O153" s="14"/>
    </row>
    <row r="154" spans="2:15" ht="15.95" customHeight="1">
      <c r="B154" s="17"/>
      <c r="C154" s="13"/>
      <c r="D154" s="13"/>
      <c r="E154" s="13"/>
      <c r="F154" s="13"/>
      <c r="G154" s="13"/>
      <c r="H154" s="18"/>
      <c r="I154" s="13"/>
      <c r="J154" s="13"/>
      <c r="K154" s="13"/>
      <c r="L154" s="13"/>
      <c r="M154" s="13"/>
      <c r="N154" s="13"/>
      <c r="O154" s="14"/>
    </row>
    <row r="155" spans="2:15" ht="15.95" customHeight="1">
      <c r="B155" s="17"/>
      <c r="C155" s="13"/>
      <c r="D155" s="13"/>
      <c r="E155" s="13"/>
      <c r="F155" s="13"/>
      <c r="G155" s="13"/>
      <c r="H155" s="18"/>
      <c r="I155" s="13"/>
      <c r="J155" s="13"/>
      <c r="K155" s="13"/>
      <c r="L155" s="13"/>
      <c r="M155" s="13"/>
      <c r="N155" s="13"/>
      <c r="O155" s="14"/>
    </row>
    <row r="156" spans="2:15" ht="15.95" customHeight="1">
      <c r="B156" s="17"/>
      <c r="C156" s="13"/>
      <c r="D156" s="13"/>
      <c r="E156" s="13"/>
      <c r="F156" s="13"/>
      <c r="G156" s="13"/>
      <c r="H156" s="18"/>
      <c r="I156" s="13"/>
      <c r="J156" s="13"/>
      <c r="K156" s="13"/>
      <c r="L156" s="13"/>
      <c r="M156" s="13"/>
      <c r="N156" s="13"/>
      <c r="O156" s="14"/>
    </row>
    <row r="157" spans="2:15" ht="15.95" customHeight="1">
      <c r="B157" s="17"/>
      <c r="C157" s="13"/>
      <c r="D157" s="13"/>
      <c r="E157" s="13"/>
      <c r="F157" s="13"/>
      <c r="G157" s="13"/>
      <c r="H157" s="18"/>
      <c r="I157" s="13"/>
      <c r="J157" s="13"/>
      <c r="K157" s="13"/>
      <c r="L157" s="13"/>
      <c r="M157" s="13"/>
      <c r="N157" s="13"/>
      <c r="O157" s="14"/>
    </row>
    <row r="158" spans="2:15" ht="15.95" customHeight="1">
      <c r="B158" s="17"/>
      <c r="C158" s="13"/>
      <c r="D158" s="13"/>
      <c r="E158" s="13"/>
      <c r="F158" s="13"/>
      <c r="G158" s="13"/>
      <c r="H158" s="18"/>
      <c r="I158" s="13"/>
      <c r="J158" s="13"/>
      <c r="K158" s="13"/>
      <c r="L158" s="13"/>
      <c r="M158" s="13"/>
      <c r="N158" s="13"/>
      <c r="O158" s="14"/>
    </row>
    <row r="159" spans="2:15" ht="15.95" customHeight="1">
      <c r="B159" s="17"/>
      <c r="C159" s="13"/>
      <c r="D159" s="13"/>
      <c r="E159" s="13"/>
      <c r="F159" s="13"/>
      <c r="G159" s="13"/>
      <c r="H159" s="18"/>
      <c r="I159" s="13"/>
      <c r="J159" s="13"/>
      <c r="K159" s="13"/>
      <c r="L159" s="13"/>
      <c r="M159" s="13"/>
      <c r="N159" s="13"/>
      <c r="O159" s="14"/>
    </row>
    <row r="160" spans="2:15" ht="15.95" customHeight="1">
      <c r="B160" s="17"/>
      <c r="C160" s="13"/>
      <c r="D160" s="13"/>
      <c r="E160" s="13"/>
      <c r="F160" s="13"/>
      <c r="G160" s="13"/>
      <c r="H160" s="18"/>
      <c r="I160" s="13"/>
      <c r="J160" s="13"/>
      <c r="K160" s="13"/>
      <c r="L160" s="13"/>
      <c r="M160" s="13"/>
      <c r="N160" s="13"/>
      <c r="O160" s="14"/>
    </row>
    <row r="161" spans="2:15" ht="15.95" customHeight="1">
      <c r="B161" s="17"/>
      <c r="C161" s="13"/>
      <c r="D161" s="13"/>
      <c r="E161" s="13"/>
      <c r="F161" s="13"/>
      <c r="G161" s="13"/>
      <c r="H161" s="18"/>
      <c r="I161" s="13"/>
      <c r="J161" s="13"/>
      <c r="K161" s="13"/>
      <c r="L161" s="13"/>
      <c r="M161" s="13"/>
      <c r="N161" s="13"/>
      <c r="O161" s="14"/>
    </row>
    <row r="162" spans="2:15" ht="15.95" customHeight="1">
      <c r="B162" s="17"/>
      <c r="C162" s="13"/>
      <c r="D162" s="13"/>
      <c r="E162" s="13"/>
      <c r="F162" s="13"/>
      <c r="G162" s="13"/>
      <c r="H162" s="18"/>
      <c r="I162" s="13"/>
      <c r="J162" s="13"/>
      <c r="K162" s="13"/>
      <c r="L162" s="13"/>
      <c r="M162" s="13"/>
      <c r="N162" s="13"/>
      <c r="O162" s="14"/>
    </row>
    <row r="163" spans="2:15" ht="15.95" customHeight="1">
      <c r="B163" s="17"/>
      <c r="C163" s="13"/>
      <c r="D163" s="13"/>
      <c r="E163" s="13"/>
      <c r="F163" s="13"/>
      <c r="G163" s="13"/>
      <c r="H163" s="18"/>
      <c r="I163" s="13"/>
      <c r="J163" s="13"/>
      <c r="K163" s="13"/>
      <c r="L163" s="13"/>
      <c r="M163" s="13"/>
      <c r="N163" s="13"/>
      <c r="O163" s="14"/>
    </row>
    <row r="164" spans="2:15" ht="15.95" customHeight="1" thickBot="1">
      <c r="B164" s="24"/>
      <c r="C164" s="25"/>
      <c r="D164" s="25"/>
      <c r="E164" s="25"/>
      <c r="F164" s="25"/>
      <c r="G164" s="25"/>
      <c r="H164" s="26"/>
      <c r="I164" s="25"/>
      <c r="J164" s="25"/>
      <c r="K164" s="25"/>
      <c r="L164" s="25"/>
      <c r="M164" s="25"/>
      <c r="N164" s="25"/>
      <c r="O164" s="32"/>
    </row>
    <row r="165" spans="2:15" ht="15.95" customHeight="1">
      <c r="B165" s="21"/>
      <c r="C165" s="22"/>
      <c r="D165" s="22"/>
      <c r="E165" s="22"/>
      <c r="F165" s="22"/>
      <c r="G165" s="22"/>
      <c r="H165" s="23"/>
      <c r="I165" s="22"/>
      <c r="J165" s="22"/>
      <c r="K165" s="22"/>
      <c r="L165" s="22"/>
      <c r="M165" s="22"/>
      <c r="N165" s="22"/>
      <c r="O165" s="34"/>
    </row>
    <row r="166" spans="2:15" ht="15.95" customHeight="1">
      <c r="B166" s="17"/>
      <c r="C166" s="13"/>
      <c r="D166" s="13"/>
      <c r="E166" s="13"/>
      <c r="F166" s="13"/>
      <c r="G166" s="13"/>
      <c r="H166" s="18"/>
      <c r="I166" s="13"/>
      <c r="J166" s="13"/>
      <c r="K166" s="13"/>
      <c r="L166" s="13"/>
      <c r="M166" s="13"/>
      <c r="N166" s="13"/>
      <c r="O166" s="14"/>
    </row>
    <row r="167" spans="2:15" ht="15.95" customHeight="1">
      <c r="B167" s="17"/>
      <c r="C167" s="13"/>
      <c r="D167" s="13"/>
      <c r="E167" s="13"/>
      <c r="F167" s="13"/>
      <c r="G167" s="13"/>
      <c r="H167" s="18"/>
      <c r="I167" s="13"/>
      <c r="J167" s="13"/>
      <c r="K167" s="13"/>
      <c r="L167" s="13"/>
      <c r="M167" s="13"/>
      <c r="N167" s="13"/>
      <c r="O167" s="14"/>
    </row>
    <row r="168" spans="2:15" ht="15.75" customHeight="1">
      <c r="B168" s="17"/>
      <c r="C168" s="13"/>
      <c r="D168" s="13"/>
      <c r="E168" s="13"/>
      <c r="F168" s="13"/>
      <c r="G168" s="13"/>
      <c r="H168" s="18"/>
      <c r="I168" s="13"/>
      <c r="J168" s="13"/>
      <c r="K168" s="13"/>
      <c r="L168" s="13"/>
      <c r="M168" s="13"/>
      <c r="N168" s="13"/>
      <c r="O168" s="14"/>
    </row>
    <row r="169" spans="2:15" ht="15.95" customHeight="1">
      <c r="B169" s="17"/>
      <c r="C169" s="13"/>
      <c r="D169" s="13"/>
      <c r="E169" s="13"/>
      <c r="F169" s="13"/>
      <c r="G169" s="13"/>
      <c r="H169" s="18"/>
      <c r="I169" s="13"/>
      <c r="J169" s="13"/>
      <c r="K169" s="13"/>
      <c r="L169" s="13"/>
      <c r="M169" s="13"/>
      <c r="N169" s="13"/>
      <c r="O169" s="14"/>
    </row>
    <row r="170" spans="2:15" ht="15.95" customHeight="1">
      <c r="B170" s="17"/>
      <c r="C170" s="13"/>
      <c r="D170" s="13"/>
      <c r="E170" s="13"/>
      <c r="F170" s="13"/>
      <c r="G170" s="13"/>
      <c r="H170" s="18"/>
      <c r="I170" s="13"/>
      <c r="J170" s="13"/>
      <c r="K170" s="13"/>
      <c r="L170" s="13"/>
      <c r="M170" s="13"/>
      <c r="N170" s="13"/>
      <c r="O170" s="14"/>
    </row>
    <row r="171" spans="2:15" ht="15.95" customHeight="1">
      <c r="B171" s="17"/>
      <c r="C171" s="13"/>
      <c r="D171" s="13"/>
      <c r="E171" s="13"/>
      <c r="F171" s="13"/>
      <c r="G171" s="13"/>
      <c r="H171" s="18"/>
      <c r="I171" s="13"/>
      <c r="J171" s="13"/>
      <c r="K171" s="13"/>
      <c r="L171" s="13"/>
      <c r="M171" s="13"/>
      <c r="N171" s="13"/>
      <c r="O171" s="14"/>
    </row>
    <row r="172" spans="2:15" ht="15.95" customHeight="1">
      <c r="B172" s="17"/>
      <c r="C172" s="13"/>
      <c r="D172" s="13"/>
      <c r="E172" s="13"/>
      <c r="F172" s="13"/>
      <c r="G172" s="13"/>
      <c r="H172" s="18"/>
      <c r="I172" s="13"/>
      <c r="J172" s="13"/>
      <c r="K172" s="13"/>
      <c r="L172" s="13"/>
      <c r="M172" s="13"/>
      <c r="N172" s="13"/>
      <c r="O172" s="14"/>
    </row>
    <row r="173" spans="2:15" ht="15.95" customHeight="1">
      <c r="B173" s="17"/>
      <c r="C173" s="13"/>
      <c r="D173" s="13"/>
      <c r="E173" s="13"/>
      <c r="F173" s="13"/>
      <c r="G173" s="13"/>
      <c r="H173" s="18"/>
      <c r="I173" s="13"/>
      <c r="J173" s="13"/>
      <c r="K173" s="13"/>
      <c r="L173" s="13"/>
      <c r="M173" s="13"/>
      <c r="N173" s="13"/>
      <c r="O173" s="14"/>
    </row>
    <row r="174" spans="2:15" ht="15.95" customHeight="1">
      <c r="B174" s="17"/>
      <c r="C174" s="13"/>
      <c r="D174" s="13"/>
      <c r="E174" s="13"/>
      <c r="F174" s="13"/>
      <c r="G174" s="13"/>
      <c r="H174" s="18"/>
      <c r="I174" s="13"/>
      <c r="J174" s="13"/>
      <c r="K174" s="13"/>
      <c r="L174" s="13"/>
      <c r="M174" s="13"/>
      <c r="N174" s="13"/>
      <c r="O174" s="14"/>
    </row>
    <row r="175" spans="2:15" ht="15.95" customHeight="1">
      <c r="B175" s="17"/>
      <c r="C175" s="13"/>
      <c r="D175" s="13"/>
      <c r="E175" s="13"/>
      <c r="F175" s="13"/>
      <c r="G175" s="13"/>
      <c r="H175" s="18"/>
      <c r="I175" s="13"/>
      <c r="J175" s="13"/>
      <c r="K175" s="13"/>
      <c r="L175" s="13"/>
      <c r="M175" s="13"/>
      <c r="N175" s="13"/>
      <c r="O175" s="14"/>
    </row>
    <row r="176" spans="2:15" ht="15.95" customHeight="1">
      <c r="B176" s="17"/>
      <c r="C176" s="13"/>
      <c r="D176" s="13"/>
      <c r="E176" s="13"/>
      <c r="F176" s="13"/>
      <c r="G176" s="13"/>
      <c r="H176" s="18"/>
      <c r="I176" s="13"/>
      <c r="J176" s="13"/>
      <c r="K176" s="13"/>
      <c r="L176" s="13"/>
      <c r="M176" s="13"/>
      <c r="N176" s="13"/>
      <c r="O176" s="14"/>
    </row>
    <row r="177" spans="2:15" ht="15.95" customHeight="1">
      <c r="B177" s="17"/>
      <c r="C177" s="13"/>
      <c r="D177" s="13"/>
      <c r="E177" s="13"/>
      <c r="F177" s="13"/>
      <c r="G177" s="13"/>
      <c r="H177" s="18"/>
      <c r="I177" s="13"/>
      <c r="J177" s="13"/>
      <c r="K177" s="13"/>
      <c r="L177" s="13"/>
      <c r="M177" s="13"/>
      <c r="N177" s="13"/>
      <c r="O177" s="14"/>
    </row>
    <row r="178" spans="2:15" ht="15.95" customHeight="1">
      <c r="B178" s="17"/>
      <c r="C178" s="13"/>
      <c r="D178" s="13"/>
      <c r="E178" s="13"/>
      <c r="F178" s="13"/>
      <c r="G178" s="13"/>
      <c r="H178" s="18"/>
      <c r="I178" s="13"/>
      <c r="J178" s="13"/>
      <c r="K178" s="13"/>
      <c r="L178" s="13"/>
      <c r="M178" s="13"/>
      <c r="N178" s="13"/>
      <c r="O178" s="14"/>
    </row>
    <row r="179" spans="2:15" ht="15.95" customHeight="1">
      <c r="B179" s="17"/>
      <c r="C179" s="13"/>
      <c r="D179" s="13"/>
      <c r="E179" s="13"/>
      <c r="F179" s="13"/>
      <c r="G179" s="13"/>
      <c r="H179" s="18"/>
      <c r="I179" s="13"/>
      <c r="J179" s="13"/>
      <c r="K179" s="13"/>
      <c r="L179" s="13"/>
      <c r="M179" s="13"/>
      <c r="N179" s="13"/>
      <c r="O179" s="14"/>
    </row>
    <row r="180" spans="2:15" ht="15.95" customHeight="1">
      <c r="B180" s="17"/>
      <c r="C180" s="13"/>
      <c r="D180" s="13"/>
      <c r="E180" s="13"/>
      <c r="F180" s="13"/>
      <c r="G180" s="13"/>
      <c r="H180" s="18"/>
      <c r="I180" s="13"/>
      <c r="J180" s="13"/>
      <c r="K180" s="13"/>
      <c r="L180" s="13"/>
      <c r="M180" s="13"/>
      <c r="N180" s="13"/>
      <c r="O180" s="14"/>
    </row>
    <row r="181" spans="2:15" ht="15.95" customHeight="1">
      <c r="B181" s="17"/>
      <c r="C181" s="13"/>
      <c r="D181" s="13"/>
      <c r="E181" s="13"/>
      <c r="F181" s="13"/>
      <c r="G181" s="13"/>
      <c r="H181" s="18"/>
      <c r="I181" s="13"/>
      <c r="J181" s="13"/>
      <c r="K181" s="13"/>
      <c r="L181" s="13"/>
      <c r="M181" s="13"/>
      <c r="N181" s="13"/>
      <c r="O181" s="14"/>
    </row>
    <row r="182" spans="2:15" ht="15.95" customHeight="1" thickBot="1">
      <c r="B182" s="24"/>
      <c r="C182" s="25"/>
      <c r="D182" s="25"/>
      <c r="E182" s="25"/>
      <c r="F182" s="25"/>
      <c r="G182" s="25"/>
      <c r="H182" s="26"/>
      <c r="I182" s="25"/>
      <c r="J182" s="25"/>
      <c r="K182" s="25"/>
      <c r="L182" s="25"/>
      <c r="M182" s="25"/>
      <c r="N182" s="25"/>
      <c r="O182" s="32"/>
    </row>
    <row r="183" spans="2:15" ht="15.95" customHeight="1"/>
    <row r="184" spans="2:15" ht="15.95" customHeight="1"/>
    <row r="185" spans="2:15" ht="15.95" customHeight="1"/>
    <row r="186" spans="2:15" ht="15.95" customHeight="1"/>
    <row r="187" spans="2:15" ht="15.95" customHeight="1"/>
    <row r="188" spans="2:15" ht="15.95" customHeight="1"/>
    <row r="189" spans="2:15" ht="15.95" customHeight="1"/>
    <row r="190" spans="2:15" ht="15.95" customHeight="1"/>
    <row r="191" spans="2:15" ht="15.95" customHeight="1"/>
    <row r="192" spans="2:15" ht="15.95" customHeight="1"/>
    <row r="193" ht="15.95" customHeight="1"/>
    <row r="194" ht="15.95" customHeight="1"/>
    <row r="195" ht="15.95" customHeight="1"/>
    <row r="196" ht="15.95" customHeight="1"/>
    <row r="197" ht="15.95" customHeight="1"/>
    <row r="198" ht="15.95" customHeight="1"/>
    <row r="199" ht="15.95" customHeight="1"/>
    <row r="200" ht="15.95" customHeight="1"/>
    <row r="201" ht="15.95" customHeight="1"/>
    <row r="202" ht="15.95" customHeight="1"/>
    <row r="203" ht="15.95" customHeight="1"/>
    <row r="204" ht="15.95" customHeight="1"/>
    <row r="205" ht="15.95" customHeight="1"/>
    <row r="206" ht="15.95" customHeight="1"/>
    <row r="207" ht="15.95" customHeight="1"/>
    <row r="208" ht="15.95" customHeight="1"/>
    <row r="209" ht="15.95" customHeight="1"/>
  </sheetData>
  <sheetProtection sheet="1" objects="1" scenarios="1"/>
  <phoneticPr fontId="3" type="noConversion"/>
  <printOptions horizontalCentered="1" verticalCentered="1"/>
  <pageMargins left="0.19685039370078741" right="0.19685039370078741" top="0.39370078740157483" bottom="0.39370078740157483" header="0" footer="0"/>
  <pageSetup paperSize="9" scale="84" orientation="landscape" r:id="rId1"/>
  <headerFooter alignWithMargins="0"/>
  <rowBreaks count="2" manualBreakCount="2">
    <brk id="38" max="16383" man="1"/>
    <brk id="7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AC164"/>
  <sheetViews>
    <sheetView showGridLines="0" topLeftCell="A129" zoomScale="95" zoomScaleNormal="95" workbookViewId="0">
      <selection activeCell="Z164" sqref="Z164"/>
    </sheetView>
  </sheetViews>
  <sheetFormatPr defaultColWidth="11.42578125" defaultRowHeight="12.75"/>
  <cols>
    <col min="1" max="1" width="11.42578125" style="1" customWidth="1"/>
    <col min="2" max="6" width="7.7109375" style="1" hidden="1" customWidth="1"/>
    <col min="7" max="8" width="7.42578125" style="1" hidden="1" customWidth="1"/>
    <col min="9" max="13" width="7.42578125" style="1" customWidth="1"/>
    <col min="14" max="14" width="5.85546875" style="1" bestFit="1" customWidth="1"/>
    <col min="15" max="15" width="7.7109375" style="1" bestFit="1" customWidth="1"/>
    <col min="16" max="16" width="6.5703125" style="1" bestFit="1" customWidth="1"/>
    <col min="17" max="20" width="7.7109375" style="1" bestFit="1" customWidth="1"/>
    <col min="21" max="23" width="7.7109375" style="1" customWidth="1"/>
    <col min="24" max="25" width="7.7109375" style="1" bestFit="1" customWidth="1"/>
    <col min="26" max="27" width="7.28515625" style="1" customWidth="1"/>
    <col min="28" max="28" width="7" style="1" bestFit="1" customWidth="1"/>
    <col min="29" max="16384" width="11.42578125" style="1"/>
  </cols>
  <sheetData>
    <row r="1" spans="1:29">
      <c r="A1" s="7" t="s">
        <v>4</v>
      </c>
    </row>
    <row r="3" spans="1:29" ht="24">
      <c r="A3" s="2" t="s">
        <v>0</v>
      </c>
      <c r="B3" s="35" t="s">
        <v>15</v>
      </c>
      <c r="C3" s="35" t="s">
        <v>16</v>
      </c>
      <c r="D3" s="35" t="s">
        <v>17</v>
      </c>
      <c r="E3" s="35" t="s">
        <v>19</v>
      </c>
      <c r="F3" s="35" t="s">
        <v>18</v>
      </c>
      <c r="G3" s="35" t="s">
        <v>20</v>
      </c>
      <c r="H3" s="35" t="s">
        <v>23</v>
      </c>
      <c r="I3" s="35" t="s">
        <v>24</v>
      </c>
      <c r="J3" s="35" t="s">
        <v>26</v>
      </c>
      <c r="K3" s="35" t="s">
        <v>29</v>
      </c>
      <c r="L3" s="35" t="s">
        <v>67</v>
      </c>
      <c r="M3" s="35" t="s">
        <v>758</v>
      </c>
      <c r="N3" s="3">
        <v>42552</v>
      </c>
      <c r="O3" s="3">
        <v>42583</v>
      </c>
      <c r="P3" s="3">
        <v>42614</v>
      </c>
      <c r="Q3" s="3">
        <v>42644</v>
      </c>
      <c r="R3" s="3">
        <v>42675</v>
      </c>
      <c r="S3" s="3">
        <v>42705</v>
      </c>
      <c r="T3" s="3">
        <v>42736</v>
      </c>
      <c r="U3" s="3">
        <v>42767</v>
      </c>
      <c r="V3" s="3">
        <v>42795</v>
      </c>
      <c r="W3" s="3">
        <v>42826</v>
      </c>
      <c r="X3" s="3">
        <v>42856</v>
      </c>
      <c r="Y3" s="3">
        <v>42887</v>
      </c>
      <c r="Z3" s="35" t="s">
        <v>759</v>
      </c>
      <c r="AA3" s="35" t="s">
        <v>760</v>
      </c>
      <c r="AB3"/>
    </row>
    <row r="4" spans="1:29" ht="15" customHeight="1">
      <c r="A4" s="6" t="s">
        <v>761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9">
        <v>96.2</v>
      </c>
      <c r="O4" s="9">
        <v>59.5</v>
      </c>
      <c r="P4" s="9">
        <v>96.7</v>
      </c>
      <c r="Q4" s="9">
        <v>74.5</v>
      </c>
      <c r="R4" s="9">
        <v>83.3</v>
      </c>
      <c r="S4" s="9">
        <v>34</v>
      </c>
      <c r="T4" s="9">
        <v>67.599999999999994</v>
      </c>
      <c r="U4" s="9">
        <v>33.9</v>
      </c>
      <c r="V4" s="9"/>
      <c r="W4" s="9"/>
      <c r="X4" s="9"/>
      <c r="Y4" s="9"/>
      <c r="Z4" s="5"/>
      <c r="AA4" s="5"/>
      <c r="AB4"/>
    </row>
    <row r="5" spans="1:29" ht="15" customHeight="1">
      <c r="A5" s="6" t="s">
        <v>762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9">
        <v>80</v>
      </c>
      <c r="O5" s="9">
        <v>80</v>
      </c>
      <c r="P5" s="9">
        <v>80</v>
      </c>
      <c r="Q5" s="9">
        <v>80</v>
      </c>
      <c r="R5" s="9">
        <v>80</v>
      </c>
      <c r="S5" s="9">
        <v>80</v>
      </c>
      <c r="T5" s="9">
        <v>80</v>
      </c>
      <c r="U5" s="9">
        <v>80</v>
      </c>
      <c r="V5" s="9">
        <v>80</v>
      </c>
      <c r="W5" s="9">
        <v>80</v>
      </c>
      <c r="X5" s="9">
        <v>80</v>
      </c>
      <c r="Y5" s="9">
        <v>80</v>
      </c>
      <c r="Z5" s="5"/>
      <c r="AA5" s="5"/>
      <c r="AB5"/>
    </row>
    <row r="6" spans="1:29" ht="15" customHeight="1">
      <c r="A6" s="4" t="s">
        <v>1</v>
      </c>
      <c r="B6" s="9">
        <v>96.6</v>
      </c>
      <c r="C6" s="9">
        <v>94.1</v>
      </c>
      <c r="D6" s="9">
        <v>97.1</v>
      </c>
      <c r="E6" s="9">
        <v>97</v>
      </c>
      <c r="F6" s="9">
        <v>90.5</v>
      </c>
      <c r="G6" s="9">
        <v>76.7</v>
      </c>
      <c r="H6" s="9">
        <v>93.1</v>
      </c>
      <c r="I6" s="9">
        <v>47.4</v>
      </c>
      <c r="J6" s="9">
        <v>72.900000000000006</v>
      </c>
      <c r="K6" s="9">
        <v>72.8</v>
      </c>
      <c r="L6" s="9">
        <v>82.3</v>
      </c>
      <c r="M6" s="9">
        <v>53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8">
        <v>66.3</v>
      </c>
      <c r="AA6" s="8">
        <v>80</v>
      </c>
      <c r="AB6"/>
    </row>
    <row r="7" spans="1:29" ht="15" customHeight="1">
      <c r="A7" s="4" t="s">
        <v>2</v>
      </c>
      <c r="B7" s="9">
        <v>95</v>
      </c>
      <c r="C7" s="9">
        <v>96</v>
      </c>
      <c r="D7" s="9">
        <v>97</v>
      </c>
      <c r="E7" s="9">
        <v>97</v>
      </c>
      <c r="F7" s="9">
        <v>97</v>
      </c>
      <c r="G7" s="9">
        <v>97</v>
      </c>
      <c r="H7" s="9">
        <v>97</v>
      </c>
      <c r="I7" s="9">
        <v>97</v>
      </c>
      <c r="J7" s="9">
        <v>97</v>
      </c>
      <c r="K7" s="9">
        <v>97</v>
      </c>
      <c r="L7" s="9">
        <v>80</v>
      </c>
      <c r="M7" s="9">
        <v>80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/>
      <c r="AA7"/>
      <c r="AB7"/>
      <c r="AC7"/>
    </row>
    <row r="9" spans="1:29">
      <c r="A9" s="7" t="s">
        <v>5</v>
      </c>
    </row>
    <row r="11" spans="1:29" ht="24">
      <c r="A11" s="2" t="s">
        <v>0</v>
      </c>
      <c r="B11" s="35" t="s">
        <v>15</v>
      </c>
      <c r="C11" s="35" t="s">
        <v>16</v>
      </c>
      <c r="D11" s="35" t="s">
        <v>17</v>
      </c>
      <c r="E11" s="35" t="s">
        <v>19</v>
      </c>
      <c r="F11" s="35" t="s">
        <v>18</v>
      </c>
      <c r="G11" s="35" t="s">
        <v>20</v>
      </c>
      <c r="H11" s="35" t="s">
        <v>23</v>
      </c>
      <c r="I11" s="35" t="s">
        <v>24</v>
      </c>
      <c r="J11" s="35" t="s">
        <v>26</v>
      </c>
      <c r="K11" s="35" t="s">
        <v>29</v>
      </c>
      <c r="L11" s="35" t="s">
        <v>67</v>
      </c>
      <c r="M11" s="35" t="s">
        <v>758</v>
      </c>
      <c r="N11" s="3">
        <v>42552</v>
      </c>
      <c r="O11" s="3">
        <v>42583</v>
      </c>
      <c r="P11" s="3">
        <v>42614</v>
      </c>
      <c r="Q11" s="3">
        <v>42644</v>
      </c>
      <c r="R11" s="3">
        <v>42675</v>
      </c>
      <c r="S11" s="3">
        <v>42705</v>
      </c>
      <c r="T11" s="3">
        <v>42736</v>
      </c>
      <c r="U11" s="3">
        <v>42767</v>
      </c>
      <c r="V11" s="3">
        <v>42795</v>
      </c>
      <c r="W11" s="3">
        <v>42826</v>
      </c>
      <c r="X11" s="3">
        <v>42856</v>
      </c>
      <c r="Y11" s="3">
        <v>42887</v>
      </c>
      <c r="Z11" s="35" t="s">
        <v>759</v>
      </c>
      <c r="AA11" s="35" t="s">
        <v>760</v>
      </c>
    </row>
    <row r="12" spans="1:29">
      <c r="A12" s="6" t="s">
        <v>761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9">
        <v>81.599999999999994</v>
      </c>
      <c r="O12" s="9">
        <v>29.7</v>
      </c>
      <c r="P12" s="9">
        <v>98.2</v>
      </c>
      <c r="Q12" s="9">
        <v>21.9</v>
      </c>
      <c r="R12" s="9">
        <v>97.6</v>
      </c>
      <c r="S12" s="9">
        <v>97.7</v>
      </c>
      <c r="T12" s="9">
        <v>92.5</v>
      </c>
      <c r="U12" s="9">
        <v>2.1</v>
      </c>
      <c r="V12" s="9"/>
      <c r="W12" s="9"/>
      <c r="X12" s="9"/>
      <c r="Y12" s="9"/>
      <c r="Z12" s="5"/>
      <c r="AA12" s="5"/>
    </row>
    <row r="13" spans="1:29">
      <c r="A13" s="6" t="s">
        <v>762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9">
        <v>80</v>
      </c>
      <c r="O13" s="9">
        <v>80</v>
      </c>
      <c r="P13" s="9">
        <v>80</v>
      </c>
      <c r="Q13" s="9">
        <v>80</v>
      </c>
      <c r="R13" s="9">
        <v>80</v>
      </c>
      <c r="S13" s="9">
        <v>80</v>
      </c>
      <c r="T13" s="9">
        <v>80</v>
      </c>
      <c r="U13" s="9">
        <v>80</v>
      </c>
      <c r="V13" s="9">
        <v>80</v>
      </c>
      <c r="W13" s="9">
        <v>80</v>
      </c>
      <c r="X13" s="9">
        <v>80</v>
      </c>
      <c r="Y13" s="9">
        <v>80</v>
      </c>
      <c r="Z13" s="5"/>
      <c r="AA13" s="5"/>
    </row>
    <row r="14" spans="1:29">
      <c r="A14" s="4" t="s">
        <v>1</v>
      </c>
      <c r="B14" s="9">
        <v>96.2</v>
      </c>
      <c r="C14" s="9">
        <v>96.7</v>
      </c>
      <c r="D14" s="9">
        <v>97.3</v>
      </c>
      <c r="E14" s="9">
        <v>97.4</v>
      </c>
      <c r="F14" s="9">
        <v>99.1</v>
      </c>
      <c r="G14" s="9">
        <v>98.7</v>
      </c>
      <c r="H14" s="9">
        <v>98.4</v>
      </c>
      <c r="I14" s="9">
        <v>93.5</v>
      </c>
      <c r="J14" s="9">
        <v>95.9</v>
      </c>
      <c r="K14" s="9">
        <v>75.400000000000006</v>
      </c>
      <c r="L14" s="9">
        <v>86.8</v>
      </c>
      <c r="M14" s="9">
        <v>84.3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8">
        <v>60.3</v>
      </c>
      <c r="AA14" s="8">
        <v>80</v>
      </c>
    </row>
    <row r="15" spans="1:29">
      <c r="A15" s="4" t="s">
        <v>2</v>
      </c>
      <c r="B15" s="9">
        <v>95</v>
      </c>
      <c r="C15" s="9">
        <v>96</v>
      </c>
      <c r="D15" s="9">
        <v>97</v>
      </c>
      <c r="E15" s="9">
        <v>97</v>
      </c>
      <c r="F15" s="9">
        <v>97</v>
      </c>
      <c r="G15" s="9">
        <v>97</v>
      </c>
      <c r="H15" s="9">
        <v>97</v>
      </c>
      <c r="I15" s="9">
        <v>97</v>
      </c>
      <c r="J15" s="9">
        <v>97</v>
      </c>
      <c r="K15" s="9">
        <v>97</v>
      </c>
      <c r="L15" s="9">
        <v>80</v>
      </c>
      <c r="M15" s="9">
        <v>80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/>
      <c r="AA15"/>
    </row>
    <row r="17" spans="1:27">
      <c r="A17" s="7" t="s">
        <v>6</v>
      </c>
    </row>
    <row r="19" spans="1:27" ht="24">
      <c r="A19" s="2" t="s">
        <v>0</v>
      </c>
      <c r="B19" s="35" t="s">
        <v>15</v>
      </c>
      <c r="C19" s="35" t="s">
        <v>16</v>
      </c>
      <c r="D19" s="35" t="s">
        <v>17</v>
      </c>
      <c r="E19" s="35" t="s">
        <v>19</v>
      </c>
      <c r="F19" s="35" t="s">
        <v>18</v>
      </c>
      <c r="G19" s="35" t="s">
        <v>20</v>
      </c>
      <c r="H19" s="35" t="s">
        <v>23</v>
      </c>
      <c r="I19" s="35" t="s">
        <v>24</v>
      </c>
      <c r="J19" s="35" t="s">
        <v>26</v>
      </c>
      <c r="K19" s="35" t="s">
        <v>29</v>
      </c>
      <c r="L19" s="35" t="s">
        <v>67</v>
      </c>
      <c r="M19" s="35" t="s">
        <v>758</v>
      </c>
      <c r="N19" s="3">
        <v>42552</v>
      </c>
      <c r="O19" s="3">
        <v>42583</v>
      </c>
      <c r="P19" s="3">
        <v>42614</v>
      </c>
      <c r="Q19" s="3">
        <v>42644</v>
      </c>
      <c r="R19" s="3">
        <v>42675</v>
      </c>
      <c r="S19" s="3">
        <v>42705</v>
      </c>
      <c r="T19" s="3">
        <v>42736</v>
      </c>
      <c r="U19" s="3">
        <v>42767</v>
      </c>
      <c r="V19" s="3">
        <v>42795</v>
      </c>
      <c r="W19" s="3">
        <v>42826</v>
      </c>
      <c r="X19" s="3">
        <v>42856</v>
      </c>
      <c r="Y19" s="3">
        <v>42887</v>
      </c>
      <c r="Z19" s="35" t="s">
        <v>759</v>
      </c>
      <c r="AA19" s="35" t="s">
        <v>760</v>
      </c>
    </row>
    <row r="20" spans="1:27">
      <c r="A20" s="6" t="s">
        <v>761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9">
        <v>77.400000000000006</v>
      </c>
      <c r="O20" s="9">
        <v>97.1</v>
      </c>
      <c r="P20" s="9">
        <v>71.8</v>
      </c>
      <c r="Q20" s="9">
        <v>100</v>
      </c>
      <c r="R20" s="9"/>
      <c r="S20" s="9"/>
      <c r="T20" s="9"/>
      <c r="U20" s="9">
        <v>21.9</v>
      </c>
      <c r="V20" s="9"/>
      <c r="W20" s="9"/>
      <c r="X20" s="9"/>
      <c r="Y20" s="9"/>
      <c r="Z20" s="5"/>
      <c r="AA20" s="5"/>
    </row>
    <row r="21" spans="1:27">
      <c r="A21" s="6" t="s">
        <v>762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9">
        <v>80</v>
      </c>
      <c r="O21" s="9">
        <v>80</v>
      </c>
      <c r="P21" s="9">
        <v>80</v>
      </c>
      <c r="Q21" s="9">
        <v>80</v>
      </c>
      <c r="R21" s="9">
        <v>80</v>
      </c>
      <c r="S21" s="9">
        <v>80</v>
      </c>
      <c r="T21" s="9">
        <v>80</v>
      </c>
      <c r="U21" s="9">
        <v>80</v>
      </c>
      <c r="V21" s="9">
        <v>80</v>
      </c>
      <c r="W21" s="9">
        <v>80</v>
      </c>
      <c r="X21" s="9">
        <v>80</v>
      </c>
      <c r="Y21" s="9">
        <v>80</v>
      </c>
      <c r="Z21" s="5"/>
      <c r="AA21" s="5"/>
    </row>
    <row r="22" spans="1:27">
      <c r="A22" s="4" t="s">
        <v>1</v>
      </c>
      <c r="B22" s="9">
        <v>96</v>
      </c>
      <c r="C22" s="9">
        <v>98.1</v>
      </c>
      <c r="D22" s="9">
        <v>98.5</v>
      </c>
      <c r="E22" s="9">
        <v>99.2</v>
      </c>
      <c r="F22" s="9">
        <v>100</v>
      </c>
      <c r="G22" s="9">
        <v>98.6</v>
      </c>
      <c r="H22" s="9">
        <v>97.7</v>
      </c>
      <c r="I22" s="9">
        <v>100</v>
      </c>
      <c r="J22" s="9"/>
      <c r="K22" s="9">
        <v>100</v>
      </c>
      <c r="L22" s="9">
        <v>78.900000000000006</v>
      </c>
      <c r="M22" s="9">
        <v>84.7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8">
        <v>69.900000000000006</v>
      </c>
      <c r="AA22" s="8">
        <v>80</v>
      </c>
    </row>
    <row r="23" spans="1:27">
      <c r="A23" s="4" t="s">
        <v>2</v>
      </c>
      <c r="B23" s="9">
        <v>95</v>
      </c>
      <c r="C23" s="9">
        <v>96</v>
      </c>
      <c r="D23" s="9">
        <v>97</v>
      </c>
      <c r="E23" s="9">
        <v>97</v>
      </c>
      <c r="F23" s="9">
        <v>97</v>
      </c>
      <c r="G23" s="9">
        <v>97</v>
      </c>
      <c r="H23" s="9">
        <v>97</v>
      </c>
      <c r="I23" s="9">
        <v>97</v>
      </c>
      <c r="J23" s="9">
        <v>97</v>
      </c>
      <c r="K23" s="9">
        <v>97</v>
      </c>
      <c r="L23" s="9">
        <v>80</v>
      </c>
      <c r="M23" s="9">
        <v>80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/>
      <c r="AA23"/>
    </row>
    <row r="25" spans="1:27">
      <c r="A25" s="7" t="s">
        <v>25</v>
      </c>
    </row>
    <row r="27" spans="1:27" ht="24">
      <c r="A27" s="2" t="s">
        <v>0</v>
      </c>
      <c r="B27" s="35" t="s">
        <v>15</v>
      </c>
      <c r="C27" s="35" t="s">
        <v>16</v>
      </c>
      <c r="D27" s="35" t="s">
        <v>17</v>
      </c>
      <c r="E27" s="35" t="s">
        <v>19</v>
      </c>
      <c r="F27" s="35" t="s">
        <v>18</v>
      </c>
      <c r="G27" s="35" t="s">
        <v>20</v>
      </c>
      <c r="H27" s="35" t="s">
        <v>23</v>
      </c>
      <c r="I27" s="35" t="s">
        <v>24</v>
      </c>
      <c r="J27" s="35" t="s">
        <v>26</v>
      </c>
      <c r="K27" s="35" t="s">
        <v>29</v>
      </c>
      <c r="L27" s="35" t="s">
        <v>67</v>
      </c>
      <c r="M27" s="35" t="s">
        <v>758</v>
      </c>
      <c r="N27" s="3">
        <v>42552</v>
      </c>
      <c r="O27" s="3">
        <v>42583</v>
      </c>
      <c r="P27" s="3">
        <v>42614</v>
      </c>
      <c r="Q27" s="3">
        <v>42644</v>
      </c>
      <c r="R27" s="3">
        <v>42675</v>
      </c>
      <c r="S27" s="3">
        <v>42705</v>
      </c>
      <c r="T27" s="3">
        <v>42736</v>
      </c>
      <c r="U27" s="3">
        <v>42767</v>
      </c>
      <c r="V27" s="3">
        <v>42795</v>
      </c>
      <c r="W27" s="3">
        <v>42826</v>
      </c>
      <c r="X27" s="3">
        <v>42856</v>
      </c>
      <c r="Y27" s="3">
        <v>42887</v>
      </c>
      <c r="Z27" s="35" t="s">
        <v>759</v>
      </c>
      <c r="AA27" s="35" t="s">
        <v>760</v>
      </c>
    </row>
    <row r="28" spans="1:27">
      <c r="A28" s="6" t="s">
        <v>761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9">
        <v>76.900000000000006</v>
      </c>
      <c r="O28" s="9">
        <v>83.3</v>
      </c>
      <c r="P28" s="9">
        <v>100</v>
      </c>
      <c r="Q28" s="9">
        <v>100</v>
      </c>
      <c r="R28" s="9">
        <v>66.7</v>
      </c>
      <c r="S28" s="9">
        <v>100</v>
      </c>
      <c r="T28" s="9">
        <v>100</v>
      </c>
      <c r="U28" s="9">
        <v>78.3</v>
      </c>
      <c r="V28" s="9"/>
      <c r="W28" s="9"/>
      <c r="X28" s="9"/>
      <c r="Y28" s="9"/>
      <c r="Z28" s="5"/>
      <c r="AA28" s="5"/>
    </row>
    <row r="29" spans="1:27">
      <c r="A29" s="6" t="s">
        <v>762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9">
        <v>80</v>
      </c>
      <c r="O29" s="9">
        <v>80</v>
      </c>
      <c r="P29" s="9">
        <v>80</v>
      </c>
      <c r="Q29" s="9">
        <v>80</v>
      </c>
      <c r="R29" s="9">
        <v>80</v>
      </c>
      <c r="S29" s="9">
        <v>80</v>
      </c>
      <c r="T29" s="9">
        <v>80</v>
      </c>
      <c r="U29" s="9">
        <v>80</v>
      </c>
      <c r="V29" s="9">
        <v>80</v>
      </c>
      <c r="W29" s="9">
        <v>80</v>
      </c>
      <c r="X29" s="9">
        <v>80</v>
      </c>
      <c r="Y29" s="9">
        <v>80</v>
      </c>
      <c r="Z29" s="5"/>
      <c r="AA29" s="5"/>
    </row>
    <row r="30" spans="1:27">
      <c r="A30" s="4" t="s">
        <v>1</v>
      </c>
      <c r="B30" s="9">
        <v>96</v>
      </c>
      <c r="C30" s="9">
        <v>98.1</v>
      </c>
      <c r="D30" s="9">
        <v>98.5</v>
      </c>
      <c r="E30" s="9"/>
      <c r="F30" s="9"/>
      <c r="G30" s="9"/>
      <c r="H30" s="9"/>
      <c r="I30" s="9"/>
      <c r="J30" s="9">
        <v>100</v>
      </c>
      <c r="K30" s="9">
        <v>91.1</v>
      </c>
      <c r="L30" s="9">
        <v>80.7</v>
      </c>
      <c r="M30" s="9">
        <v>85.1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8">
        <v>90.6</v>
      </c>
      <c r="AA30" s="8">
        <v>80</v>
      </c>
    </row>
    <row r="31" spans="1:27">
      <c r="A31" s="4" t="s">
        <v>2</v>
      </c>
      <c r="B31" s="9">
        <v>95</v>
      </c>
      <c r="C31" s="9">
        <v>96</v>
      </c>
      <c r="D31" s="9">
        <v>97</v>
      </c>
      <c r="E31" s="9"/>
      <c r="F31" s="9"/>
      <c r="G31" s="9"/>
      <c r="H31" s="9"/>
      <c r="I31" s="9"/>
      <c r="J31" s="9">
        <v>97</v>
      </c>
      <c r="K31" s="9">
        <v>97</v>
      </c>
      <c r="L31" s="9">
        <v>80</v>
      </c>
      <c r="M31" s="9">
        <v>80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/>
      <c r="AA31"/>
    </row>
    <row r="33" spans="1:29">
      <c r="A33" s="7" t="s">
        <v>7</v>
      </c>
    </row>
    <row r="35" spans="1:29" ht="24">
      <c r="A35" s="2" t="s">
        <v>0</v>
      </c>
      <c r="B35" s="35" t="s">
        <v>15</v>
      </c>
      <c r="C35" s="35" t="s">
        <v>16</v>
      </c>
      <c r="D35" s="35" t="s">
        <v>17</v>
      </c>
      <c r="E35" s="35" t="s">
        <v>19</v>
      </c>
      <c r="F35" s="35" t="s">
        <v>18</v>
      </c>
      <c r="G35" s="35" t="s">
        <v>20</v>
      </c>
      <c r="H35" s="35" t="s">
        <v>23</v>
      </c>
      <c r="I35" s="35" t="s">
        <v>24</v>
      </c>
      <c r="J35" s="35" t="s">
        <v>26</v>
      </c>
      <c r="K35" s="35" t="s">
        <v>29</v>
      </c>
      <c r="L35" s="35" t="s">
        <v>67</v>
      </c>
      <c r="M35" s="35" t="s">
        <v>758</v>
      </c>
      <c r="N35" s="3">
        <v>42552</v>
      </c>
      <c r="O35" s="3">
        <v>42583</v>
      </c>
      <c r="P35" s="3">
        <v>42614</v>
      </c>
      <c r="Q35" s="3">
        <v>42644</v>
      </c>
      <c r="R35" s="3">
        <v>42675</v>
      </c>
      <c r="S35" s="3">
        <v>42705</v>
      </c>
      <c r="T35" s="3">
        <v>42736</v>
      </c>
      <c r="U35" s="3">
        <v>42767</v>
      </c>
      <c r="V35" s="3">
        <v>42795</v>
      </c>
      <c r="W35" s="3">
        <v>42826</v>
      </c>
      <c r="X35" s="3">
        <v>42856</v>
      </c>
      <c r="Y35" s="3">
        <v>42887</v>
      </c>
      <c r="Z35" s="35" t="s">
        <v>759</v>
      </c>
      <c r="AA35" s="35" t="s">
        <v>760</v>
      </c>
    </row>
    <row r="36" spans="1:29">
      <c r="A36" s="6" t="s">
        <v>761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9"/>
      <c r="O36" s="9"/>
      <c r="P36" s="9">
        <v>0</v>
      </c>
      <c r="Q36" s="9"/>
      <c r="R36" s="9"/>
      <c r="S36" s="9"/>
      <c r="T36" s="9">
        <v>100</v>
      </c>
      <c r="U36" s="9">
        <v>0</v>
      </c>
      <c r="V36" s="9"/>
      <c r="W36" s="9"/>
      <c r="X36" s="9"/>
      <c r="Y36" s="9"/>
      <c r="Z36" s="5"/>
      <c r="AA36" s="5"/>
    </row>
    <row r="37" spans="1:29">
      <c r="A37" s="6" t="s">
        <v>762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9">
        <v>80</v>
      </c>
      <c r="O37" s="9">
        <v>80</v>
      </c>
      <c r="P37" s="9">
        <v>80</v>
      </c>
      <c r="Q37" s="9">
        <v>80</v>
      </c>
      <c r="R37" s="9">
        <v>80</v>
      </c>
      <c r="S37" s="9">
        <v>80</v>
      </c>
      <c r="T37" s="9">
        <v>80</v>
      </c>
      <c r="U37" s="9">
        <v>80</v>
      </c>
      <c r="V37" s="9">
        <v>80</v>
      </c>
      <c r="W37" s="9">
        <v>80</v>
      </c>
      <c r="X37" s="9">
        <v>80</v>
      </c>
      <c r="Y37" s="9">
        <v>80</v>
      </c>
      <c r="Z37" s="5"/>
      <c r="AA37" s="5"/>
    </row>
    <row r="38" spans="1:29">
      <c r="A38" s="4" t="s">
        <v>1</v>
      </c>
      <c r="B38" s="9">
        <v>95</v>
      </c>
      <c r="C38" s="9">
        <v>95.5</v>
      </c>
      <c r="D38" s="9">
        <v>99.5</v>
      </c>
      <c r="E38" s="9">
        <v>98.9</v>
      </c>
      <c r="F38" s="9">
        <v>99.4</v>
      </c>
      <c r="G38" s="9">
        <v>99.4</v>
      </c>
      <c r="H38" s="9">
        <v>99.1</v>
      </c>
      <c r="I38" s="9">
        <v>99</v>
      </c>
      <c r="J38" s="9">
        <v>87.8</v>
      </c>
      <c r="K38" s="9">
        <v>79.7</v>
      </c>
      <c r="L38" s="9">
        <v>99.6</v>
      </c>
      <c r="M38" s="9">
        <v>92.5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8">
        <v>45.5</v>
      </c>
      <c r="AA38" s="8">
        <v>80</v>
      </c>
    </row>
    <row r="39" spans="1:29">
      <c r="A39" s="4" t="s">
        <v>2</v>
      </c>
      <c r="B39" s="9">
        <v>95</v>
      </c>
      <c r="C39" s="9">
        <v>96</v>
      </c>
      <c r="D39" s="9">
        <v>97</v>
      </c>
      <c r="E39" s="9">
        <v>97</v>
      </c>
      <c r="F39" s="9">
        <v>97</v>
      </c>
      <c r="G39" s="9">
        <v>97</v>
      </c>
      <c r="H39" s="9">
        <v>97</v>
      </c>
      <c r="I39" s="9">
        <v>97</v>
      </c>
      <c r="J39" s="9">
        <v>97</v>
      </c>
      <c r="K39" s="9">
        <v>97</v>
      </c>
      <c r="L39" s="9">
        <v>80</v>
      </c>
      <c r="M39" s="9">
        <v>80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/>
      <c r="AA39"/>
    </row>
    <row r="41" spans="1:29">
      <c r="A41" s="7" t="s">
        <v>8</v>
      </c>
    </row>
    <row r="43" spans="1:29" ht="24">
      <c r="A43" s="2" t="s">
        <v>0</v>
      </c>
      <c r="B43" s="35" t="s">
        <v>15</v>
      </c>
      <c r="C43" s="35" t="s">
        <v>16</v>
      </c>
      <c r="D43" s="35" t="s">
        <v>17</v>
      </c>
      <c r="E43" s="35" t="s">
        <v>19</v>
      </c>
      <c r="F43" s="35" t="s">
        <v>18</v>
      </c>
      <c r="G43" s="35" t="s">
        <v>20</v>
      </c>
      <c r="H43" s="35" t="s">
        <v>23</v>
      </c>
      <c r="I43" s="35" t="s">
        <v>24</v>
      </c>
      <c r="J43" s="35" t="s">
        <v>26</v>
      </c>
      <c r="K43" s="35" t="s">
        <v>29</v>
      </c>
      <c r="L43" s="35" t="s">
        <v>67</v>
      </c>
      <c r="M43" s="35" t="s">
        <v>758</v>
      </c>
      <c r="N43" s="3">
        <v>42552</v>
      </c>
      <c r="O43" s="3">
        <v>42583</v>
      </c>
      <c r="P43" s="3">
        <v>42614</v>
      </c>
      <c r="Q43" s="3">
        <v>42644</v>
      </c>
      <c r="R43" s="3">
        <v>42675</v>
      </c>
      <c r="S43" s="3">
        <v>42705</v>
      </c>
      <c r="T43" s="3">
        <v>42736</v>
      </c>
      <c r="U43" s="3">
        <v>42767</v>
      </c>
      <c r="V43" s="3">
        <v>42795</v>
      </c>
      <c r="W43" s="3">
        <v>42826</v>
      </c>
      <c r="X43" s="3">
        <v>42856</v>
      </c>
      <c r="Y43" s="3">
        <v>42887</v>
      </c>
      <c r="Z43" s="35" t="s">
        <v>759</v>
      </c>
      <c r="AA43" s="35" t="s">
        <v>760</v>
      </c>
      <c r="AB43"/>
    </row>
    <row r="44" spans="1:29">
      <c r="A44" s="6" t="s">
        <v>761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5"/>
      <c r="AA44" s="5"/>
      <c r="AB44"/>
    </row>
    <row r="45" spans="1:29">
      <c r="A45" s="6" t="s">
        <v>762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9">
        <v>80</v>
      </c>
      <c r="O45" s="9">
        <v>80</v>
      </c>
      <c r="P45" s="9">
        <v>80</v>
      </c>
      <c r="Q45" s="9">
        <v>80</v>
      </c>
      <c r="R45" s="9">
        <v>80</v>
      </c>
      <c r="S45" s="9">
        <v>80</v>
      </c>
      <c r="T45" s="9">
        <v>80</v>
      </c>
      <c r="U45" s="9">
        <v>80</v>
      </c>
      <c r="V45" s="9">
        <v>80</v>
      </c>
      <c r="W45" s="9">
        <v>80</v>
      </c>
      <c r="X45" s="9">
        <v>80</v>
      </c>
      <c r="Y45" s="9">
        <v>80</v>
      </c>
      <c r="Z45" s="5"/>
      <c r="AA45" s="5"/>
      <c r="AB45"/>
    </row>
    <row r="46" spans="1:29">
      <c r="A46" s="4" t="s">
        <v>1</v>
      </c>
      <c r="B46" s="9">
        <v>93.1</v>
      </c>
      <c r="C46" s="9">
        <v>98.1</v>
      </c>
      <c r="D46" s="9">
        <v>100</v>
      </c>
      <c r="E46" s="9">
        <v>99.4</v>
      </c>
      <c r="F46" s="9">
        <v>99.6</v>
      </c>
      <c r="G46" s="9">
        <v>100</v>
      </c>
      <c r="H46" s="9">
        <v>100</v>
      </c>
      <c r="I46" s="9">
        <v>97.3</v>
      </c>
      <c r="J46" s="9">
        <v>78</v>
      </c>
      <c r="K46" s="9">
        <v>89.2</v>
      </c>
      <c r="L46" s="9">
        <v>95.8</v>
      </c>
      <c r="M46" s="9">
        <v>97.9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8"/>
      <c r="AA46" s="8">
        <v>80</v>
      </c>
      <c r="AB46"/>
    </row>
    <row r="47" spans="1:29">
      <c r="A47" s="4" t="s">
        <v>2</v>
      </c>
      <c r="B47" s="9">
        <v>95</v>
      </c>
      <c r="C47" s="9">
        <v>96</v>
      </c>
      <c r="D47" s="9">
        <v>97</v>
      </c>
      <c r="E47" s="9">
        <v>97</v>
      </c>
      <c r="F47" s="9">
        <v>97</v>
      </c>
      <c r="G47" s="9">
        <v>97</v>
      </c>
      <c r="H47" s="9">
        <v>97</v>
      </c>
      <c r="I47" s="9">
        <v>97</v>
      </c>
      <c r="J47" s="9">
        <v>97</v>
      </c>
      <c r="K47" s="9">
        <v>97</v>
      </c>
      <c r="L47" s="9">
        <v>80</v>
      </c>
      <c r="M47" s="9">
        <v>80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/>
      <c r="AA47"/>
      <c r="AB47"/>
      <c r="AC47"/>
    </row>
    <row r="49" spans="1:27">
      <c r="A49" s="7" t="s">
        <v>68</v>
      </c>
    </row>
    <row r="51" spans="1:27" ht="24">
      <c r="A51" s="2" t="s">
        <v>0</v>
      </c>
      <c r="B51" s="35" t="s">
        <v>15</v>
      </c>
      <c r="C51" s="35" t="s">
        <v>16</v>
      </c>
      <c r="D51" s="35" t="s">
        <v>17</v>
      </c>
      <c r="E51" s="35" t="s">
        <v>19</v>
      </c>
      <c r="F51" s="35" t="s">
        <v>18</v>
      </c>
      <c r="G51" s="35" t="s">
        <v>20</v>
      </c>
      <c r="H51" s="35" t="s">
        <v>23</v>
      </c>
      <c r="I51" s="35" t="s">
        <v>24</v>
      </c>
      <c r="J51" s="35" t="s">
        <v>26</v>
      </c>
      <c r="K51" s="35" t="s">
        <v>29</v>
      </c>
      <c r="L51" s="35" t="s">
        <v>67</v>
      </c>
      <c r="M51" s="35" t="s">
        <v>758</v>
      </c>
      <c r="N51" s="3">
        <v>42552</v>
      </c>
      <c r="O51" s="3">
        <v>42583</v>
      </c>
      <c r="P51" s="3">
        <v>42614</v>
      </c>
      <c r="Q51" s="3">
        <v>42644</v>
      </c>
      <c r="R51" s="3">
        <v>42675</v>
      </c>
      <c r="S51" s="3">
        <v>42705</v>
      </c>
      <c r="T51" s="3">
        <v>42736</v>
      </c>
      <c r="U51" s="3">
        <v>42767</v>
      </c>
      <c r="V51" s="3">
        <v>42795</v>
      </c>
      <c r="W51" s="3">
        <v>42826</v>
      </c>
      <c r="X51" s="3">
        <v>42856</v>
      </c>
      <c r="Y51" s="3">
        <v>42887</v>
      </c>
      <c r="Z51" s="35" t="s">
        <v>759</v>
      </c>
      <c r="AA51" s="35" t="s">
        <v>760</v>
      </c>
    </row>
    <row r="52" spans="1:27">
      <c r="A52" s="6" t="s">
        <v>761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9">
        <v>33.299999999999997</v>
      </c>
      <c r="O52" s="9">
        <v>100</v>
      </c>
      <c r="P52" s="9">
        <v>61.5</v>
      </c>
      <c r="Q52" s="9">
        <v>92.3</v>
      </c>
      <c r="R52" s="9">
        <v>100</v>
      </c>
      <c r="S52" s="9">
        <v>20</v>
      </c>
      <c r="T52" s="9">
        <v>72.7</v>
      </c>
      <c r="U52" s="9">
        <v>100</v>
      </c>
      <c r="V52" s="9"/>
      <c r="W52" s="9"/>
      <c r="X52" s="9"/>
      <c r="Y52" s="9"/>
      <c r="Z52" s="5"/>
      <c r="AA52" s="5"/>
    </row>
    <row r="53" spans="1:27">
      <c r="A53" s="6" t="s">
        <v>762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9">
        <v>80</v>
      </c>
      <c r="O53" s="9">
        <v>80</v>
      </c>
      <c r="P53" s="9">
        <v>80</v>
      </c>
      <c r="Q53" s="9">
        <v>80</v>
      </c>
      <c r="R53" s="9">
        <v>80</v>
      </c>
      <c r="S53" s="9">
        <v>80</v>
      </c>
      <c r="T53" s="9">
        <v>80</v>
      </c>
      <c r="U53" s="9">
        <v>80</v>
      </c>
      <c r="V53" s="9">
        <v>80</v>
      </c>
      <c r="W53" s="9">
        <v>80</v>
      </c>
      <c r="X53" s="9">
        <v>80</v>
      </c>
      <c r="Y53" s="9">
        <v>80</v>
      </c>
      <c r="Z53" s="5"/>
      <c r="AA53" s="5"/>
    </row>
    <row r="54" spans="1:27">
      <c r="A54" s="4" t="s">
        <v>1</v>
      </c>
      <c r="B54" s="9">
        <v>98.3</v>
      </c>
      <c r="C54" s="9">
        <v>94.6</v>
      </c>
      <c r="D54" s="9">
        <v>99</v>
      </c>
      <c r="E54" s="9">
        <v>100</v>
      </c>
      <c r="F54" s="9">
        <v>100</v>
      </c>
      <c r="G54" s="9"/>
      <c r="H54" s="9"/>
      <c r="I54" s="9"/>
      <c r="J54" s="9"/>
      <c r="K54" s="9"/>
      <c r="L54" s="9"/>
      <c r="M54" s="9">
        <v>98.1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8">
        <v>71.2</v>
      </c>
      <c r="AA54" s="8">
        <v>80</v>
      </c>
    </row>
    <row r="55" spans="1:27">
      <c r="A55" s="4" t="s">
        <v>2</v>
      </c>
      <c r="B55" s="9">
        <v>95</v>
      </c>
      <c r="C55" s="9">
        <v>96</v>
      </c>
      <c r="D55" s="9">
        <v>97</v>
      </c>
      <c r="E55" s="9">
        <v>97</v>
      </c>
      <c r="F55" s="9">
        <v>97</v>
      </c>
      <c r="G55" s="9">
        <v>97</v>
      </c>
      <c r="H55" s="9">
        <v>97</v>
      </c>
      <c r="I55" s="9">
        <v>97</v>
      </c>
      <c r="J55" s="9">
        <v>97</v>
      </c>
      <c r="K55" s="9">
        <v>97</v>
      </c>
      <c r="L55" s="9">
        <v>80</v>
      </c>
      <c r="M55" s="9">
        <v>80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/>
      <c r="AA55"/>
    </row>
    <row r="57" spans="1:27">
      <c r="A57" s="7" t="s">
        <v>9</v>
      </c>
    </row>
    <row r="59" spans="1:27" ht="24">
      <c r="A59" s="2" t="s">
        <v>0</v>
      </c>
      <c r="B59" s="35" t="s">
        <v>15</v>
      </c>
      <c r="C59" s="35" t="s">
        <v>16</v>
      </c>
      <c r="D59" s="35" t="s">
        <v>17</v>
      </c>
      <c r="E59" s="35" t="s">
        <v>19</v>
      </c>
      <c r="F59" s="35" t="s">
        <v>18</v>
      </c>
      <c r="G59" s="35" t="s">
        <v>20</v>
      </c>
      <c r="H59" s="35" t="s">
        <v>23</v>
      </c>
      <c r="I59" s="35" t="s">
        <v>24</v>
      </c>
      <c r="J59" s="35" t="s">
        <v>26</v>
      </c>
      <c r="K59" s="35" t="s">
        <v>29</v>
      </c>
      <c r="L59" s="35" t="s">
        <v>67</v>
      </c>
      <c r="M59" s="35" t="s">
        <v>758</v>
      </c>
      <c r="N59" s="3">
        <v>42552</v>
      </c>
      <c r="O59" s="3">
        <v>42583</v>
      </c>
      <c r="P59" s="3">
        <v>42614</v>
      </c>
      <c r="Q59" s="3">
        <v>42644</v>
      </c>
      <c r="R59" s="3">
        <v>42675</v>
      </c>
      <c r="S59" s="3">
        <v>42705</v>
      </c>
      <c r="T59" s="3">
        <v>42736</v>
      </c>
      <c r="U59" s="3">
        <v>42767</v>
      </c>
      <c r="V59" s="3">
        <v>42795</v>
      </c>
      <c r="W59" s="3">
        <v>42826</v>
      </c>
      <c r="X59" s="3">
        <v>42856</v>
      </c>
      <c r="Y59" s="3">
        <v>42887</v>
      </c>
      <c r="Z59" s="35" t="s">
        <v>759</v>
      </c>
      <c r="AA59" s="35" t="s">
        <v>760</v>
      </c>
    </row>
    <row r="60" spans="1:27">
      <c r="A60" s="6" t="s">
        <v>761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9">
        <v>61.9</v>
      </c>
      <c r="O60" s="9">
        <v>100</v>
      </c>
      <c r="P60" s="9">
        <v>100</v>
      </c>
      <c r="Q60" s="9">
        <v>100</v>
      </c>
      <c r="R60" s="9">
        <v>100</v>
      </c>
      <c r="S60" s="9"/>
      <c r="T60" s="9">
        <v>100</v>
      </c>
      <c r="U60" s="9">
        <v>100</v>
      </c>
      <c r="V60" s="9"/>
      <c r="W60" s="9"/>
      <c r="X60" s="9"/>
      <c r="Y60" s="9"/>
      <c r="Z60" s="5"/>
      <c r="AA60" s="5"/>
    </row>
    <row r="61" spans="1:27">
      <c r="A61" s="6" t="s">
        <v>762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9">
        <v>80</v>
      </c>
      <c r="O61" s="9">
        <v>80</v>
      </c>
      <c r="P61" s="9">
        <v>80</v>
      </c>
      <c r="Q61" s="9">
        <v>80</v>
      </c>
      <c r="R61" s="9">
        <v>80</v>
      </c>
      <c r="S61" s="9">
        <v>80</v>
      </c>
      <c r="T61" s="9">
        <v>80</v>
      </c>
      <c r="U61" s="9">
        <v>80</v>
      </c>
      <c r="V61" s="9">
        <v>80</v>
      </c>
      <c r="W61" s="9">
        <v>80</v>
      </c>
      <c r="X61" s="9">
        <v>80</v>
      </c>
      <c r="Y61" s="9">
        <v>80</v>
      </c>
      <c r="Z61" s="5"/>
      <c r="AA61" s="5"/>
    </row>
    <row r="62" spans="1:27">
      <c r="A62" s="4" t="s">
        <v>1</v>
      </c>
      <c r="B62" s="9">
        <v>98.9</v>
      </c>
      <c r="C62" s="9">
        <v>97.2</v>
      </c>
      <c r="D62" s="9">
        <v>100</v>
      </c>
      <c r="E62" s="9"/>
      <c r="F62" s="9"/>
      <c r="G62" s="9"/>
      <c r="H62" s="9">
        <v>100</v>
      </c>
      <c r="I62" s="9">
        <v>93.2</v>
      </c>
      <c r="J62" s="9">
        <v>86.5</v>
      </c>
      <c r="K62" s="9">
        <v>91.7</v>
      </c>
      <c r="L62" s="9">
        <v>91.3</v>
      </c>
      <c r="M62" s="9">
        <v>73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8">
        <v>84.6</v>
      </c>
      <c r="AA62" s="8">
        <v>80</v>
      </c>
    </row>
    <row r="63" spans="1:27">
      <c r="A63" s="4" t="s">
        <v>2</v>
      </c>
      <c r="B63" s="9">
        <v>95</v>
      </c>
      <c r="C63" s="9">
        <v>96</v>
      </c>
      <c r="D63" s="9">
        <v>97</v>
      </c>
      <c r="E63" s="9">
        <v>97</v>
      </c>
      <c r="F63" s="9">
        <v>97</v>
      </c>
      <c r="G63" s="9">
        <v>97</v>
      </c>
      <c r="H63" s="9">
        <v>97</v>
      </c>
      <c r="I63" s="9">
        <v>97</v>
      </c>
      <c r="J63" s="9">
        <v>97</v>
      </c>
      <c r="K63" s="9">
        <v>97</v>
      </c>
      <c r="L63" s="9">
        <v>80</v>
      </c>
      <c r="M63" s="9">
        <v>80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/>
      <c r="AA63"/>
    </row>
    <row r="65" spans="1:27">
      <c r="A65" s="7" t="s">
        <v>10</v>
      </c>
    </row>
    <row r="67" spans="1:27" ht="24">
      <c r="A67" s="2" t="s">
        <v>0</v>
      </c>
      <c r="B67" s="35" t="s">
        <v>15</v>
      </c>
      <c r="C67" s="35" t="s">
        <v>16</v>
      </c>
      <c r="D67" s="35" t="s">
        <v>17</v>
      </c>
      <c r="E67" s="35" t="s">
        <v>19</v>
      </c>
      <c r="F67" s="35" t="s">
        <v>18</v>
      </c>
      <c r="G67" s="35" t="s">
        <v>20</v>
      </c>
      <c r="H67" s="35" t="s">
        <v>23</v>
      </c>
      <c r="I67" s="35" t="s">
        <v>24</v>
      </c>
      <c r="J67" s="35" t="s">
        <v>26</v>
      </c>
      <c r="K67" s="35" t="s">
        <v>29</v>
      </c>
      <c r="L67" s="35" t="s">
        <v>67</v>
      </c>
      <c r="M67" s="35" t="s">
        <v>758</v>
      </c>
      <c r="N67" s="3">
        <v>42552</v>
      </c>
      <c r="O67" s="3">
        <v>42583</v>
      </c>
      <c r="P67" s="3">
        <v>42614</v>
      </c>
      <c r="Q67" s="3">
        <v>42644</v>
      </c>
      <c r="R67" s="3">
        <v>42675</v>
      </c>
      <c r="S67" s="3">
        <v>42705</v>
      </c>
      <c r="T67" s="3">
        <v>42736</v>
      </c>
      <c r="U67" s="3">
        <v>42767</v>
      </c>
      <c r="V67" s="3">
        <v>42795</v>
      </c>
      <c r="W67" s="3">
        <v>42826</v>
      </c>
      <c r="X67" s="3">
        <v>42856</v>
      </c>
      <c r="Y67" s="3">
        <v>42887</v>
      </c>
      <c r="Z67" s="35" t="s">
        <v>759</v>
      </c>
      <c r="AA67" s="35" t="s">
        <v>760</v>
      </c>
    </row>
    <row r="68" spans="1:27">
      <c r="A68" s="6" t="s">
        <v>761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9">
        <v>84.4</v>
      </c>
      <c r="O68" s="9">
        <v>95.2</v>
      </c>
      <c r="P68" s="9">
        <v>100</v>
      </c>
      <c r="Q68" s="9">
        <v>77.8</v>
      </c>
      <c r="R68" s="9">
        <v>100</v>
      </c>
      <c r="S68" s="9">
        <v>97.3</v>
      </c>
      <c r="T68" s="9">
        <v>71.7</v>
      </c>
      <c r="U68" s="9">
        <v>100</v>
      </c>
      <c r="V68" s="9"/>
      <c r="W68" s="9"/>
      <c r="X68" s="9"/>
      <c r="Y68" s="9"/>
      <c r="Z68" s="5"/>
      <c r="AA68" s="5"/>
    </row>
    <row r="69" spans="1:27">
      <c r="A69" s="6" t="s">
        <v>762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9">
        <v>80</v>
      </c>
      <c r="O69" s="9">
        <v>80</v>
      </c>
      <c r="P69" s="9">
        <v>80</v>
      </c>
      <c r="Q69" s="9">
        <v>80</v>
      </c>
      <c r="R69" s="9">
        <v>80</v>
      </c>
      <c r="S69" s="9">
        <v>80</v>
      </c>
      <c r="T69" s="9">
        <v>80</v>
      </c>
      <c r="U69" s="9">
        <v>80</v>
      </c>
      <c r="V69" s="9">
        <v>80</v>
      </c>
      <c r="W69" s="9">
        <v>80</v>
      </c>
      <c r="X69" s="9">
        <v>80</v>
      </c>
      <c r="Y69" s="9">
        <v>80</v>
      </c>
      <c r="Z69" s="5"/>
      <c r="AA69" s="5"/>
    </row>
    <row r="70" spans="1:27">
      <c r="A70" s="4" t="s">
        <v>1</v>
      </c>
      <c r="B70" s="9">
        <v>98.2</v>
      </c>
      <c r="C70" s="9">
        <v>95.6</v>
      </c>
      <c r="D70" s="9">
        <v>99.2</v>
      </c>
      <c r="E70" s="9">
        <v>99.4</v>
      </c>
      <c r="F70" s="9">
        <v>99.6</v>
      </c>
      <c r="G70" s="9">
        <v>100</v>
      </c>
      <c r="H70" s="9">
        <v>98.8</v>
      </c>
      <c r="I70" s="9">
        <v>98.3</v>
      </c>
      <c r="J70" s="9">
        <v>91.5</v>
      </c>
      <c r="K70" s="9">
        <v>66.8</v>
      </c>
      <c r="L70" s="9">
        <v>90.9</v>
      </c>
      <c r="M70" s="9">
        <v>91.2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8">
        <v>90.6</v>
      </c>
      <c r="AA70" s="8">
        <v>80</v>
      </c>
    </row>
    <row r="71" spans="1:27">
      <c r="A71" s="4" t="s">
        <v>2</v>
      </c>
      <c r="B71" s="9">
        <v>95</v>
      </c>
      <c r="C71" s="9">
        <v>96</v>
      </c>
      <c r="D71" s="9">
        <v>97</v>
      </c>
      <c r="E71" s="9">
        <v>97</v>
      </c>
      <c r="F71" s="9">
        <v>97</v>
      </c>
      <c r="G71" s="9">
        <v>97</v>
      </c>
      <c r="H71" s="9">
        <v>97</v>
      </c>
      <c r="I71" s="9">
        <v>97</v>
      </c>
      <c r="J71" s="9">
        <v>97</v>
      </c>
      <c r="K71" s="9">
        <v>97</v>
      </c>
      <c r="L71" s="9">
        <v>80</v>
      </c>
      <c r="M71" s="9">
        <v>80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/>
      <c r="AA71"/>
    </row>
    <row r="73" spans="1:27">
      <c r="A73" s="7" t="s">
        <v>11</v>
      </c>
    </row>
    <row r="75" spans="1:27" ht="24">
      <c r="A75" s="2" t="s">
        <v>0</v>
      </c>
      <c r="B75" s="35" t="s">
        <v>15</v>
      </c>
      <c r="C75" s="35" t="s">
        <v>16</v>
      </c>
      <c r="D75" s="35" t="s">
        <v>17</v>
      </c>
      <c r="E75" s="35" t="s">
        <v>19</v>
      </c>
      <c r="F75" s="35" t="s">
        <v>18</v>
      </c>
      <c r="G75" s="35" t="s">
        <v>20</v>
      </c>
      <c r="H75" s="35" t="s">
        <v>23</v>
      </c>
      <c r="I75" s="35" t="s">
        <v>24</v>
      </c>
      <c r="J75" s="35" t="s">
        <v>26</v>
      </c>
      <c r="K75" s="35" t="s">
        <v>29</v>
      </c>
      <c r="L75" s="35" t="s">
        <v>67</v>
      </c>
      <c r="M75" s="35" t="s">
        <v>758</v>
      </c>
      <c r="N75" s="3">
        <v>42552</v>
      </c>
      <c r="O75" s="3">
        <v>42583</v>
      </c>
      <c r="P75" s="3">
        <v>42614</v>
      </c>
      <c r="Q75" s="3">
        <v>42644</v>
      </c>
      <c r="R75" s="3">
        <v>42675</v>
      </c>
      <c r="S75" s="3">
        <v>42705</v>
      </c>
      <c r="T75" s="3">
        <v>42736</v>
      </c>
      <c r="U75" s="3">
        <v>42767</v>
      </c>
      <c r="V75" s="3">
        <v>42795</v>
      </c>
      <c r="W75" s="3">
        <v>42826</v>
      </c>
      <c r="X75" s="3">
        <v>42856</v>
      </c>
      <c r="Y75" s="3">
        <v>42887</v>
      </c>
      <c r="Z75" s="35" t="s">
        <v>759</v>
      </c>
      <c r="AA75" s="35" t="s">
        <v>760</v>
      </c>
    </row>
    <row r="76" spans="1:27">
      <c r="A76" s="6" t="s">
        <v>761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9">
        <v>39.799999999999997</v>
      </c>
      <c r="O76" s="9">
        <v>38.5</v>
      </c>
      <c r="P76" s="9">
        <v>83.3</v>
      </c>
      <c r="Q76" s="9">
        <v>18.7</v>
      </c>
      <c r="R76" s="9">
        <v>24.7</v>
      </c>
      <c r="S76" s="9">
        <v>10.1</v>
      </c>
      <c r="T76" s="9">
        <v>70.8</v>
      </c>
      <c r="U76" s="9">
        <v>72</v>
      </c>
      <c r="V76" s="9"/>
      <c r="W76" s="9"/>
      <c r="X76" s="9"/>
      <c r="Y76" s="9"/>
      <c r="Z76" s="5"/>
      <c r="AA76" s="5"/>
    </row>
    <row r="77" spans="1:27">
      <c r="A77" s="6" t="s">
        <v>762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9">
        <v>90</v>
      </c>
      <c r="O77" s="9">
        <v>90</v>
      </c>
      <c r="P77" s="9">
        <v>90</v>
      </c>
      <c r="Q77" s="9">
        <v>90</v>
      </c>
      <c r="R77" s="9">
        <v>90</v>
      </c>
      <c r="S77" s="9">
        <v>90</v>
      </c>
      <c r="T77" s="9">
        <v>90</v>
      </c>
      <c r="U77" s="9">
        <v>90</v>
      </c>
      <c r="V77" s="9">
        <v>90</v>
      </c>
      <c r="W77" s="9">
        <v>90</v>
      </c>
      <c r="X77" s="9">
        <v>90</v>
      </c>
      <c r="Y77" s="9">
        <v>90</v>
      </c>
      <c r="Z77" s="5"/>
      <c r="AA77" s="5"/>
    </row>
    <row r="78" spans="1:27">
      <c r="A78" s="4" t="s">
        <v>1</v>
      </c>
      <c r="B78" s="9">
        <v>94.6</v>
      </c>
      <c r="C78" s="9">
        <v>80.5</v>
      </c>
      <c r="D78" s="9">
        <v>98.5</v>
      </c>
      <c r="E78" s="9">
        <v>98.2</v>
      </c>
      <c r="F78" s="9">
        <v>99.7</v>
      </c>
      <c r="G78" s="9">
        <v>99.3</v>
      </c>
      <c r="H78" s="9">
        <v>99.2</v>
      </c>
      <c r="I78" s="9">
        <v>97.4</v>
      </c>
      <c r="J78" s="9">
        <v>92.1</v>
      </c>
      <c r="K78" s="9">
        <v>88.4</v>
      </c>
      <c r="L78" s="9">
        <v>75.2</v>
      </c>
      <c r="M78" s="9">
        <v>53.4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8">
        <v>39.200000000000003</v>
      </c>
      <c r="AA78" s="8">
        <v>90</v>
      </c>
    </row>
    <row r="79" spans="1:27">
      <c r="A79" s="4" t="s">
        <v>2</v>
      </c>
      <c r="B79" s="9">
        <v>95</v>
      </c>
      <c r="C79" s="9">
        <v>96</v>
      </c>
      <c r="D79" s="9">
        <v>97</v>
      </c>
      <c r="E79" s="9">
        <v>97</v>
      </c>
      <c r="F79" s="9">
        <v>97</v>
      </c>
      <c r="G79" s="9">
        <v>97</v>
      </c>
      <c r="H79" s="9">
        <v>97</v>
      </c>
      <c r="I79" s="9">
        <v>97</v>
      </c>
      <c r="J79" s="9">
        <v>97</v>
      </c>
      <c r="K79" s="9">
        <v>97</v>
      </c>
      <c r="L79" s="9">
        <v>90</v>
      </c>
      <c r="M79" s="9">
        <v>90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/>
      <c r="AA79"/>
    </row>
    <row r="81" spans="1:27">
      <c r="A81" s="7" t="s">
        <v>21</v>
      </c>
    </row>
    <row r="83" spans="1:27" ht="24">
      <c r="A83" s="2" t="s">
        <v>0</v>
      </c>
      <c r="B83" s="35" t="s">
        <v>15</v>
      </c>
      <c r="C83" s="35" t="s">
        <v>16</v>
      </c>
      <c r="D83" s="35" t="s">
        <v>17</v>
      </c>
      <c r="E83" s="35" t="s">
        <v>19</v>
      </c>
      <c r="F83" s="35" t="s">
        <v>18</v>
      </c>
      <c r="G83" s="35" t="s">
        <v>20</v>
      </c>
      <c r="H83" s="35" t="s">
        <v>23</v>
      </c>
      <c r="I83" s="35" t="s">
        <v>24</v>
      </c>
      <c r="J83" s="35" t="s">
        <v>26</v>
      </c>
      <c r="K83" s="35" t="s">
        <v>29</v>
      </c>
      <c r="L83" s="35" t="s">
        <v>67</v>
      </c>
      <c r="M83" s="35" t="s">
        <v>758</v>
      </c>
      <c r="N83" s="3">
        <v>42552</v>
      </c>
      <c r="O83" s="3">
        <v>42583</v>
      </c>
      <c r="P83" s="3">
        <v>42614</v>
      </c>
      <c r="Q83" s="3">
        <v>42644</v>
      </c>
      <c r="R83" s="3">
        <v>42675</v>
      </c>
      <c r="S83" s="3">
        <v>42705</v>
      </c>
      <c r="T83" s="3">
        <v>42736</v>
      </c>
      <c r="U83" s="3">
        <v>42767</v>
      </c>
      <c r="V83" s="3">
        <v>42795</v>
      </c>
      <c r="W83" s="3">
        <v>42826</v>
      </c>
      <c r="X83" s="3">
        <v>42856</v>
      </c>
      <c r="Y83" s="3">
        <v>42887</v>
      </c>
      <c r="Z83" s="35" t="s">
        <v>759</v>
      </c>
      <c r="AA83" s="35" t="s">
        <v>760</v>
      </c>
    </row>
    <row r="84" spans="1:27">
      <c r="A84" s="6" t="s">
        <v>761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9">
        <v>75</v>
      </c>
      <c r="O84" s="9">
        <v>80.599999999999994</v>
      </c>
      <c r="P84" s="9">
        <v>79.400000000000006</v>
      </c>
      <c r="Q84" s="9">
        <v>67.900000000000006</v>
      </c>
      <c r="R84" s="9">
        <v>43.3</v>
      </c>
      <c r="S84" s="9">
        <v>6.3</v>
      </c>
      <c r="T84" s="9">
        <v>41.4</v>
      </c>
      <c r="U84" s="9">
        <v>6.1</v>
      </c>
      <c r="V84" s="9"/>
      <c r="W84" s="9"/>
      <c r="X84" s="9"/>
      <c r="Y84" s="9"/>
      <c r="Z84" s="5"/>
      <c r="AA84" s="5"/>
    </row>
    <row r="85" spans="1:27">
      <c r="A85" s="6" t="s">
        <v>762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9">
        <v>95</v>
      </c>
      <c r="O85" s="9">
        <v>95</v>
      </c>
      <c r="P85" s="9">
        <v>95</v>
      </c>
      <c r="Q85" s="9">
        <v>95</v>
      </c>
      <c r="R85" s="9">
        <v>95</v>
      </c>
      <c r="S85" s="9">
        <v>95</v>
      </c>
      <c r="T85" s="9">
        <v>95</v>
      </c>
      <c r="U85" s="9">
        <v>95</v>
      </c>
      <c r="V85" s="9">
        <v>95</v>
      </c>
      <c r="W85" s="9">
        <v>95</v>
      </c>
      <c r="X85" s="9">
        <v>95</v>
      </c>
      <c r="Y85" s="9">
        <v>95</v>
      </c>
      <c r="Z85" s="5"/>
      <c r="AA85" s="5"/>
    </row>
    <row r="86" spans="1:27">
      <c r="A86" s="4" t="s">
        <v>1</v>
      </c>
      <c r="B86" s="9">
        <v>94.6</v>
      </c>
      <c r="C86" s="9"/>
      <c r="D86" s="9"/>
      <c r="E86" s="9"/>
      <c r="F86" s="9"/>
      <c r="G86" s="9"/>
      <c r="H86" s="9">
        <v>87.5</v>
      </c>
      <c r="I86" s="9">
        <v>92.3</v>
      </c>
      <c r="J86" s="9">
        <v>96.5</v>
      </c>
      <c r="K86" s="9">
        <v>93.6</v>
      </c>
      <c r="L86" s="9">
        <v>79.400000000000006</v>
      </c>
      <c r="M86" s="9">
        <v>64.099999999999994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8">
        <v>50.6</v>
      </c>
      <c r="AA86" s="8">
        <v>95</v>
      </c>
    </row>
    <row r="87" spans="1:27">
      <c r="A87" s="4" t="s">
        <v>2</v>
      </c>
      <c r="B87" s="9">
        <v>95</v>
      </c>
      <c r="C87" s="9">
        <v>96</v>
      </c>
      <c r="D87" s="9">
        <v>97</v>
      </c>
      <c r="E87" s="9">
        <v>97</v>
      </c>
      <c r="F87" s="9">
        <v>97</v>
      </c>
      <c r="G87" s="9">
        <v>97</v>
      </c>
      <c r="H87" s="9">
        <v>97</v>
      </c>
      <c r="I87" s="9">
        <v>97</v>
      </c>
      <c r="J87" s="9">
        <v>97</v>
      </c>
      <c r="K87" s="9">
        <v>97</v>
      </c>
      <c r="L87" s="9">
        <v>95</v>
      </c>
      <c r="M87" s="9">
        <v>95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/>
      <c r="AA87"/>
    </row>
    <row r="88" spans="1:27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/>
      <c r="AA88"/>
    </row>
    <row r="89" spans="1:27">
      <c r="A89" s="7" t="s">
        <v>12</v>
      </c>
    </row>
    <row r="91" spans="1:27" ht="24">
      <c r="A91" s="2" t="s">
        <v>0</v>
      </c>
      <c r="B91" s="35" t="s">
        <v>15</v>
      </c>
      <c r="C91" s="35" t="s">
        <v>16</v>
      </c>
      <c r="D91" s="35" t="s">
        <v>17</v>
      </c>
      <c r="E91" s="35" t="s">
        <v>19</v>
      </c>
      <c r="F91" s="35" t="s">
        <v>18</v>
      </c>
      <c r="G91" s="35" t="s">
        <v>20</v>
      </c>
      <c r="H91" s="35" t="s">
        <v>23</v>
      </c>
      <c r="I91" s="35" t="s">
        <v>24</v>
      </c>
      <c r="J91" s="35" t="s">
        <v>26</v>
      </c>
      <c r="K91" s="35" t="s">
        <v>29</v>
      </c>
      <c r="L91" s="35" t="s">
        <v>67</v>
      </c>
      <c r="M91" s="35" t="s">
        <v>758</v>
      </c>
      <c r="N91" s="3">
        <v>42552</v>
      </c>
      <c r="O91" s="3">
        <v>42583</v>
      </c>
      <c r="P91" s="3">
        <v>42614</v>
      </c>
      <c r="Q91" s="3">
        <v>42644</v>
      </c>
      <c r="R91" s="3">
        <v>42675</v>
      </c>
      <c r="S91" s="3">
        <v>42705</v>
      </c>
      <c r="T91" s="3">
        <v>42736</v>
      </c>
      <c r="U91" s="3">
        <v>42767</v>
      </c>
      <c r="V91" s="3">
        <v>42795</v>
      </c>
      <c r="W91" s="3">
        <v>42826</v>
      </c>
      <c r="X91" s="3">
        <v>42856</v>
      </c>
      <c r="Y91" s="3">
        <v>42887</v>
      </c>
      <c r="Z91" s="35" t="s">
        <v>759</v>
      </c>
      <c r="AA91" s="35" t="s">
        <v>760</v>
      </c>
    </row>
    <row r="92" spans="1:27">
      <c r="A92" s="6" t="s">
        <v>761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9">
        <v>64</v>
      </c>
      <c r="O92" s="9">
        <v>54.6</v>
      </c>
      <c r="P92" s="9">
        <v>89.5</v>
      </c>
      <c r="Q92" s="9">
        <v>55.2</v>
      </c>
      <c r="R92" s="9">
        <v>76.900000000000006</v>
      </c>
      <c r="S92" s="9">
        <v>50.6</v>
      </c>
      <c r="T92" s="9">
        <v>71.5</v>
      </c>
      <c r="U92" s="9">
        <v>35.9</v>
      </c>
      <c r="V92" s="9"/>
      <c r="W92" s="9"/>
      <c r="X92" s="9"/>
      <c r="Y92" s="9"/>
      <c r="Z92" s="5"/>
      <c r="AA92" s="5"/>
    </row>
    <row r="93" spans="1:27">
      <c r="A93" s="6" t="s">
        <v>762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9">
        <v>81</v>
      </c>
      <c r="O93" s="9">
        <v>81</v>
      </c>
      <c r="P93" s="9">
        <v>81</v>
      </c>
      <c r="Q93" s="9">
        <v>81</v>
      </c>
      <c r="R93" s="9">
        <v>81</v>
      </c>
      <c r="S93" s="9">
        <v>81</v>
      </c>
      <c r="T93" s="9">
        <v>81</v>
      </c>
      <c r="U93" s="9">
        <v>81</v>
      </c>
      <c r="V93" s="9">
        <v>81</v>
      </c>
      <c r="W93" s="9">
        <v>81</v>
      </c>
      <c r="X93" s="9">
        <v>81</v>
      </c>
      <c r="Y93" s="9">
        <v>81</v>
      </c>
      <c r="Z93" s="5"/>
      <c r="AA93" s="5"/>
    </row>
    <row r="94" spans="1:27">
      <c r="A94" s="4" t="s">
        <v>1</v>
      </c>
      <c r="B94" s="9">
        <v>96</v>
      </c>
      <c r="C94" s="9">
        <v>96.3</v>
      </c>
      <c r="D94" s="9">
        <v>97.8</v>
      </c>
      <c r="E94" s="9">
        <v>97.9</v>
      </c>
      <c r="F94" s="9">
        <v>97.5</v>
      </c>
      <c r="G94" s="9">
        <v>94.5</v>
      </c>
      <c r="H94" s="9">
        <v>97.8</v>
      </c>
      <c r="I94" s="9">
        <v>88.9</v>
      </c>
      <c r="J94" s="9">
        <v>88.1</v>
      </c>
      <c r="K94" s="9">
        <v>78.5</v>
      </c>
      <c r="L94" s="9">
        <v>83.5</v>
      </c>
      <c r="M94" s="9">
        <v>69.8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8">
        <v>61.3</v>
      </c>
      <c r="AA94" s="8">
        <v>81</v>
      </c>
    </row>
    <row r="95" spans="1:27">
      <c r="A95" s="4" t="s">
        <v>2</v>
      </c>
      <c r="B95" s="9">
        <v>95</v>
      </c>
      <c r="C95" s="9">
        <v>96</v>
      </c>
      <c r="D95" s="9">
        <v>97</v>
      </c>
      <c r="E95" s="9">
        <v>97</v>
      </c>
      <c r="F95" s="9">
        <v>97</v>
      </c>
      <c r="G95" s="9">
        <v>97</v>
      </c>
      <c r="H95" s="9">
        <v>97</v>
      </c>
      <c r="I95" s="9">
        <v>97</v>
      </c>
      <c r="J95" s="9">
        <v>97</v>
      </c>
      <c r="K95" s="9">
        <v>97</v>
      </c>
      <c r="L95" s="9">
        <v>81</v>
      </c>
      <c r="M95" s="9">
        <v>81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/>
      <c r="AA95"/>
    </row>
    <row r="97" spans="1:27">
      <c r="A97" s="7" t="s">
        <v>13</v>
      </c>
    </row>
    <row r="99" spans="1:27" ht="24">
      <c r="A99" s="2" t="s">
        <v>0</v>
      </c>
      <c r="B99" s="35" t="s">
        <v>15</v>
      </c>
      <c r="C99" s="35" t="s">
        <v>16</v>
      </c>
      <c r="D99" s="35" t="s">
        <v>17</v>
      </c>
      <c r="E99" s="35" t="s">
        <v>19</v>
      </c>
      <c r="F99" s="35" t="s">
        <v>18</v>
      </c>
      <c r="G99" s="35" t="s">
        <v>20</v>
      </c>
      <c r="H99" s="35" t="s">
        <v>23</v>
      </c>
      <c r="I99" s="35" t="s">
        <v>24</v>
      </c>
      <c r="J99" s="35" t="s">
        <v>26</v>
      </c>
      <c r="K99" s="35" t="s">
        <v>29</v>
      </c>
      <c r="L99" s="35" t="s">
        <v>67</v>
      </c>
      <c r="M99" s="35" t="s">
        <v>758</v>
      </c>
      <c r="N99" s="3">
        <v>42552</v>
      </c>
      <c r="O99" s="3">
        <v>42583</v>
      </c>
      <c r="P99" s="3">
        <v>42614</v>
      </c>
      <c r="Q99" s="3">
        <v>42644</v>
      </c>
      <c r="R99" s="3">
        <v>42675</v>
      </c>
      <c r="S99" s="3">
        <v>42705</v>
      </c>
      <c r="T99" s="3">
        <v>42736</v>
      </c>
      <c r="U99" s="3">
        <v>42767</v>
      </c>
      <c r="V99" s="3">
        <v>42795</v>
      </c>
      <c r="W99" s="3">
        <v>42826</v>
      </c>
      <c r="X99" s="3">
        <v>42856</v>
      </c>
      <c r="Y99" s="3">
        <v>42887</v>
      </c>
      <c r="Z99" s="35" t="s">
        <v>759</v>
      </c>
      <c r="AA99" s="35" t="s">
        <v>760</v>
      </c>
    </row>
    <row r="100" spans="1:27">
      <c r="A100" s="6" t="s">
        <v>761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9">
        <v>33.299999999999997</v>
      </c>
      <c r="O100" s="9">
        <v>100</v>
      </c>
      <c r="P100" s="9">
        <v>57.1</v>
      </c>
      <c r="Q100" s="9">
        <v>92.3</v>
      </c>
      <c r="R100" s="9">
        <v>100</v>
      </c>
      <c r="S100" s="9">
        <v>20</v>
      </c>
      <c r="T100" s="9">
        <v>81.3</v>
      </c>
      <c r="U100" s="9">
        <v>28.6</v>
      </c>
      <c r="V100" s="9"/>
      <c r="W100" s="9"/>
      <c r="X100" s="9"/>
      <c r="Y100" s="9"/>
      <c r="Z100" s="5"/>
      <c r="AA100" s="5"/>
    </row>
    <row r="101" spans="1:27">
      <c r="A101" s="6" t="s">
        <v>762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9">
        <v>80</v>
      </c>
      <c r="O101" s="9">
        <v>80</v>
      </c>
      <c r="P101" s="9">
        <v>80</v>
      </c>
      <c r="Q101" s="9">
        <v>80</v>
      </c>
      <c r="R101" s="9">
        <v>80</v>
      </c>
      <c r="S101" s="9">
        <v>80</v>
      </c>
      <c r="T101" s="9">
        <v>80</v>
      </c>
      <c r="U101" s="9">
        <v>80</v>
      </c>
      <c r="V101" s="9">
        <v>80</v>
      </c>
      <c r="W101" s="9">
        <v>80</v>
      </c>
      <c r="X101" s="9">
        <v>80</v>
      </c>
      <c r="Y101" s="9">
        <v>80</v>
      </c>
      <c r="Z101" s="5"/>
      <c r="AA101" s="5"/>
    </row>
    <row r="102" spans="1:27">
      <c r="A102" s="4" t="s">
        <v>1</v>
      </c>
      <c r="B102" s="9">
        <v>95</v>
      </c>
      <c r="C102" s="9">
        <v>95.5</v>
      </c>
      <c r="D102" s="9">
        <v>99.4</v>
      </c>
      <c r="E102" s="9">
        <v>99.3</v>
      </c>
      <c r="F102" s="9">
        <v>99.6</v>
      </c>
      <c r="G102" s="9">
        <v>99.6</v>
      </c>
      <c r="H102" s="9">
        <v>99.2</v>
      </c>
      <c r="I102" s="9">
        <v>97.9</v>
      </c>
      <c r="J102" s="9">
        <v>87</v>
      </c>
      <c r="K102" s="9">
        <v>83.5</v>
      </c>
      <c r="L102" s="9">
        <v>95.6</v>
      </c>
      <c r="M102" s="9">
        <v>97.2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8">
        <v>74.3</v>
      </c>
      <c r="AA102" s="8">
        <v>80</v>
      </c>
    </row>
    <row r="103" spans="1:27">
      <c r="A103" s="4" t="s">
        <v>2</v>
      </c>
      <c r="B103" s="9">
        <v>95</v>
      </c>
      <c r="C103" s="9">
        <v>96</v>
      </c>
      <c r="D103" s="9">
        <v>97</v>
      </c>
      <c r="E103" s="9">
        <v>97</v>
      </c>
      <c r="F103" s="9">
        <v>97</v>
      </c>
      <c r="G103" s="9">
        <v>97</v>
      </c>
      <c r="H103" s="9">
        <v>97</v>
      </c>
      <c r="I103" s="9">
        <v>97</v>
      </c>
      <c r="J103" s="9">
        <v>97</v>
      </c>
      <c r="K103" s="9">
        <v>97</v>
      </c>
      <c r="L103" s="9">
        <v>80</v>
      </c>
      <c r="M103" s="9">
        <v>80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/>
      <c r="AA103"/>
    </row>
    <row r="105" spans="1:27">
      <c r="A105" s="7" t="s">
        <v>14</v>
      </c>
    </row>
    <row r="107" spans="1:27" ht="24">
      <c r="A107" s="2" t="s">
        <v>0</v>
      </c>
      <c r="B107" s="35" t="s">
        <v>15</v>
      </c>
      <c r="C107" s="35" t="s">
        <v>16</v>
      </c>
      <c r="D107" s="35" t="s">
        <v>17</v>
      </c>
      <c r="E107" s="35" t="s">
        <v>19</v>
      </c>
      <c r="F107" s="35" t="s">
        <v>18</v>
      </c>
      <c r="G107" s="35" t="s">
        <v>20</v>
      </c>
      <c r="H107" s="35" t="s">
        <v>23</v>
      </c>
      <c r="I107" s="35" t="s">
        <v>24</v>
      </c>
      <c r="J107" s="35" t="s">
        <v>26</v>
      </c>
      <c r="K107" s="35" t="s">
        <v>29</v>
      </c>
      <c r="L107" s="35" t="s">
        <v>67</v>
      </c>
      <c r="M107" s="35" t="s">
        <v>758</v>
      </c>
      <c r="N107" s="3">
        <v>42552</v>
      </c>
      <c r="O107" s="3">
        <v>42583</v>
      </c>
      <c r="P107" s="3">
        <v>42614</v>
      </c>
      <c r="Q107" s="3">
        <v>42644</v>
      </c>
      <c r="R107" s="3">
        <v>42675</v>
      </c>
      <c r="S107" s="3">
        <v>42705</v>
      </c>
      <c r="T107" s="3">
        <v>42736</v>
      </c>
      <c r="U107" s="3">
        <v>42767</v>
      </c>
      <c r="V107" s="3">
        <v>42795</v>
      </c>
      <c r="W107" s="3">
        <v>42826</v>
      </c>
      <c r="X107" s="3">
        <v>42856</v>
      </c>
      <c r="Y107" s="3">
        <v>42887</v>
      </c>
      <c r="Z107" s="35" t="s">
        <v>759</v>
      </c>
      <c r="AA107" s="35" t="s">
        <v>760</v>
      </c>
    </row>
    <row r="108" spans="1:27">
      <c r="A108" s="6" t="s">
        <v>761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9">
        <v>80.2</v>
      </c>
      <c r="O108" s="9">
        <v>45</v>
      </c>
      <c r="P108" s="9">
        <v>92.2</v>
      </c>
      <c r="Q108" s="9">
        <v>32.6</v>
      </c>
      <c r="R108" s="9">
        <v>91.9</v>
      </c>
      <c r="S108" s="9">
        <v>98.2</v>
      </c>
      <c r="T108" s="9">
        <v>93.5</v>
      </c>
      <c r="U108" s="9">
        <v>14.2</v>
      </c>
      <c r="V108" s="9"/>
      <c r="W108" s="9"/>
      <c r="X108" s="9"/>
      <c r="Y108" s="9"/>
      <c r="Z108" s="5"/>
      <c r="AA108" s="5"/>
    </row>
    <row r="109" spans="1:27">
      <c r="A109" s="6" t="s">
        <v>762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9">
        <v>80</v>
      </c>
      <c r="O109" s="9">
        <v>80</v>
      </c>
      <c r="P109" s="9">
        <v>80</v>
      </c>
      <c r="Q109" s="9">
        <v>80</v>
      </c>
      <c r="R109" s="9">
        <v>80</v>
      </c>
      <c r="S109" s="9">
        <v>80</v>
      </c>
      <c r="T109" s="9">
        <v>80</v>
      </c>
      <c r="U109" s="9">
        <v>80</v>
      </c>
      <c r="V109" s="9">
        <v>80</v>
      </c>
      <c r="W109" s="9">
        <v>80</v>
      </c>
      <c r="X109" s="9">
        <v>80</v>
      </c>
      <c r="Y109" s="9">
        <v>80</v>
      </c>
      <c r="Z109" s="5"/>
      <c r="AA109" s="5"/>
    </row>
    <row r="110" spans="1:27">
      <c r="A110" s="4" t="s">
        <v>1</v>
      </c>
      <c r="B110" s="9">
        <v>95</v>
      </c>
      <c r="C110" s="9">
        <v>95.5</v>
      </c>
      <c r="D110" s="9">
        <v>97.5</v>
      </c>
      <c r="E110" s="9">
        <v>97.7</v>
      </c>
      <c r="F110" s="9">
        <v>99.3</v>
      </c>
      <c r="G110" s="9">
        <v>98.7</v>
      </c>
      <c r="H110" s="9">
        <v>98.2</v>
      </c>
      <c r="I110" s="9">
        <v>93.5</v>
      </c>
      <c r="J110" s="9">
        <v>96.1</v>
      </c>
      <c r="K110" s="9">
        <v>75.8</v>
      </c>
      <c r="L110" s="9">
        <v>85.3</v>
      </c>
      <c r="M110" s="9">
        <v>84.5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8">
        <v>64.599999999999994</v>
      </c>
      <c r="AA110" s="8">
        <v>80</v>
      </c>
    </row>
    <row r="111" spans="1:27">
      <c r="A111" s="4" t="s">
        <v>2</v>
      </c>
      <c r="B111" s="9">
        <v>95</v>
      </c>
      <c r="C111" s="9">
        <v>96</v>
      </c>
      <c r="D111" s="9">
        <v>97</v>
      </c>
      <c r="E111" s="9">
        <v>97</v>
      </c>
      <c r="F111" s="9">
        <v>97</v>
      </c>
      <c r="G111" s="9">
        <v>97</v>
      </c>
      <c r="H111" s="9">
        <v>97</v>
      </c>
      <c r="I111" s="9">
        <v>97</v>
      </c>
      <c r="J111" s="9">
        <v>97</v>
      </c>
      <c r="K111" s="9">
        <v>97</v>
      </c>
      <c r="L111" s="9">
        <v>80</v>
      </c>
      <c r="M111" s="9">
        <v>80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/>
      <c r="AA111"/>
    </row>
    <row r="114" spans="1:27">
      <c r="A114" s="7" t="s">
        <v>30</v>
      </c>
    </row>
    <row r="116" spans="1:27" ht="24">
      <c r="A116" s="2" t="s">
        <v>0</v>
      </c>
      <c r="B116" s="35" t="s">
        <v>15</v>
      </c>
      <c r="C116" s="35" t="s">
        <v>16</v>
      </c>
      <c r="D116" s="35" t="s">
        <v>17</v>
      </c>
      <c r="E116" s="35" t="s">
        <v>19</v>
      </c>
      <c r="F116" s="35" t="s">
        <v>18</v>
      </c>
      <c r="G116" s="35" t="s">
        <v>20</v>
      </c>
      <c r="H116" s="35" t="s">
        <v>23</v>
      </c>
      <c r="I116" s="35" t="s">
        <v>24</v>
      </c>
      <c r="J116" s="35" t="s">
        <v>26</v>
      </c>
      <c r="K116" s="35" t="s">
        <v>29</v>
      </c>
      <c r="L116" s="35" t="s">
        <v>67</v>
      </c>
      <c r="M116" s="35" t="s">
        <v>758</v>
      </c>
      <c r="N116" s="3">
        <v>42552</v>
      </c>
      <c r="O116" s="3">
        <v>42583</v>
      </c>
      <c r="P116" s="3">
        <v>42614</v>
      </c>
      <c r="Q116" s="3">
        <v>42644</v>
      </c>
      <c r="R116" s="3">
        <v>42675</v>
      </c>
      <c r="S116" s="3">
        <v>42705</v>
      </c>
      <c r="T116" s="3">
        <v>42736</v>
      </c>
      <c r="U116" s="3">
        <v>42767</v>
      </c>
      <c r="V116" s="3">
        <v>42795</v>
      </c>
      <c r="W116" s="3">
        <v>42826</v>
      </c>
      <c r="X116" s="3">
        <v>42856</v>
      </c>
      <c r="Y116" s="3">
        <v>42887</v>
      </c>
      <c r="Z116" s="35" t="s">
        <v>759</v>
      </c>
      <c r="AA116" s="35" t="s">
        <v>760</v>
      </c>
    </row>
    <row r="117" spans="1:27">
      <c r="A117" s="6" t="s">
        <v>761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9">
        <v>34</v>
      </c>
      <c r="O117" s="9">
        <v>96.8</v>
      </c>
      <c r="P117" s="9">
        <v>100</v>
      </c>
      <c r="Q117" s="9">
        <v>84.7</v>
      </c>
      <c r="R117" s="9">
        <v>98.8</v>
      </c>
      <c r="S117" s="9">
        <v>85.6</v>
      </c>
      <c r="T117" s="9">
        <v>65.3</v>
      </c>
      <c r="U117" s="9">
        <v>72</v>
      </c>
      <c r="V117" s="9"/>
      <c r="W117" s="9"/>
      <c r="X117" s="9"/>
      <c r="Y117" s="9"/>
      <c r="Z117" s="5"/>
      <c r="AA117" s="5"/>
    </row>
    <row r="118" spans="1:27">
      <c r="A118" s="6" t="s">
        <v>762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9">
        <v>80</v>
      </c>
      <c r="O118" s="9">
        <v>80</v>
      </c>
      <c r="P118" s="9">
        <v>80</v>
      </c>
      <c r="Q118" s="9">
        <v>80</v>
      </c>
      <c r="R118" s="9">
        <v>80</v>
      </c>
      <c r="S118" s="9">
        <v>80</v>
      </c>
      <c r="T118" s="9">
        <v>80</v>
      </c>
      <c r="U118" s="9">
        <v>80</v>
      </c>
      <c r="V118" s="9">
        <v>80</v>
      </c>
      <c r="W118" s="9">
        <v>80</v>
      </c>
      <c r="X118" s="9">
        <v>80</v>
      </c>
      <c r="Y118" s="9">
        <v>80</v>
      </c>
      <c r="Z118" s="5"/>
      <c r="AA118" s="5"/>
    </row>
    <row r="119" spans="1:27">
      <c r="A119" s="4" t="s">
        <v>1</v>
      </c>
      <c r="B119" s="9">
        <v>95</v>
      </c>
      <c r="C119" s="9"/>
      <c r="D119" s="9"/>
      <c r="E119" s="9">
        <v>100</v>
      </c>
      <c r="F119" s="9">
        <v>100</v>
      </c>
      <c r="G119" s="9"/>
      <c r="H119" s="9"/>
      <c r="I119" s="9"/>
      <c r="J119" s="9"/>
      <c r="K119" s="9">
        <v>74.099999999999994</v>
      </c>
      <c r="L119" s="9">
        <v>82.2</v>
      </c>
      <c r="M119" s="9">
        <v>81.900000000000006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8">
        <v>73.5</v>
      </c>
      <c r="AA119" s="8">
        <v>80</v>
      </c>
    </row>
    <row r="120" spans="1:27">
      <c r="A120" s="4" t="s">
        <v>2</v>
      </c>
      <c r="B120" s="9">
        <v>95</v>
      </c>
      <c r="C120" s="9">
        <v>96</v>
      </c>
      <c r="D120" s="9">
        <v>97</v>
      </c>
      <c r="E120" s="9">
        <v>97</v>
      </c>
      <c r="F120" s="9">
        <v>97</v>
      </c>
      <c r="G120" s="9"/>
      <c r="H120" s="9"/>
      <c r="I120" s="9"/>
      <c r="J120" s="9"/>
      <c r="K120" s="9">
        <v>97</v>
      </c>
      <c r="L120" s="9">
        <v>80</v>
      </c>
      <c r="M120" s="9">
        <v>80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/>
      <c r="AA120"/>
    </row>
    <row r="122" spans="1:27">
      <c r="A122" s="7" t="s">
        <v>22</v>
      </c>
    </row>
    <row r="124" spans="1:27" ht="24">
      <c r="A124" s="2" t="s">
        <v>0</v>
      </c>
      <c r="B124" s="35" t="s">
        <v>15</v>
      </c>
      <c r="C124" s="35" t="s">
        <v>16</v>
      </c>
      <c r="D124" s="35" t="s">
        <v>17</v>
      </c>
      <c r="E124" s="35" t="s">
        <v>19</v>
      </c>
      <c r="F124" s="35" t="s">
        <v>18</v>
      </c>
      <c r="G124" s="35" t="s">
        <v>20</v>
      </c>
      <c r="H124" s="35" t="s">
        <v>23</v>
      </c>
      <c r="I124" s="35" t="s">
        <v>24</v>
      </c>
      <c r="J124" s="35" t="s">
        <v>26</v>
      </c>
      <c r="K124" s="35" t="s">
        <v>29</v>
      </c>
      <c r="L124" s="35" t="s">
        <v>67</v>
      </c>
      <c r="M124" s="35" t="s">
        <v>758</v>
      </c>
      <c r="N124" s="3">
        <v>42552</v>
      </c>
      <c r="O124" s="3">
        <v>42583</v>
      </c>
      <c r="P124" s="3">
        <v>42614</v>
      </c>
      <c r="Q124" s="3">
        <v>42644</v>
      </c>
      <c r="R124" s="3">
        <v>42675</v>
      </c>
      <c r="S124" s="3">
        <v>42705</v>
      </c>
      <c r="T124" s="3">
        <v>42736</v>
      </c>
      <c r="U124" s="3">
        <v>42767</v>
      </c>
      <c r="V124" s="3">
        <v>42795</v>
      </c>
      <c r="W124" s="3">
        <v>42826</v>
      </c>
      <c r="X124" s="3">
        <v>42856</v>
      </c>
      <c r="Y124" s="3">
        <v>42887</v>
      </c>
      <c r="Z124" s="35" t="s">
        <v>759</v>
      </c>
      <c r="AA124" s="35" t="s">
        <v>760</v>
      </c>
    </row>
    <row r="125" spans="1:27">
      <c r="A125" s="6" t="s">
        <v>761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9">
        <v>14.3</v>
      </c>
      <c r="O125" s="9">
        <v>0</v>
      </c>
      <c r="P125" s="9">
        <v>0</v>
      </c>
      <c r="Q125" s="9">
        <v>0</v>
      </c>
      <c r="R125" s="9">
        <v>66.7</v>
      </c>
      <c r="S125" s="9">
        <v>42.9</v>
      </c>
      <c r="T125" s="9">
        <v>80.8</v>
      </c>
      <c r="U125" s="9">
        <v>55.6</v>
      </c>
      <c r="V125" s="9"/>
      <c r="W125" s="9"/>
      <c r="X125" s="9"/>
      <c r="Y125" s="9"/>
      <c r="Z125" s="5"/>
      <c r="AA125" s="5"/>
    </row>
    <row r="126" spans="1:27">
      <c r="A126" s="6" t="s">
        <v>762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9">
        <v>85</v>
      </c>
      <c r="O126" s="9">
        <v>85</v>
      </c>
      <c r="P126" s="9">
        <v>85</v>
      </c>
      <c r="Q126" s="9">
        <v>85</v>
      </c>
      <c r="R126" s="9">
        <v>85</v>
      </c>
      <c r="S126" s="9">
        <v>85</v>
      </c>
      <c r="T126" s="9">
        <v>85</v>
      </c>
      <c r="U126" s="9">
        <v>85</v>
      </c>
      <c r="V126" s="9">
        <v>85</v>
      </c>
      <c r="W126" s="9">
        <v>85</v>
      </c>
      <c r="X126" s="9">
        <v>85</v>
      </c>
      <c r="Y126" s="9">
        <v>85</v>
      </c>
      <c r="Z126" s="5"/>
      <c r="AA126" s="5"/>
    </row>
    <row r="127" spans="1:27">
      <c r="A127" s="4" t="s">
        <v>1</v>
      </c>
      <c r="B127" s="9">
        <v>95</v>
      </c>
      <c r="C127" s="9"/>
      <c r="D127" s="9"/>
      <c r="E127" s="9"/>
      <c r="F127" s="9"/>
      <c r="G127" s="9"/>
      <c r="H127" s="9">
        <v>72.400000000000006</v>
      </c>
      <c r="I127" s="9">
        <v>89.6</v>
      </c>
      <c r="J127" s="9">
        <v>95.6</v>
      </c>
      <c r="K127" s="9">
        <v>61.8</v>
      </c>
      <c r="L127" s="9">
        <v>64.2</v>
      </c>
      <c r="M127" s="9">
        <v>18.600000000000001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8">
        <v>29.4</v>
      </c>
      <c r="AA127" s="9">
        <v>85</v>
      </c>
    </row>
    <row r="128" spans="1:27">
      <c r="A128" s="4" t="s">
        <v>2</v>
      </c>
      <c r="B128" s="9">
        <v>95</v>
      </c>
      <c r="C128" s="9">
        <v>90</v>
      </c>
      <c r="D128" s="9"/>
      <c r="E128" s="9"/>
      <c r="F128" s="9"/>
      <c r="G128" s="9"/>
      <c r="H128" s="9">
        <v>75</v>
      </c>
      <c r="I128" s="9">
        <v>80</v>
      </c>
      <c r="J128" s="9">
        <v>80</v>
      </c>
      <c r="K128" s="9">
        <v>80</v>
      </c>
      <c r="L128" s="9">
        <v>85</v>
      </c>
      <c r="M128" s="9">
        <v>85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/>
      <c r="AA128"/>
    </row>
    <row r="131" spans="1:27">
      <c r="A131" s="7" t="s">
        <v>28</v>
      </c>
    </row>
    <row r="133" spans="1:27" ht="24">
      <c r="A133" s="2" t="s">
        <v>0</v>
      </c>
      <c r="B133" s="35" t="s">
        <v>27</v>
      </c>
      <c r="C133" s="35" t="s">
        <v>17</v>
      </c>
      <c r="D133" s="35" t="s">
        <v>19</v>
      </c>
      <c r="E133" s="35" t="s">
        <v>18</v>
      </c>
      <c r="F133" s="35"/>
      <c r="G133" s="35" t="s">
        <v>20</v>
      </c>
      <c r="H133" s="35" t="s">
        <v>23</v>
      </c>
      <c r="I133" s="35" t="s">
        <v>24</v>
      </c>
      <c r="J133" s="35" t="s">
        <v>26</v>
      </c>
      <c r="K133" s="35" t="s">
        <v>29</v>
      </c>
      <c r="L133" s="35" t="s">
        <v>67</v>
      </c>
      <c r="M133" s="35" t="s">
        <v>758</v>
      </c>
      <c r="N133" s="3">
        <v>42552</v>
      </c>
      <c r="O133" s="3">
        <v>42583</v>
      </c>
      <c r="P133" s="3">
        <v>42614</v>
      </c>
      <c r="Q133" s="3">
        <v>42644</v>
      </c>
      <c r="R133" s="3">
        <v>42675</v>
      </c>
      <c r="S133" s="3">
        <v>42705</v>
      </c>
      <c r="T133" s="3">
        <v>42736</v>
      </c>
      <c r="U133" s="3">
        <v>42767</v>
      </c>
      <c r="V133" s="3">
        <v>42795</v>
      </c>
      <c r="W133" s="3">
        <v>42826</v>
      </c>
      <c r="X133" s="3">
        <v>42856</v>
      </c>
      <c r="Y133" s="3">
        <v>42887</v>
      </c>
      <c r="Z133" s="35" t="s">
        <v>759</v>
      </c>
      <c r="AA133" s="35" t="s">
        <v>760</v>
      </c>
    </row>
    <row r="134" spans="1:27">
      <c r="A134" s="6" t="s">
        <v>761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9">
        <v>90.9</v>
      </c>
      <c r="O134" s="9">
        <v>83.1</v>
      </c>
      <c r="P134" s="9">
        <v>89.1</v>
      </c>
      <c r="Q134" s="9">
        <v>89.8</v>
      </c>
      <c r="R134" s="9">
        <v>90.8</v>
      </c>
      <c r="S134" s="9">
        <v>74.599999999999994</v>
      </c>
      <c r="T134" s="9">
        <v>91</v>
      </c>
      <c r="U134" s="9">
        <v>75.2</v>
      </c>
      <c r="V134" s="9"/>
      <c r="W134" s="9"/>
      <c r="X134" s="9"/>
      <c r="Y134" s="9"/>
      <c r="Z134" s="5"/>
      <c r="AA134" s="5"/>
    </row>
    <row r="135" spans="1:27">
      <c r="A135" s="6" t="s">
        <v>762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9">
        <v>80</v>
      </c>
      <c r="O135" s="9">
        <v>80</v>
      </c>
      <c r="P135" s="9">
        <v>80</v>
      </c>
      <c r="Q135" s="9">
        <v>80</v>
      </c>
      <c r="R135" s="9">
        <v>80</v>
      </c>
      <c r="S135" s="9">
        <v>80</v>
      </c>
      <c r="T135" s="9">
        <v>80</v>
      </c>
      <c r="U135" s="9">
        <v>80</v>
      </c>
      <c r="V135" s="9">
        <v>80</v>
      </c>
      <c r="W135" s="9">
        <v>80</v>
      </c>
      <c r="X135" s="9">
        <v>80</v>
      </c>
      <c r="Y135" s="9">
        <v>80</v>
      </c>
      <c r="Z135" s="5"/>
      <c r="AA135" s="5"/>
    </row>
    <row r="136" spans="1:27">
      <c r="A136" s="4" t="s">
        <v>1</v>
      </c>
      <c r="B136" s="9">
        <v>81.099999999999994</v>
      </c>
      <c r="C136" s="9">
        <v>97.9</v>
      </c>
      <c r="D136" s="9">
        <v>97.2</v>
      </c>
      <c r="E136" s="9">
        <v>97</v>
      </c>
      <c r="F136" s="9"/>
      <c r="G136" s="9">
        <v>99.3</v>
      </c>
      <c r="H136" s="9">
        <v>93.1</v>
      </c>
      <c r="I136" s="9">
        <v>70.2</v>
      </c>
      <c r="J136" s="9">
        <v>82.7</v>
      </c>
      <c r="K136" s="9">
        <v>72.599999999999994</v>
      </c>
      <c r="L136" s="9">
        <v>76</v>
      </c>
      <c r="M136" s="9">
        <v>70.900000000000006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8">
        <v>86.9</v>
      </c>
      <c r="AA136" s="8">
        <v>80</v>
      </c>
    </row>
    <row r="137" spans="1:27">
      <c r="A137" s="4" t="s">
        <v>2</v>
      </c>
      <c r="B137" s="9">
        <v>96</v>
      </c>
      <c r="C137" s="9">
        <v>96</v>
      </c>
      <c r="D137" s="9">
        <v>97</v>
      </c>
      <c r="E137" s="9">
        <v>97</v>
      </c>
      <c r="F137" s="9"/>
      <c r="G137" s="9">
        <v>97</v>
      </c>
      <c r="H137" s="9">
        <v>97</v>
      </c>
      <c r="I137" s="9">
        <v>97</v>
      </c>
      <c r="J137" s="9">
        <v>97</v>
      </c>
      <c r="K137" s="9">
        <v>97</v>
      </c>
      <c r="L137" s="9">
        <v>80</v>
      </c>
      <c r="M137" s="9">
        <v>80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/>
      <c r="AA137"/>
    </row>
    <row r="139" spans="1:27">
      <c r="A139" s="7" t="s">
        <v>46</v>
      </c>
    </row>
    <row r="141" spans="1:27" ht="24">
      <c r="A141" s="2" t="s">
        <v>0</v>
      </c>
      <c r="B141" s="35" t="s">
        <v>27</v>
      </c>
      <c r="C141" s="35" t="s">
        <v>17</v>
      </c>
      <c r="D141" s="35" t="s">
        <v>19</v>
      </c>
      <c r="E141" s="35" t="s">
        <v>18</v>
      </c>
      <c r="F141" s="35"/>
      <c r="G141" s="35" t="s">
        <v>20</v>
      </c>
      <c r="H141" s="35" t="s">
        <v>23</v>
      </c>
      <c r="I141" s="35" t="s">
        <v>24</v>
      </c>
      <c r="J141" s="35" t="s">
        <v>26</v>
      </c>
      <c r="K141" s="35" t="s">
        <v>29</v>
      </c>
      <c r="L141" s="35" t="s">
        <v>67</v>
      </c>
      <c r="M141" s="35" t="s">
        <v>758</v>
      </c>
      <c r="N141" s="3">
        <v>42552</v>
      </c>
      <c r="O141" s="3">
        <v>42583</v>
      </c>
      <c r="P141" s="3">
        <v>42614</v>
      </c>
      <c r="Q141" s="3">
        <v>42644</v>
      </c>
      <c r="R141" s="3">
        <v>42675</v>
      </c>
      <c r="S141" s="3">
        <v>42705</v>
      </c>
      <c r="T141" s="3">
        <v>42736</v>
      </c>
      <c r="U141" s="3">
        <v>42767</v>
      </c>
      <c r="V141" s="3">
        <v>42795</v>
      </c>
      <c r="W141" s="3">
        <v>42826</v>
      </c>
      <c r="X141" s="3">
        <v>42856</v>
      </c>
      <c r="Y141" s="3">
        <v>42887</v>
      </c>
      <c r="Z141" s="35" t="s">
        <v>759</v>
      </c>
      <c r="AA141" s="35" t="s">
        <v>760</v>
      </c>
    </row>
    <row r="142" spans="1:27">
      <c r="A142" s="6" t="s">
        <v>761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9">
        <v>0</v>
      </c>
      <c r="O142" s="9">
        <v>100</v>
      </c>
      <c r="P142" s="9">
        <v>100</v>
      </c>
      <c r="Q142" s="9">
        <v>90.6</v>
      </c>
      <c r="R142" s="9">
        <v>97.7</v>
      </c>
      <c r="S142" s="9">
        <v>77.599999999999994</v>
      </c>
      <c r="T142" s="9">
        <v>55.8</v>
      </c>
      <c r="U142" s="9">
        <v>39.5</v>
      </c>
      <c r="V142" s="9"/>
      <c r="W142" s="9"/>
      <c r="X142" s="9"/>
      <c r="Y142" s="9"/>
      <c r="Z142" s="5"/>
      <c r="AA142" s="5"/>
    </row>
    <row r="143" spans="1:27">
      <c r="A143" s="6" t="s">
        <v>762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9">
        <v>80</v>
      </c>
      <c r="O143" s="9">
        <v>80</v>
      </c>
      <c r="P143" s="9">
        <v>80</v>
      </c>
      <c r="Q143" s="9">
        <v>80</v>
      </c>
      <c r="R143" s="9">
        <v>80</v>
      </c>
      <c r="S143" s="9">
        <v>80</v>
      </c>
      <c r="T143" s="9">
        <v>80</v>
      </c>
      <c r="U143" s="9">
        <v>80</v>
      </c>
      <c r="V143" s="9">
        <v>80</v>
      </c>
      <c r="W143" s="9">
        <v>80</v>
      </c>
      <c r="X143" s="9">
        <v>80</v>
      </c>
      <c r="Y143" s="9">
        <v>80</v>
      </c>
      <c r="Z143" s="5"/>
      <c r="AA143" s="5"/>
    </row>
    <row r="144" spans="1:27">
      <c r="A144" s="4" t="s">
        <v>1</v>
      </c>
      <c r="B144" s="9">
        <v>81.099999999999994</v>
      </c>
      <c r="C144" s="9">
        <v>97.9</v>
      </c>
      <c r="D144" s="9">
        <v>97.2</v>
      </c>
      <c r="E144" s="9">
        <v>97</v>
      </c>
      <c r="F144" s="9"/>
      <c r="G144" s="9"/>
      <c r="H144" s="9"/>
      <c r="I144" s="9"/>
      <c r="J144" s="9"/>
      <c r="K144" s="9"/>
      <c r="L144" s="9">
        <v>58.5</v>
      </c>
      <c r="M144" s="9">
        <v>78.2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8">
        <v>54.7</v>
      </c>
      <c r="AA144" s="8">
        <v>80</v>
      </c>
    </row>
    <row r="145" spans="1:27">
      <c r="A145" s="4" t="s">
        <v>2</v>
      </c>
      <c r="B145" s="9">
        <v>96</v>
      </c>
      <c r="C145" s="9">
        <v>96</v>
      </c>
      <c r="D145" s="9">
        <v>97</v>
      </c>
      <c r="E145" s="9">
        <v>97</v>
      </c>
      <c r="F145" s="9"/>
      <c r="G145" s="9"/>
      <c r="H145" s="9"/>
      <c r="I145" s="9"/>
      <c r="J145" s="9"/>
      <c r="K145" s="9"/>
      <c r="L145" s="9">
        <v>80</v>
      </c>
      <c r="M145" s="9">
        <v>80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/>
      <c r="AA145"/>
    </row>
    <row r="148" spans="1:27">
      <c r="A148" s="7" t="s">
        <v>47</v>
      </c>
    </row>
    <row r="150" spans="1:27" ht="24">
      <c r="A150" s="2" t="s">
        <v>0</v>
      </c>
      <c r="B150" s="35" t="s">
        <v>27</v>
      </c>
      <c r="C150" s="35" t="s">
        <v>17</v>
      </c>
      <c r="D150" s="35" t="s">
        <v>19</v>
      </c>
      <c r="E150" s="35" t="s">
        <v>18</v>
      </c>
      <c r="F150" s="35"/>
      <c r="G150" s="35" t="s">
        <v>20</v>
      </c>
      <c r="H150" s="35" t="s">
        <v>23</v>
      </c>
      <c r="I150" s="35" t="s">
        <v>24</v>
      </c>
      <c r="J150" s="35" t="s">
        <v>26</v>
      </c>
      <c r="K150" s="35" t="s">
        <v>29</v>
      </c>
      <c r="L150" s="35" t="s">
        <v>67</v>
      </c>
      <c r="M150" s="35" t="s">
        <v>758</v>
      </c>
      <c r="N150" s="3">
        <v>42552</v>
      </c>
      <c r="O150" s="3">
        <v>42583</v>
      </c>
      <c r="P150" s="3">
        <v>42614</v>
      </c>
      <c r="Q150" s="3">
        <v>42644</v>
      </c>
      <c r="R150" s="3">
        <v>42675</v>
      </c>
      <c r="S150" s="3">
        <v>42705</v>
      </c>
      <c r="T150" s="3">
        <v>42736</v>
      </c>
      <c r="U150" s="3">
        <v>42767</v>
      </c>
      <c r="V150" s="3">
        <v>42795</v>
      </c>
      <c r="W150" s="3">
        <v>42826</v>
      </c>
      <c r="X150" s="3">
        <v>42856</v>
      </c>
      <c r="Y150" s="3">
        <v>42887</v>
      </c>
      <c r="Z150" s="35" t="s">
        <v>759</v>
      </c>
      <c r="AA150" s="35" t="s">
        <v>760</v>
      </c>
    </row>
    <row r="151" spans="1:27">
      <c r="A151" s="6" t="s">
        <v>761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9">
        <v>100</v>
      </c>
      <c r="O151" s="9">
        <v>100</v>
      </c>
      <c r="P151" s="9">
        <v>100</v>
      </c>
      <c r="Q151" s="9">
        <v>100</v>
      </c>
      <c r="R151" s="9">
        <v>100</v>
      </c>
      <c r="S151" s="9">
        <v>100</v>
      </c>
      <c r="T151" s="9">
        <v>100</v>
      </c>
      <c r="U151" s="9">
        <v>100</v>
      </c>
      <c r="V151" s="9"/>
      <c r="W151" s="9"/>
      <c r="X151" s="9"/>
      <c r="Y151" s="9"/>
      <c r="Z151" s="5"/>
      <c r="AA151" s="5"/>
    </row>
    <row r="152" spans="1:27">
      <c r="A152" s="6" t="s">
        <v>762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9">
        <v>80</v>
      </c>
      <c r="O152" s="9">
        <v>80</v>
      </c>
      <c r="P152" s="9">
        <v>80</v>
      </c>
      <c r="Q152" s="9">
        <v>80</v>
      </c>
      <c r="R152" s="9">
        <v>80</v>
      </c>
      <c r="S152" s="9">
        <v>80</v>
      </c>
      <c r="T152" s="9">
        <v>80</v>
      </c>
      <c r="U152" s="9">
        <v>80</v>
      </c>
      <c r="V152" s="9">
        <v>80</v>
      </c>
      <c r="W152" s="9">
        <v>80</v>
      </c>
      <c r="X152" s="9">
        <v>80</v>
      </c>
      <c r="Y152" s="9">
        <v>80</v>
      </c>
      <c r="Z152" s="5"/>
      <c r="AA152" s="5"/>
    </row>
    <row r="153" spans="1:27">
      <c r="A153" s="4" t="s">
        <v>1</v>
      </c>
      <c r="B153" s="9">
        <v>81.099999999999994</v>
      </c>
      <c r="C153" s="9">
        <v>97.9</v>
      </c>
      <c r="D153" s="9">
        <v>97.2</v>
      </c>
      <c r="E153" s="9">
        <v>97</v>
      </c>
      <c r="F153" s="9"/>
      <c r="G153" s="9"/>
      <c r="H153" s="9"/>
      <c r="I153" s="9"/>
      <c r="J153" s="9"/>
      <c r="K153" s="9"/>
      <c r="L153" s="9">
        <v>83.7</v>
      </c>
      <c r="M153" s="9">
        <v>70.900000000000006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8">
        <v>100</v>
      </c>
      <c r="AA153" s="8">
        <v>80</v>
      </c>
    </row>
    <row r="154" spans="1:27">
      <c r="A154" s="4" t="s">
        <v>2</v>
      </c>
      <c r="B154" s="9">
        <v>96</v>
      </c>
      <c r="C154" s="9">
        <v>96</v>
      </c>
      <c r="D154" s="9">
        <v>97</v>
      </c>
      <c r="E154" s="9">
        <v>97</v>
      </c>
      <c r="F154" s="9"/>
      <c r="G154" s="9"/>
      <c r="H154" s="9"/>
      <c r="I154" s="9"/>
      <c r="J154" s="9"/>
      <c r="K154" s="9"/>
      <c r="L154" s="9">
        <v>80</v>
      </c>
      <c r="M154" s="9">
        <v>80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/>
      <c r="AA154"/>
    </row>
    <row r="158" spans="1:27">
      <c r="A158" s="7" t="s">
        <v>764</v>
      </c>
    </row>
    <row r="160" spans="1:27" ht="24">
      <c r="A160" s="2" t="s">
        <v>0</v>
      </c>
      <c r="B160" s="35" t="s">
        <v>27</v>
      </c>
      <c r="C160" s="35" t="s">
        <v>17</v>
      </c>
      <c r="D160" s="35" t="s">
        <v>19</v>
      </c>
      <c r="E160" s="35" t="s">
        <v>18</v>
      </c>
      <c r="F160" s="35"/>
      <c r="G160" s="35" t="s">
        <v>20</v>
      </c>
      <c r="H160" s="35" t="s">
        <v>23</v>
      </c>
      <c r="I160" s="35" t="s">
        <v>24</v>
      </c>
      <c r="J160" s="35" t="s">
        <v>26</v>
      </c>
      <c r="K160" s="35" t="s">
        <v>29</v>
      </c>
      <c r="L160" s="35" t="s">
        <v>67</v>
      </c>
      <c r="M160" s="35" t="s">
        <v>758</v>
      </c>
      <c r="N160" s="3">
        <v>42552</v>
      </c>
      <c r="O160" s="3">
        <v>42583</v>
      </c>
      <c r="P160" s="3">
        <v>42614</v>
      </c>
      <c r="Q160" s="3">
        <v>42644</v>
      </c>
      <c r="R160" s="3">
        <v>42675</v>
      </c>
      <c r="S160" s="3">
        <v>42705</v>
      </c>
      <c r="T160" s="3">
        <v>42736</v>
      </c>
      <c r="U160" s="3">
        <v>42767</v>
      </c>
      <c r="V160" s="3">
        <v>42795</v>
      </c>
      <c r="W160" s="3">
        <v>42826</v>
      </c>
      <c r="X160" s="3">
        <v>42856</v>
      </c>
      <c r="Y160" s="3">
        <v>42887</v>
      </c>
      <c r="Z160" s="35" t="s">
        <v>759</v>
      </c>
      <c r="AA160" s="35" t="s">
        <v>760</v>
      </c>
    </row>
    <row r="161" spans="1:27">
      <c r="A161" s="6" t="s">
        <v>761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9">
        <v>20</v>
      </c>
      <c r="O161" s="9">
        <v>22.2</v>
      </c>
      <c r="P161" s="9">
        <v>57.1</v>
      </c>
      <c r="Q161" s="9">
        <v>70.8</v>
      </c>
      <c r="R161" s="9">
        <v>93.9</v>
      </c>
      <c r="S161" s="9">
        <v>82.4</v>
      </c>
      <c r="T161" s="9">
        <v>58.8</v>
      </c>
      <c r="U161" s="9">
        <v>12.5</v>
      </c>
      <c r="V161" s="9"/>
      <c r="W161" s="9"/>
      <c r="X161" s="9"/>
      <c r="Y161" s="9"/>
      <c r="Z161" s="5"/>
      <c r="AA161" s="5"/>
    </row>
    <row r="162" spans="1:27">
      <c r="A162" s="6" t="s">
        <v>762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9">
        <v>80</v>
      </c>
      <c r="O162" s="9">
        <v>80</v>
      </c>
      <c r="P162" s="9">
        <v>80</v>
      </c>
      <c r="Q162" s="9">
        <v>80</v>
      </c>
      <c r="R162" s="9">
        <v>80</v>
      </c>
      <c r="S162" s="9">
        <v>80</v>
      </c>
      <c r="T162" s="9">
        <v>80</v>
      </c>
      <c r="U162" s="9">
        <v>80</v>
      </c>
      <c r="V162" s="9">
        <v>80</v>
      </c>
      <c r="W162" s="9">
        <v>80</v>
      </c>
      <c r="X162" s="9">
        <v>80</v>
      </c>
      <c r="Y162" s="9">
        <v>80</v>
      </c>
      <c r="Z162" s="5"/>
      <c r="AA162" s="5"/>
    </row>
    <row r="163" spans="1:27">
      <c r="A163" s="4" t="s">
        <v>1</v>
      </c>
      <c r="B163" s="9">
        <v>81.099999999999994</v>
      </c>
      <c r="C163" s="9">
        <v>97.9</v>
      </c>
      <c r="D163" s="9">
        <v>97.2</v>
      </c>
      <c r="E163" s="9">
        <v>97</v>
      </c>
      <c r="F163" s="9"/>
      <c r="G163" s="9"/>
      <c r="H163" s="9"/>
      <c r="I163" s="9"/>
      <c r="J163" s="9"/>
      <c r="K163" s="9"/>
      <c r="L163" s="9"/>
      <c r="M163" s="9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8">
        <v>53.6</v>
      </c>
      <c r="AA163" s="8">
        <v>80</v>
      </c>
    </row>
    <row r="164" spans="1:27">
      <c r="A164" s="4" t="s">
        <v>2</v>
      </c>
      <c r="B164" s="9">
        <v>96</v>
      </c>
      <c r="C164" s="9">
        <v>96</v>
      </c>
      <c r="D164" s="9">
        <v>97</v>
      </c>
      <c r="E164" s="9">
        <v>97</v>
      </c>
      <c r="F164" s="9"/>
      <c r="G164" s="9"/>
      <c r="H164" s="9"/>
      <c r="I164" s="9"/>
      <c r="J164" s="9"/>
      <c r="K164" s="9"/>
      <c r="L164" s="9">
        <v>80</v>
      </c>
      <c r="M164" s="9">
        <v>80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/>
      <c r="AA164"/>
    </row>
  </sheetData>
  <phoneticPr fontId="3" type="noConversion"/>
  <pageMargins left="0.78740157499999996" right="0.78740157499999996" top="0.984251969" bottom="0.984251969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35"/>
  <sheetViews>
    <sheetView showGridLines="0" zoomScaleNormal="100" workbookViewId="0"/>
  </sheetViews>
  <sheetFormatPr defaultRowHeight="12.75"/>
  <cols>
    <col min="1" max="1" width="2.5703125" customWidth="1"/>
    <col min="2" max="17" width="12.140625" customWidth="1"/>
    <col min="18" max="18" width="1.5703125" customWidth="1"/>
  </cols>
  <sheetData>
    <row r="1" spans="2:17" ht="30.75">
      <c r="B1" s="27" t="s">
        <v>3</v>
      </c>
    </row>
    <row r="2" spans="2:17" ht="27" thickBot="1">
      <c r="B2" s="28" t="s">
        <v>805</v>
      </c>
    </row>
    <row r="3" spans="2:17" ht="15.95" customHeight="1">
      <c r="B3" s="15"/>
      <c r="C3" s="11"/>
      <c r="D3" s="11"/>
      <c r="E3" s="11"/>
      <c r="F3" s="11"/>
      <c r="G3" s="11"/>
      <c r="H3" s="11"/>
      <c r="I3" s="16"/>
      <c r="J3" s="15"/>
      <c r="K3" s="11"/>
      <c r="L3" s="11"/>
      <c r="M3" s="11"/>
      <c r="N3" s="11"/>
      <c r="O3" s="11"/>
      <c r="P3" s="11"/>
      <c r="Q3" s="16"/>
    </row>
    <row r="4" spans="2:17" ht="15.95" customHeight="1">
      <c r="B4" s="17"/>
      <c r="C4" s="13"/>
      <c r="D4" s="13"/>
      <c r="E4" s="13"/>
      <c r="F4" s="13"/>
      <c r="G4" s="13"/>
      <c r="H4" s="13"/>
      <c r="I4" s="18"/>
      <c r="J4" s="17"/>
      <c r="K4" s="13"/>
      <c r="L4" s="13"/>
      <c r="M4" s="13"/>
      <c r="N4" s="13"/>
      <c r="O4" s="13"/>
      <c r="P4" s="13"/>
      <c r="Q4" s="18"/>
    </row>
    <row r="5" spans="2:17" ht="15.95" customHeight="1">
      <c r="B5" s="17"/>
      <c r="C5" s="13"/>
      <c r="D5" s="13"/>
      <c r="E5" s="13"/>
      <c r="F5" s="13"/>
      <c r="G5" s="13"/>
      <c r="H5" s="13"/>
      <c r="I5" s="18"/>
      <c r="J5" s="17"/>
      <c r="K5" s="13"/>
      <c r="L5" s="13"/>
      <c r="M5" s="13"/>
      <c r="N5" s="13"/>
      <c r="O5" s="13"/>
      <c r="P5" s="13"/>
      <c r="Q5" s="18"/>
    </row>
    <row r="6" spans="2:17" ht="15.95" customHeight="1">
      <c r="B6" s="17"/>
      <c r="C6" s="13"/>
      <c r="D6" s="13"/>
      <c r="E6" s="13"/>
      <c r="F6" s="13"/>
      <c r="G6" s="13"/>
      <c r="H6" s="13"/>
      <c r="I6" s="18"/>
      <c r="J6" s="17"/>
      <c r="K6" s="13"/>
      <c r="L6" s="13"/>
      <c r="M6" s="13"/>
      <c r="N6" s="13"/>
      <c r="O6" s="13"/>
      <c r="P6" s="13"/>
      <c r="Q6" s="18"/>
    </row>
    <row r="7" spans="2:17" ht="15.95" customHeight="1">
      <c r="B7" s="17"/>
      <c r="C7" s="13"/>
      <c r="D7" s="13"/>
      <c r="E7" s="13"/>
      <c r="F7" s="13"/>
      <c r="G7" s="13"/>
      <c r="H7" s="13"/>
      <c r="I7" s="18"/>
      <c r="J7" s="17"/>
      <c r="K7" s="13"/>
      <c r="L7" s="13"/>
      <c r="M7" s="13"/>
      <c r="N7" s="13"/>
      <c r="O7" s="13"/>
      <c r="P7" s="13"/>
      <c r="Q7" s="18"/>
    </row>
    <row r="8" spans="2:17" ht="15.95" customHeight="1">
      <c r="B8" s="17"/>
      <c r="C8" s="13"/>
      <c r="D8" s="13"/>
      <c r="E8" s="13"/>
      <c r="F8" s="13"/>
      <c r="G8" s="13"/>
      <c r="H8" s="13"/>
      <c r="I8" s="18"/>
      <c r="J8" s="17"/>
      <c r="K8" s="13"/>
      <c r="L8" s="13"/>
      <c r="M8" s="13"/>
      <c r="N8" s="13"/>
      <c r="O8" s="13"/>
      <c r="P8" s="13"/>
      <c r="Q8" s="18"/>
    </row>
    <row r="9" spans="2:17" ht="15.95" customHeight="1">
      <c r="B9" s="17"/>
      <c r="C9" s="13"/>
      <c r="D9" s="13"/>
      <c r="E9" s="13"/>
      <c r="F9" s="13"/>
      <c r="G9" s="13"/>
      <c r="H9" s="13"/>
      <c r="I9" s="18"/>
      <c r="J9" s="17"/>
      <c r="K9" s="13"/>
      <c r="L9" s="13"/>
      <c r="M9" s="13"/>
      <c r="N9" s="13"/>
      <c r="O9" s="13"/>
      <c r="P9" s="13"/>
      <c r="Q9" s="18"/>
    </row>
    <row r="10" spans="2:17" ht="15.95" customHeight="1">
      <c r="B10" s="17"/>
      <c r="C10" s="13"/>
      <c r="D10" s="13"/>
      <c r="E10" s="13"/>
      <c r="F10" s="13"/>
      <c r="G10" s="13"/>
      <c r="H10" s="13"/>
      <c r="I10" s="18"/>
      <c r="J10" s="17"/>
      <c r="K10" s="13"/>
      <c r="L10" s="13"/>
      <c r="M10" s="13"/>
      <c r="N10" s="13"/>
      <c r="O10" s="13"/>
      <c r="P10" s="13"/>
      <c r="Q10" s="18"/>
    </row>
    <row r="11" spans="2:17" ht="15.95" customHeight="1">
      <c r="B11" s="17"/>
      <c r="C11" s="13"/>
      <c r="D11" s="13"/>
      <c r="E11" s="13"/>
      <c r="F11" s="13"/>
      <c r="G11" s="13"/>
      <c r="H11" s="13"/>
      <c r="I11" s="18"/>
      <c r="J11" s="17"/>
      <c r="K11" s="13"/>
      <c r="L11" s="13"/>
      <c r="M11" s="13"/>
      <c r="N11" s="13"/>
      <c r="O11" s="13"/>
      <c r="P11" s="13"/>
      <c r="Q11" s="18"/>
    </row>
    <row r="12" spans="2:17" ht="15.95" customHeight="1">
      <c r="B12" s="17"/>
      <c r="C12" s="13"/>
      <c r="D12" s="13"/>
      <c r="E12" s="13"/>
      <c r="F12" s="13"/>
      <c r="G12" s="13"/>
      <c r="H12" s="13"/>
      <c r="I12" s="18"/>
      <c r="J12" s="17"/>
      <c r="K12" s="13"/>
      <c r="L12" s="13"/>
      <c r="M12" s="13"/>
      <c r="N12" s="13"/>
      <c r="O12" s="13"/>
      <c r="P12" s="13"/>
      <c r="Q12" s="18"/>
    </row>
    <row r="13" spans="2:17" ht="15.95" customHeight="1">
      <c r="B13" s="17"/>
      <c r="C13" s="13"/>
      <c r="D13" s="13"/>
      <c r="E13" s="13"/>
      <c r="F13" s="13"/>
      <c r="G13" s="13"/>
      <c r="H13" s="13"/>
      <c r="I13" s="18"/>
      <c r="J13" s="17"/>
      <c r="K13" s="13"/>
      <c r="L13" s="13"/>
      <c r="M13" s="13"/>
      <c r="N13" s="13"/>
      <c r="O13" s="13"/>
      <c r="P13" s="13"/>
      <c r="Q13" s="18"/>
    </row>
    <row r="14" spans="2:17" ht="15.95" customHeight="1">
      <c r="B14" s="17"/>
      <c r="C14" s="13"/>
      <c r="D14" s="13"/>
      <c r="E14" s="13"/>
      <c r="F14" s="13"/>
      <c r="G14" s="13"/>
      <c r="H14" s="13"/>
      <c r="I14" s="40"/>
      <c r="J14" s="17"/>
      <c r="K14" s="13"/>
      <c r="L14" s="13"/>
      <c r="M14" s="13"/>
      <c r="N14" s="13"/>
      <c r="O14" s="13"/>
      <c r="P14" s="13"/>
      <c r="Q14" s="40"/>
    </row>
    <row r="15" spans="2:17" ht="15.95" customHeight="1">
      <c r="B15" s="17"/>
      <c r="C15" s="13"/>
      <c r="D15" s="13"/>
      <c r="E15" s="13"/>
      <c r="F15" s="13"/>
      <c r="G15" s="13"/>
      <c r="H15" s="13"/>
      <c r="I15" s="18"/>
      <c r="J15" s="17"/>
      <c r="K15" s="13"/>
      <c r="L15" s="13"/>
      <c r="M15" s="13"/>
      <c r="N15" s="13"/>
      <c r="O15" s="13"/>
      <c r="P15" s="13"/>
      <c r="Q15" s="18"/>
    </row>
    <row r="16" spans="2:17" ht="15.95" customHeight="1">
      <c r="B16" s="17"/>
      <c r="C16" s="13"/>
      <c r="D16" s="13"/>
      <c r="E16" s="13"/>
      <c r="F16" s="13"/>
      <c r="G16" s="13"/>
      <c r="H16" s="13"/>
      <c r="I16" s="18"/>
      <c r="J16" s="17"/>
      <c r="K16" s="13"/>
      <c r="L16" s="13"/>
      <c r="M16" s="13"/>
      <c r="N16" s="13"/>
      <c r="O16" s="13"/>
      <c r="P16" s="13"/>
      <c r="Q16" s="18"/>
    </row>
    <row r="17" spans="2:17" ht="15.95" customHeight="1">
      <c r="B17" s="17"/>
      <c r="C17" s="13"/>
      <c r="D17" s="13"/>
      <c r="E17" s="13"/>
      <c r="F17" s="13"/>
      <c r="G17" s="13"/>
      <c r="H17" s="13"/>
      <c r="I17" s="18"/>
      <c r="J17" s="17"/>
      <c r="K17" s="13"/>
      <c r="L17" s="13"/>
      <c r="M17" s="13"/>
      <c r="N17" s="13"/>
      <c r="O17" s="13"/>
      <c r="P17" s="13"/>
      <c r="Q17" s="18"/>
    </row>
    <row r="18" spans="2:17" ht="15.95" customHeight="1">
      <c r="B18" s="17"/>
      <c r="C18" s="13"/>
      <c r="D18" s="13"/>
      <c r="E18" s="13"/>
      <c r="F18" s="13"/>
      <c r="G18" s="13"/>
      <c r="H18" s="13"/>
      <c r="I18" s="18"/>
      <c r="J18" s="17"/>
      <c r="K18" s="13"/>
      <c r="L18" s="13"/>
      <c r="M18" s="13"/>
      <c r="N18" s="13"/>
      <c r="O18" s="13"/>
      <c r="P18" s="13"/>
      <c r="Q18" s="18"/>
    </row>
    <row r="19" spans="2:17" ht="15.95" customHeight="1">
      <c r="B19" s="17"/>
      <c r="C19" s="13"/>
      <c r="D19" s="13"/>
      <c r="E19" s="13"/>
      <c r="F19" s="13"/>
      <c r="G19" s="13"/>
      <c r="H19" s="13"/>
      <c r="I19" s="18"/>
      <c r="J19" s="17"/>
      <c r="K19" s="13"/>
      <c r="L19" s="13"/>
      <c r="M19" s="13"/>
      <c r="N19" s="13"/>
      <c r="O19" s="13"/>
      <c r="P19" s="13"/>
      <c r="Q19" s="18"/>
    </row>
    <row r="20" spans="2:17" ht="15.95" customHeight="1" thickBot="1">
      <c r="B20" s="20"/>
      <c r="C20" s="10"/>
      <c r="D20" s="10"/>
      <c r="E20" s="10"/>
      <c r="F20" s="10"/>
      <c r="G20" s="10"/>
      <c r="H20" s="10"/>
      <c r="I20" s="19"/>
      <c r="J20" s="20"/>
      <c r="K20" s="10"/>
      <c r="L20" s="10"/>
      <c r="M20" s="10"/>
      <c r="N20" s="10"/>
      <c r="O20" s="10"/>
      <c r="P20" s="10"/>
      <c r="Q20" s="19"/>
    </row>
    <row r="21" spans="2:17" ht="15.95" customHeight="1">
      <c r="B21" s="15"/>
      <c r="C21" s="11"/>
      <c r="D21" s="11"/>
      <c r="E21" s="11"/>
      <c r="F21" s="11"/>
      <c r="G21" s="11"/>
      <c r="H21" s="11"/>
      <c r="I21" s="16"/>
      <c r="J21" s="15"/>
      <c r="K21" s="11"/>
      <c r="L21" s="11"/>
      <c r="M21" s="11"/>
      <c r="N21" s="11"/>
      <c r="O21" s="11"/>
      <c r="P21" s="11"/>
      <c r="Q21" s="16"/>
    </row>
    <row r="22" spans="2:17" ht="15.95" customHeight="1">
      <c r="B22" s="17"/>
      <c r="C22" s="13"/>
      <c r="D22" s="13"/>
      <c r="E22" s="13"/>
      <c r="F22" s="13"/>
      <c r="G22" s="13"/>
      <c r="H22" s="13"/>
      <c r="I22" s="18"/>
      <c r="J22" s="17"/>
      <c r="K22" s="13"/>
      <c r="L22" s="13"/>
      <c r="M22" s="13"/>
      <c r="N22" s="13"/>
      <c r="O22" s="13"/>
      <c r="P22" s="13"/>
      <c r="Q22" s="18"/>
    </row>
    <row r="23" spans="2:17" ht="15.95" customHeight="1">
      <c r="B23" s="17"/>
      <c r="C23" s="13"/>
      <c r="D23" s="13"/>
      <c r="E23" s="13"/>
      <c r="F23" s="13"/>
      <c r="G23" s="13"/>
      <c r="H23" s="13"/>
      <c r="I23" s="18"/>
      <c r="J23" s="17"/>
      <c r="K23" s="13"/>
      <c r="L23" s="13"/>
      <c r="M23" s="13"/>
      <c r="N23" s="13"/>
      <c r="O23" s="13"/>
      <c r="P23" s="13"/>
      <c r="Q23" s="18"/>
    </row>
    <row r="24" spans="2:17" ht="15.95" customHeight="1">
      <c r="B24" s="17"/>
      <c r="C24" s="13"/>
      <c r="D24" s="13"/>
      <c r="E24" s="13"/>
      <c r="F24" s="13"/>
      <c r="G24" s="13"/>
      <c r="H24" s="13"/>
      <c r="I24" s="18"/>
      <c r="J24" s="17"/>
      <c r="K24" s="13"/>
      <c r="L24" s="13"/>
      <c r="M24" s="13"/>
      <c r="N24" s="13"/>
      <c r="O24" s="13"/>
      <c r="P24" s="13"/>
      <c r="Q24" s="18"/>
    </row>
    <row r="25" spans="2:17" ht="15.95" customHeight="1">
      <c r="B25" s="17"/>
      <c r="C25" s="13"/>
      <c r="D25" s="13"/>
      <c r="E25" s="13"/>
      <c r="F25" s="13"/>
      <c r="G25" s="13"/>
      <c r="H25" s="13"/>
      <c r="I25" s="18"/>
      <c r="J25" s="17"/>
      <c r="K25" s="13"/>
      <c r="L25" s="13"/>
      <c r="M25" s="13"/>
      <c r="N25" s="13"/>
      <c r="O25" s="13"/>
      <c r="P25" s="13"/>
      <c r="Q25" s="18"/>
    </row>
    <row r="26" spans="2:17" ht="15.95" customHeight="1">
      <c r="B26" s="17"/>
      <c r="C26" s="13"/>
      <c r="D26" s="13"/>
      <c r="E26" s="13"/>
      <c r="F26" s="13"/>
      <c r="G26" s="13"/>
      <c r="H26" s="13"/>
      <c r="I26" s="18"/>
      <c r="J26" s="17"/>
      <c r="K26" s="13"/>
      <c r="L26" s="13"/>
      <c r="M26" s="13"/>
      <c r="N26" s="13"/>
      <c r="O26" s="13"/>
      <c r="P26" s="13"/>
      <c r="Q26" s="18"/>
    </row>
    <row r="27" spans="2:17" ht="15.95" customHeight="1">
      <c r="B27" s="17"/>
      <c r="C27" s="13"/>
      <c r="D27" s="13"/>
      <c r="E27" s="13"/>
      <c r="F27" s="13"/>
      <c r="G27" s="13"/>
      <c r="H27" s="13"/>
      <c r="I27" s="18"/>
      <c r="J27" s="17"/>
      <c r="K27" s="13"/>
      <c r="L27" s="13"/>
      <c r="M27" s="13"/>
      <c r="N27" s="13"/>
      <c r="O27" s="13"/>
      <c r="P27" s="13"/>
      <c r="Q27" s="18"/>
    </row>
    <row r="28" spans="2:17" ht="15.95" customHeight="1">
      <c r="B28" s="17"/>
      <c r="C28" s="13"/>
      <c r="D28" s="13"/>
      <c r="E28" s="13"/>
      <c r="F28" s="13"/>
      <c r="G28" s="13"/>
      <c r="H28" s="13"/>
      <c r="I28" s="18"/>
      <c r="J28" s="17"/>
      <c r="K28" s="13"/>
      <c r="L28" s="13"/>
      <c r="M28" s="13"/>
      <c r="N28" s="13"/>
      <c r="O28" s="13"/>
      <c r="P28" s="13"/>
      <c r="Q28" s="18"/>
    </row>
    <row r="29" spans="2:17" ht="15.95" customHeight="1">
      <c r="B29" s="17"/>
      <c r="C29" s="13"/>
      <c r="D29" s="13"/>
      <c r="E29" s="13"/>
      <c r="F29" s="13"/>
      <c r="G29" s="13"/>
      <c r="H29" s="13"/>
      <c r="I29" s="18"/>
      <c r="J29" s="17"/>
      <c r="K29" s="13"/>
      <c r="L29" s="13"/>
      <c r="M29" s="13"/>
      <c r="N29" s="13"/>
      <c r="O29" s="13"/>
      <c r="P29" s="13"/>
      <c r="Q29" s="18"/>
    </row>
    <row r="30" spans="2:17" ht="15.95" customHeight="1">
      <c r="B30" s="17"/>
      <c r="C30" s="13"/>
      <c r="D30" s="13"/>
      <c r="E30" s="13"/>
      <c r="F30" s="13"/>
      <c r="G30" s="13"/>
      <c r="H30" s="13"/>
      <c r="I30" s="18"/>
      <c r="J30" s="17"/>
      <c r="K30" s="13"/>
      <c r="L30" s="13"/>
      <c r="M30" s="13"/>
      <c r="N30" s="13"/>
      <c r="O30" s="13"/>
      <c r="P30" s="13"/>
      <c r="Q30" s="18"/>
    </row>
    <row r="31" spans="2:17" ht="15.95" customHeight="1">
      <c r="B31" s="17"/>
      <c r="C31" s="13"/>
      <c r="D31" s="13"/>
      <c r="E31" s="13"/>
      <c r="F31" s="13"/>
      <c r="G31" s="13"/>
      <c r="H31" s="13"/>
      <c r="I31" s="18"/>
      <c r="J31" s="17"/>
      <c r="K31" s="13"/>
      <c r="L31" s="13"/>
      <c r="M31" s="13"/>
      <c r="N31" s="13"/>
      <c r="O31" s="13"/>
      <c r="P31" s="13"/>
      <c r="Q31" s="18"/>
    </row>
    <row r="32" spans="2:17" ht="15.95" customHeight="1">
      <c r="B32" s="17"/>
      <c r="C32" s="13"/>
      <c r="D32" s="13"/>
      <c r="E32" s="13"/>
      <c r="F32" s="13"/>
      <c r="G32" s="13"/>
      <c r="H32" s="13"/>
      <c r="I32" s="40"/>
      <c r="J32" s="17"/>
      <c r="K32" s="13"/>
      <c r="L32" s="13"/>
      <c r="M32" s="13"/>
      <c r="N32" s="13"/>
      <c r="O32" s="13"/>
      <c r="P32" s="13"/>
      <c r="Q32" s="40"/>
    </row>
    <row r="33" spans="2:17" ht="15.95" customHeight="1">
      <c r="B33" s="17"/>
      <c r="C33" s="13"/>
      <c r="D33" s="13"/>
      <c r="E33" s="13"/>
      <c r="F33" s="13"/>
      <c r="G33" s="13"/>
      <c r="H33" s="13"/>
      <c r="I33" s="18"/>
      <c r="J33" s="17"/>
      <c r="K33" s="13"/>
      <c r="L33" s="13"/>
      <c r="M33" s="13"/>
      <c r="N33" s="13"/>
      <c r="O33" s="13"/>
      <c r="P33" s="13"/>
      <c r="Q33" s="18"/>
    </row>
    <row r="34" spans="2:17" ht="15.95" customHeight="1">
      <c r="B34" s="17"/>
      <c r="C34" s="13"/>
      <c r="D34" s="13"/>
      <c r="E34" s="13"/>
      <c r="F34" s="13"/>
      <c r="G34" s="13"/>
      <c r="H34" s="13"/>
      <c r="I34" s="18"/>
      <c r="J34" s="17"/>
      <c r="K34" s="13"/>
      <c r="L34" s="13"/>
      <c r="M34" s="13"/>
      <c r="N34" s="13"/>
      <c r="O34" s="13"/>
      <c r="P34" s="13"/>
      <c r="Q34" s="18"/>
    </row>
    <row r="35" spans="2:17" ht="15.95" customHeight="1">
      <c r="B35" s="17"/>
      <c r="C35" s="13"/>
      <c r="D35" s="13"/>
      <c r="E35" s="13"/>
      <c r="F35" s="13"/>
      <c r="G35" s="13"/>
      <c r="H35" s="13"/>
      <c r="I35" s="18"/>
      <c r="J35" s="17"/>
      <c r="K35" s="13"/>
      <c r="L35" s="13"/>
      <c r="M35" s="13"/>
      <c r="N35" s="13"/>
      <c r="O35" s="13"/>
      <c r="P35" s="13"/>
      <c r="Q35" s="18"/>
    </row>
    <row r="36" spans="2:17" ht="15.95" customHeight="1">
      <c r="B36" s="17"/>
      <c r="C36" s="13"/>
      <c r="D36" s="13"/>
      <c r="E36" s="13"/>
      <c r="F36" s="13"/>
      <c r="G36" s="13"/>
      <c r="H36" s="13"/>
      <c r="I36" s="18"/>
      <c r="J36" s="17"/>
      <c r="K36" s="13"/>
      <c r="L36" s="13"/>
      <c r="M36" s="13"/>
      <c r="N36" s="13"/>
      <c r="O36" s="13"/>
      <c r="P36" s="13"/>
      <c r="Q36" s="18"/>
    </row>
    <row r="37" spans="2:17" ht="15.95" customHeight="1">
      <c r="B37" s="17"/>
      <c r="C37" s="13"/>
      <c r="D37" s="13"/>
      <c r="E37" s="13"/>
      <c r="F37" s="13"/>
      <c r="G37" s="13"/>
      <c r="H37" s="13"/>
      <c r="I37" s="18"/>
      <c r="J37" s="17"/>
      <c r="K37" s="13"/>
      <c r="L37" s="13"/>
      <c r="M37" s="13"/>
      <c r="N37" s="13"/>
      <c r="O37" s="13"/>
      <c r="P37" s="13"/>
      <c r="Q37" s="18"/>
    </row>
    <row r="38" spans="2:17" ht="15.95" customHeight="1" thickBot="1">
      <c r="B38" s="20"/>
      <c r="C38" s="10"/>
      <c r="D38" s="10"/>
      <c r="E38" s="10"/>
      <c r="F38" s="10"/>
      <c r="G38" s="10"/>
      <c r="H38" s="10"/>
      <c r="I38" s="19"/>
      <c r="J38" s="20"/>
      <c r="K38" s="10"/>
      <c r="L38" s="10"/>
      <c r="M38" s="10"/>
      <c r="N38" s="10"/>
      <c r="O38" s="10"/>
      <c r="P38" s="10"/>
      <c r="Q38" s="19"/>
    </row>
    <row r="39" spans="2:17" ht="15.95" customHeight="1">
      <c r="B39" s="15"/>
      <c r="C39" s="11"/>
      <c r="D39" s="11"/>
      <c r="E39" s="11"/>
      <c r="F39" s="11"/>
      <c r="G39" s="11"/>
      <c r="H39" s="11"/>
      <c r="I39" s="16"/>
      <c r="J39" s="15"/>
      <c r="K39" s="11"/>
      <c r="L39" s="11"/>
      <c r="M39" s="11"/>
      <c r="N39" s="11"/>
      <c r="O39" s="11"/>
      <c r="P39" s="11"/>
      <c r="Q39" s="16"/>
    </row>
    <row r="40" spans="2:17" ht="15.95" customHeight="1">
      <c r="B40" s="17"/>
      <c r="C40" s="13"/>
      <c r="D40" s="13"/>
      <c r="E40" s="13"/>
      <c r="F40" s="13"/>
      <c r="G40" s="13"/>
      <c r="H40" s="13"/>
      <c r="I40" s="18"/>
      <c r="J40" s="17"/>
      <c r="K40" s="13"/>
      <c r="L40" s="13"/>
      <c r="M40" s="13"/>
      <c r="N40" s="13"/>
      <c r="O40" s="13"/>
      <c r="P40" s="13"/>
      <c r="Q40" s="18"/>
    </row>
    <row r="41" spans="2:17" ht="15.95" customHeight="1">
      <c r="B41" s="17"/>
      <c r="C41" s="13"/>
      <c r="D41" s="13"/>
      <c r="E41" s="13"/>
      <c r="F41" s="13"/>
      <c r="G41" s="13"/>
      <c r="H41" s="13"/>
      <c r="I41" s="18"/>
      <c r="J41" s="17"/>
      <c r="K41" s="13"/>
      <c r="L41" s="13"/>
      <c r="M41" s="13"/>
      <c r="N41" s="13"/>
      <c r="O41" s="13"/>
      <c r="P41" s="13"/>
      <c r="Q41" s="18"/>
    </row>
    <row r="42" spans="2:17" ht="15.95" customHeight="1">
      <c r="B42" s="17"/>
      <c r="C42" s="13"/>
      <c r="D42" s="13"/>
      <c r="E42" s="13"/>
      <c r="F42" s="13"/>
      <c r="G42" s="13"/>
      <c r="H42" s="13"/>
      <c r="I42" s="18"/>
      <c r="J42" s="17"/>
      <c r="K42" s="13"/>
      <c r="L42" s="13"/>
      <c r="M42" s="13"/>
      <c r="N42" s="13"/>
      <c r="O42" s="13"/>
      <c r="P42" s="13"/>
      <c r="Q42" s="18"/>
    </row>
    <row r="43" spans="2:17" ht="15.95" customHeight="1">
      <c r="B43" s="17"/>
      <c r="C43" s="13"/>
      <c r="D43" s="13"/>
      <c r="E43" s="13"/>
      <c r="F43" s="13"/>
      <c r="G43" s="13"/>
      <c r="H43" s="13"/>
      <c r="I43" s="18"/>
      <c r="J43" s="17"/>
      <c r="K43" s="13"/>
      <c r="L43" s="13"/>
      <c r="M43" s="13"/>
      <c r="N43" s="13"/>
      <c r="O43" s="13"/>
      <c r="P43" s="13"/>
      <c r="Q43" s="18"/>
    </row>
    <row r="44" spans="2:17" ht="15.95" customHeight="1">
      <c r="B44" s="17"/>
      <c r="C44" s="13"/>
      <c r="D44" s="13"/>
      <c r="E44" s="13"/>
      <c r="F44" s="13"/>
      <c r="G44" s="13"/>
      <c r="H44" s="13"/>
      <c r="I44" s="18"/>
      <c r="J44" s="17"/>
      <c r="K44" s="13"/>
      <c r="L44" s="13"/>
      <c r="M44" s="13"/>
      <c r="N44" s="13"/>
      <c r="O44" s="13"/>
      <c r="P44" s="13"/>
      <c r="Q44" s="18"/>
    </row>
    <row r="45" spans="2:17" ht="15.95" customHeight="1">
      <c r="B45" s="17"/>
      <c r="C45" s="13"/>
      <c r="D45" s="13"/>
      <c r="E45" s="13"/>
      <c r="F45" s="13"/>
      <c r="G45" s="13"/>
      <c r="H45" s="13"/>
      <c r="I45" s="18"/>
      <c r="J45" s="17"/>
      <c r="K45" s="13"/>
      <c r="L45" s="13"/>
      <c r="M45" s="13"/>
      <c r="N45" s="13"/>
      <c r="O45" s="13"/>
      <c r="P45" s="13"/>
      <c r="Q45" s="18"/>
    </row>
    <row r="46" spans="2:17" ht="15.95" customHeight="1">
      <c r="B46" s="17"/>
      <c r="C46" s="13"/>
      <c r="D46" s="13"/>
      <c r="E46" s="13"/>
      <c r="F46" s="13"/>
      <c r="G46" s="13"/>
      <c r="H46" s="13"/>
      <c r="I46" s="18"/>
      <c r="J46" s="17"/>
      <c r="K46" s="13"/>
      <c r="L46" s="13"/>
      <c r="M46" s="13"/>
      <c r="N46" s="13"/>
      <c r="O46" s="13"/>
      <c r="P46" s="13"/>
      <c r="Q46" s="18"/>
    </row>
    <row r="47" spans="2:17" ht="15.95" customHeight="1">
      <c r="B47" s="17"/>
      <c r="C47" s="13"/>
      <c r="D47" s="13"/>
      <c r="E47" s="13"/>
      <c r="F47" s="13"/>
      <c r="G47" s="13"/>
      <c r="H47" s="13"/>
      <c r="I47" s="18"/>
      <c r="J47" s="17"/>
      <c r="K47" s="13"/>
      <c r="L47" s="13"/>
      <c r="M47" s="13"/>
      <c r="N47" s="13"/>
      <c r="O47" s="13"/>
      <c r="P47" s="13"/>
      <c r="Q47" s="18"/>
    </row>
    <row r="48" spans="2:17" ht="15.95" customHeight="1">
      <c r="B48" s="17"/>
      <c r="C48" s="13"/>
      <c r="D48" s="13"/>
      <c r="E48" s="13"/>
      <c r="F48" s="13"/>
      <c r="G48" s="13"/>
      <c r="H48" s="13"/>
      <c r="I48" s="18"/>
      <c r="J48" s="17"/>
      <c r="K48" s="13"/>
      <c r="L48" s="13"/>
      <c r="M48" s="13"/>
      <c r="N48" s="13"/>
      <c r="O48" s="13"/>
      <c r="P48" s="13"/>
      <c r="Q48" s="18"/>
    </row>
    <row r="49" spans="2:17" ht="15.95" customHeight="1">
      <c r="B49" s="17"/>
      <c r="C49" s="13"/>
      <c r="D49" s="13"/>
      <c r="E49" s="13"/>
      <c r="F49" s="13"/>
      <c r="G49" s="13"/>
      <c r="H49" s="13"/>
      <c r="I49" s="18"/>
      <c r="J49" s="17"/>
      <c r="K49" s="13"/>
      <c r="L49" s="13"/>
      <c r="M49" s="13"/>
      <c r="N49" s="13"/>
      <c r="O49" s="13"/>
      <c r="P49" s="13"/>
      <c r="Q49" s="18"/>
    </row>
    <row r="50" spans="2:17" ht="15.95" customHeight="1">
      <c r="B50" s="17"/>
      <c r="C50" s="13"/>
      <c r="D50" s="13"/>
      <c r="E50" s="13"/>
      <c r="F50" s="13"/>
      <c r="G50" s="13"/>
      <c r="H50" s="13"/>
      <c r="I50" s="40"/>
      <c r="J50" s="17"/>
      <c r="K50" s="13"/>
      <c r="L50" s="13"/>
      <c r="M50" s="13"/>
      <c r="N50" s="13"/>
      <c r="O50" s="13"/>
      <c r="P50" s="13"/>
      <c r="Q50" s="40"/>
    </row>
    <row r="51" spans="2:17" ht="15.95" customHeight="1">
      <c r="B51" s="17"/>
      <c r="C51" s="13"/>
      <c r="D51" s="13"/>
      <c r="E51" s="13"/>
      <c r="F51" s="13"/>
      <c r="G51" s="13"/>
      <c r="H51" s="13"/>
      <c r="I51" s="18"/>
      <c r="J51" s="17"/>
      <c r="K51" s="13"/>
      <c r="L51" s="13"/>
      <c r="M51" s="13"/>
      <c r="N51" s="13"/>
      <c r="O51" s="13"/>
      <c r="P51" s="13"/>
      <c r="Q51" s="18"/>
    </row>
    <row r="52" spans="2:17" ht="15.95" customHeight="1">
      <c r="B52" s="17"/>
      <c r="C52" s="13"/>
      <c r="D52" s="13"/>
      <c r="E52" s="13"/>
      <c r="F52" s="13"/>
      <c r="G52" s="13"/>
      <c r="H52" s="13"/>
      <c r="I52" s="18"/>
      <c r="J52" s="17"/>
      <c r="K52" s="13"/>
      <c r="L52" s="13"/>
      <c r="M52" s="13"/>
      <c r="N52" s="13"/>
      <c r="O52" s="13"/>
      <c r="P52" s="13"/>
      <c r="Q52" s="18"/>
    </row>
    <row r="53" spans="2:17" ht="15.95" customHeight="1">
      <c r="B53" s="17"/>
      <c r="C53" s="13"/>
      <c r="D53" s="13"/>
      <c r="E53" s="13"/>
      <c r="F53" s="13"/>
      <c r="G53" s="13"/>
      <c r="H53" s="13"/>
      <c r="I53" s="18"/>
      <c r="J53" s="17"/>
      <c r="K53" s="13"/>
      <c r="L53" s="13"/>
      <c r="M53" s="13"/>
      <c r="N53" s="13"/>
      <c r="O53" s="13"/>
      <c r="P53" s="13"/>
      <c r="Q53" s="18"/>
    </row>
    <row r="54" spans="2:17" ht="15.95" customHeight="1">
      <c r="B54" s="17"/>
      <c r="C54" s="13"/>
      <c r="D54" s="13"/>
      <c r="E54" s="13"/>
      <c r="F54" s="13"/>
      <c r="G54" s="13"/>
      <c r="H54" s="13"/>
      <c r="I54" s="18"/>
      <c r="J54" s="17"/>
      <c r="K54" s="13"/>
      <c r="L54" s="13"/>
      <c r="M54" s="13"/>
      <c r="N54" s="13"/>
      <c r="O54" s="13"/>
      <c r="P54" s="13"/>
      <c r="Q54" s="18"/>
    </row>
    <row r="55" spans="2:17" ht="15.95" customHeight="1">
      <c r="B55" s="17"/>
      <c r="C55" s="13"/>
      <c r="D55" s="13"/>
      <c r="E55" s="13"/>
      <c r="F55" s="13"/>
      <c r="G55" s="13"/>
      <c r="H55" s="13"/>
      <c r="I55" s="18"/>
      <c r="J55" s="17"/>
      <c r="K55" s="13"/>
      <c r="L55" s="13"/>
      <c r="M55" s="13"/>
      <c r="N55" s="13"/>
      <c r="O55" s="13"/>
      <c r="P55" s="13"/>
      <c r="Q55" s="18"/>
    </row>
    <row r="56" spans="2:17" ht="15.95" customHeight="1" thickBot="1">
      <c r="B56" s="20"/>
      <c r="C56" s="10"/>
      <c r="D56" s="10"/>
      <c r="E56" s="10"/>
      <c r="F56" s="10"/>
      <c r="G56" s="10"/>
      <c r="H56" s="10"/>
      <c r="I56" s="19"/>
      <c r="J56" s="20"/>
      <c r="K56" s="10"/>
      <c r="L56" s="10"/>
      <c r="M56" s="10"/>
      <c r="N56" s="10"/>
      <c r="O56" s="10"/>
      <c r="P56" s="10"/>
      <c r="Q56" s="19"/>
    </row>
    <row r="57" spans="2:17" ht="15.95" customHeight="1">
      <c r="B57" s="15"/>
      <c r="C57" s="11"/>
      <c r="D57" s="11"/>
      <c r="E57" s="11"/>
      <c r="F57" s="11"/>
      <c r="G57" s="11"/>
      <c r="H57" s="11"/>
      <c r="I57" s="16"/>
      <c r="J57" s="15"/>
      <c r="K57" s="11"/>
      <c r="L57" s="11"/>
      <c r="M57" s="11"/>
      <c r="N57" s="11"/>
      <c r="O57" s="11"/>
      <c r="P57" s="11"/>
      <c r="Q57" s="16"/>
    </row>
    <row r="58" spans="2:17" ht="15.95" customHeight="1">
      <c r="B58" s="17"/>
      <c r="C58" s="13"/>
      <c r="D58" s="13"/>
      <c r="E58" s="13"/>
      <c r="F58" s="13"/>
      <c r="G58" s="13"/>
      <c r="H58" s="13"/>
      <c r="I58" s="18"/>
      <c r="J58" s="17"/>
      <c r="K58" s="13"/>
      <c r="L58" s="13"/>
      <c r="M58" s="13"/>
      <c r="N58" s="13"/>
      <c r="O58" s="13"/>
      <c r="P58" s="13"/>
      <c r="Q58" s="18"/>
    </row>
    <row r="59" spans="2:17" ht="15.95" customHeight="1">
      <c r="B59" s="17"/>
      <c r="C59" s="13"/>
      <c r="D59" s="13"/>
      <c r="E59" s="13"/>
      <c r="F59" s="13"/>
      <c r="G59" s="13"/>
      <c r="H59" s="13"/>
      <c r="I59" s="18"/>
      <c r="J59" s="17"/>
      <c r="K59" s="13"/>
      <c r="L59" s="13"/>
      <c r="M59" s="13"/>
      <c r="N59" s="13"/>
      <c r="O59" s="13"/>
      <c r="P59" s="13"/>
      <c r="Q59" s="18"/>
    </row>
    <row r="60" spans="2:17" ht="15.95" customHeight="1">
      <c r="B60" s="17"/>
      <c r="C60" s="13"/>
      <c r="D60" s="13"/>
      <c r="E60" s="13"/>
      <c r="F60" s="13"/>
      <c r="G60" s="13"/>
      <c r="H60" s="13"/>
      <c r="I60" s="18"/>
      <c r="J60" s="17"/>
      <c r="K60" s="13"/>
      <c r="L60" s="13"/>
      <c r="M60" s="13"/>
      <c r="N60" s="13"/>
      <c r="O60" s="13"/>
      <c r="P60" s="13"/>
      <c r="Q60" s="18"/>
    </row>
    <row r="61" spans="2:17" ht="15.95" customHeight="1">
      <c r="B61" s="17"/>
      <c r="C61" s="13"/>
      <c r="D61" s="13"/>
      <c r="E61" s="13"/>
      <c r="F61" s="13"/>
      <c r="G61" s="13"/>
      <c r="H61" s="13"/>
      <c r="I61" s="18"/>
      <c r="J61" s="17"/>
      <c r="K61" s="13"/>
      <c r="L61" s="13"/>
      <c r="M61" s="13"/>
      <c r="N61" s="13"/>
      <c r="O61" s="13"/>
      <c r="P61" s="13"/>
      <c r="Q61" s="18"/>
    </row>
    <row r="62" spans="2:17" ht="15.95" customHeight="1">
      <c r="B62" s="17"/>
      <c r="C62" s="13"/>
      <c r="D62" s="13"/>
      <c r="E62" s="13"/>
      <c r="F62" s="13"/>
      <c r="G62" s="13"/>
      <c r="H62" s="13"/>
      <c r="I62" s="18"/>
      <c r="J62" s="17"/>
      <c r="K62" s="13"/>
      <c r="L62" s="13"/>
      <c r="M62" s="13"/>
      <c r="N62" s="13"/>
      <c r="O62" s="13"/>
      <c r="P62" s="13"/>
      <c r="Q62" s="18"/>
    </row>
    <row r="63" spans="2:17" ht="15.95" customHeight="1">
      <c r="B63" s="17"/>
      <c r="C63" s="13"/>
      <c r="D63" s="13"/>
      <c r="E63" s="13"/>
      <c r="F63" s="13"/>
      <c r="G63" s="13"/>
      <c r="H63" s="13"/>
      <c r="I63" s="18"/>
      <c r="J63" s="17"/>
      <c r="K63" s="13"/>
      <c r="L63" s="13"/>
      <c r="M63" s="13"/>
      <c r="N63" s="13"/>
      <c r="O63" s="13"/>
      <c r="P63" s="13"/>
      <c r="Q63" s="18"/>
    </row>
    <row r="64" spans="2:17" ht="15.95" customHeight="1">
      <c r="B64" s="17"/>
      <c r="C64" s="13"/>
      <c r="D64" s="13"/>
      <c r="E64" s="13"/>
      <c r="F64" s="13"/>
      <c r="G64" s="13"/>
      <c r="H64" s="13"/>
      <c r="I64" s="18"/>
      <c r="J64" s="17"/>
      <c r="K64" s="13"/>
      <c r="L64" s="13"/>
      <c r="M64" s="13"/>
      <c r="N64" s="13"/>
      <c r="O64" s="13"/>
      <c r="P64" s="13"/>
      <c r="Q64" s="18"/>
    </row>
    <row r="65" spans="2:17" ht="15.95" customHeight="1">
      <c r="B65" s="17"/>
      <c r="C65" s="13"/>
      <c r="D65" s="13"/>
      <c r="E65" s="13"/>
      <c r="F65" s="13"/>
      <c r="G65" s="13"/>
      <c r="H65" s="13"/>
      <c r="I65" s="18"/>
      <c r="J65" s="17"/>
      <c r="K65" s="13"/>
      <c r="L65" s="13"/>
      <c r="M65" s="13"/>
      <c r="N65" s="13"/>
      <c r="O65" s="13"/>
      <c r="P65" s="13"/>
      <c r="Q65" s="18"/>
    </row>
    <row r="66" spans="2:17" ht="15.95" customHeight="1">
      <c r="B66" s="17"/>
      <c r="C66" s="13"/>
      <c r="D66" s="13"/>
      <c r="E66" s="13"/>
      <c r="F66" s="13"/>
      <c r="G66" s="13"/>
      <c r="H66" s="13"/>
      <c r="I66" s="18"/>
      <c r="J66" s="17"/>
      <c r="K66" s="13"/>
      <c r="L66" s="13"/>
      <c r="M66" s="13"/>
      <c r="N66" s="13"/>
      <c r="O66" s="13"/>
      <c r="P66" s="13"/>
      <c r="Q66" s="18"/>
    </row>
    <row r="67" spans="2:17" ht="15.95" customHeight="1">
      <c r="B67" s="17"/>
      <c r="C67" s="13"/>
      <c r="D67" s="13"/>
      <c r="E67" s="13"/>
      <c r="F67" s="13"/>
      <c r="G67" s="13"/>
      <c r="H67" s="13"/>
      <c r="I67" s="18"/>
      <c r="J67" s="17"/>
      <c r="K67" s="13"/>
      <c r="L67" s="13"/>
      <c r="M67" s="13"/>
      <c r="N67" s="13"/>
      <c r="O67" s="13"/>
      <c r="P67" s="13"/>
      <c r="Q67" s="18"/>
    </row>
    <row r="68" spans="2:17" ht="15.95" customHeight="1">
      <c r="B68" s="17"/>
      <c r="C68" s="13"/>
      <c r="D68" s="13"/>
      <c r="E68" s="13"/>
      <c r="F68" s="13"/>
      <c r="G68" s="13"/>
      <c r="H68" s="13"/>
      <c r="I68" s="40"/>
      <c r="J68" s="17"/>
      <c r="K68" s="13"/>
      <c r="L68" s="13"/>
      <c r="M68" s="13"/>
      <c r="N68" s="13"/>
      <c r="O68" s="13"/>
      <c r="P68" s="13"/>
      <c r="Q68" s="40"/>
    </row>
    <row r="69" spans="2:17" ht="15.95" customHeight="1">
      <c r="B69" s="17"/>
      <c r="C69" s="13"/>
      <c r="D69" s="13"/>
      <c r="E69" s="13"/>
      <c r="F69" s="13"/>
      <c r="G69" s="13"/>
      <c r="H69" s="13"/>
      <c r="I69" s="18"/>
      <c r="J69" s="17"/>
      <c r="K69" s="13"/>
      <c r="L69" s="13"/>
      <c r="M69" s="13"/>
      <c r="N69" s="13"/>
      <c r="O69" s="13"/>
      <c r="P69" s="13"/>
      <c r="Q69" s="18"/>
    </row>
    <row r="70" spans="2:17" ht="15.95" customHeight="1">
      <c r="B70" s="17"/>
      <c r="C70" s="13"/>
      <c r="D70" s="13"/>
      <c r="E70" s="13"/>
      <c r="F70" s="13"/>
      <c r="G70" s="13"/>
      <c r="H70" s="13"/>
      <c r="I70" s="18"/>
      <c r="J70" s="17"/>
      <c r="K70" s="13"/>
      <c r="L70" s="13"/>
      <c r="M70" s="13"/>
      <c r="N70" s="13"/>
      <c r="O70" s="13"/>
      <c r="P70" s="13"/>
      <c r="Q70" s="18"/>
    </row>
    <row r="71" spans="2:17" ht="15.95" customHeight="1">
      <c r="B71" s="17"/>
      <c r="C71" s="13"/>
      <c r="D71" s="13"/>
      <c r="E71" s="13"/>
      <c r="F71" s="13"/>
      <c r="G71" s="13"/>
      <c r="H71" s="13"/>
      <c r="I71" s="18"/>
      <c r="J71" s="17"/>
      <c r="K71" s="13"/>
      <c r="L71" s="13"/>
      <c r="M71" s="13"/>
      <c r="N71" s="13"/>
      <c r="O71" s="13"/>
      <c r="P71" s="13"/>
      <c r="Q71" s="18"/>
    </row>
    <row r="72" spans="2:17" ht="15.95" customHeight="1">
      <c r="B72" s="17"/>
      <c r="C72" s="13"/>
      <c r="D72" s="13"/>
      <c r="E72" s="13"/>
      <c r="F72" s="13"/>
      <c r="G72" s="13"/>
      <c r="H72" s="13"/>
      <c r="I72" s="18"/>
      <c r="J72" s="17"/>
      <c r="K72" s="13"/>
      <c r="L72" s="13"/>
      <c r="M72" s="13"/>
      <c r="N72" s="13"/>
      <c r="O72" s="13"/>
      <c r="P72" s="13"/>
      <c r="Q72" s="18"/>
    </row>
    <row r="73" spans="2:17" ht="15.95" customHeight="1">
      <c r="B73" s="17"/>
      <c r="C73" s="13"/>
      <c r="D73" s="13"/>
      <c r="E73" s="13"/>
      <c r="F73" s="13"/>
      <c r="G73" s="13"/>
      <c r="H73" s="13"/>
      <c r="I73" s="18"/>
      <c r="J73" s="17"/>
      <c r="K73" s="13"/>
      <c r="L73" s="13"/>
      <c r="M73" s="13"/>
      <c r="N73" s="13"/>
      <c r="O73" s="13"/>
      <c r="P73" s="13"/>
      <c r="Q73" s="18"/>
    </row>
    <row r="74" spans="2:17" ht="15.95" customHeight="1">
      <c r="B74" s="20"/>
      <c r="C74" s="10"/>
      <c r="D74" s="10"/>
      <c r="E74" s="10"/>
      <c r="F74" s="10"/>
      <c r="G74" s="10"/>
      <c r="H74" s="10"/>
      <c r="I74" s="19"/>
      <c r="J74" s="20"/>
      <c r="K74" s="10"/>
      <c r="L74" s="10"/>
      <c r="M74" s="10"/>
      <c r="N74" s="10"/>
      <c r="O74" s="10"/>
      <c r="P74" s="10"/>
      <c r="Q74" s="19"/>
    </row>
    <row r="75" spans="2:17" ht="15.95" customHeight="1">
      <c r="B75" s="17"/>
      <c r="C75" s="13"/>
      <c r="D75" s="13"/>
      <c r="E75" s="13"/>
      <c r="F75" s="13"/>
      <c r="G75" s="13"/>
      <c r="H75" s="13"/>
      <c r="I75" s="18"/>
      <c r="J75" s="17"/>
      <c r="K75" s="13"/>
      <c r="L75" s="13"/>
      <c r="M75" s="13"/>
      <c r="N75" s="13"/>
      <c r="O75" s="13"/>
      <c r="P75" s="13"/>
      <c r="Q75" s="18"/>
    </row>
    <row r="76" spans="2:17" ht="15.95" customHeight="1">
      <c r="B76" s="17"/>
      <c r="C76" s="13"/>
      <c r="D76" s="13"/>
      <c r="E76" s="13"/>
      <c r="F76" s="13"/>
      <c r="G76" s="13"/>
      <c r="H76" s="13"/>
      <c r="I76" s="18"/>
      <c r="J76" s="17"/>
      <c r="K76" s="13"/>
      <c r="L76" s="13"/>
      <c r="M76" s="13"/>
      <c r="N76" s="13"/>
      <c r="O76" s="13"/>
      <c r="P76" s="13"/>
      <c r="Q76" s="18"/>
    </row>
    <row r="77" spans="2:17" ht="15.95" customHeight="1">
      <c r="B77" s="17"/>
      <c r="C77" s="13"/>
      <c r="D77" s="13"/>
      <c r="E77" s="13"/>
      <c r="F77" s="13"/>
      <c r="G77" s="13"/>
      <c r="H77" s="13"/>
      <c r="I77" s="18"/>
      <c r="J77" s="17"/>
      <c r="K77" s="13"/>
      <c r="L77" s="13"/>
      <c r="M77" s="13"/>
      <c r="N77" s="13"/>
      <c r="O77" s="13"/>
      <c r="P77" s="13"/>
      <c r="Q77" s="18"/>
    </row>
    <row r="78" spans="2:17" ht="15.95" customHeight="1">
      <c r="B78" s="17"/>
      <c r="C78" s="13"/>
      <c r="D78" s="13"/>
      <c r="E78" s="13"/>
      <c r="F78" s="13"/>
      <c r="G78" s="13"/>
      <c r="H78" s="13"/>
      <c r="I78" s="18"/>
      <c r="J78" s="17"/>
      <c r="K78" s="13"/>
      <c r="L78" s="13"/>
      <c r="M78" s="13"/>
      <c r="N78" s="13"/>
      <c r="O78" s="13"/>
      <c r="P78" s="13"/>
      <c r="Q78" s="18"/>
    </row>
    <row r="79" spans="2:17" ht="15.95" customHeight="1">
      <c r="B79" s="17"/>
      <c r="C79" s="13"/>
      <c r="D79" s="13"/>
      <c r="E79" s="13"/>
      <c r="F79" s="13"/>
      <c r="G79" s="13"/>
      <c r="H79" s="13"/>
      <c r="I79" s="18"/>
      <c r="J79" s="17"/>
      <c r="K79" s="13"/>
      <c r="L79" s="13"/>
      <c r="M79" s="13"/>
      <c r="N79" s="13"/>
      <c r="O79" s="13"/>
      <c r="P79" s="13"/>
      <c r="Q79" s="18"/>
    </row>
    <row r="80" spans="2:17" ht="15.95" customHeight="1">
      <c r="B80" s="17"/>
      <c r="C80" s="13"/>
      <c r="D80" s="13"/>
      <c r="E80" s="13"/>
      <c r="F80" s="13"/>
      <c r="G80" s="13"/>
      <c r="H80" s="13"/>
      <c r="I80" s="18"/>
      <c r="J80" s="17"/>
      <c r="K80" s="13"/>
      <c r="L80" s="13"/>
      <c r="M80" s="13"/>
      <c r="N80" s="13"/>
      <c r="O80" s="13"/>
      <c r="P80" s="13"/>
      <c r="Q80" s="18"/>
    </row>
    <row r="81" spans="2:17" ht="15.95" customHeight="1">
      <c r="B81" s="17"/>
      <c r="C81" s="13"/>
      <c r="D81" s="13"/>
      <c r="E81" s="13"/>
      <c r="F81" s="13"/>
      <c r="G81" s="13"/>
      <c r="H81" s="13"/>
      <c r="I81" s="18"/>
      <c r="J81" s="17"/>
      <c r="K81" s="13"/>
      <c r="L81" s="13"/>
      <c r="M81" s="13"/>
      <c r="N81" s="13"/>
      <c r="O81" s="13"/>
      <c r="P81" s="13"/>
      <c r="Q81" s="18"/>
    </row>
    <row r="82" spans="2:17" ht="15.95" customHeight="1">
      <c r="B82" s="17"/>
      <c r="C82" s="13"/>
      <c r="D82" s="13"/>
      <c r="E82" s="13"/>
      <c r="F82" s="13"/>
      <c r="G82" s="13"/>
      <c r="H82" s="13"/>
      <c r="I82" s="18"/>
      <c r="J82" s="17"/>
      <c r="K82" s="13"/>
      <c r="L82" s="13"/>
      <c r="M82" s="13"/>
      <c r="N82" s="13"/>
      <c r="O82" s="13"/>
      <c r="P82" s="13"/>
      <c r="Q82" s="18"/>
    </row>
    <row r="83" spans="2:17" ht="15.95" customHeight="1">
      <c r="B83" s="17"/>
      <c r="C83" s="13"/>
      <c r="D83" s="13"/>
      <c r="E83" s="13"/>
      <c r="F83" s="13"/>
      <c r="G83" s="13"/>
      <c r="H83" s="13"/>
      <c r="I83" s="18"/>
      <c r="J83" s="17"/>
      <c r="K83" s="13"/>
      <c r="L83" s="13"/>
      <c r="M83" s="13"/>
      <c r="N83" s="13"/>
      <c r="O83" s="13"/>
      <c r="P83" s="13"/>
      <c r="Q83" s="18"/>
    </row>
    <row r="84" spans="2:17" ht="15.95" customHeight="1">
      <c r="B84" s="17"/>
      <c r="C84" s="13"/>
      <c r="D84" s="13"/>
      <c r="E84" s="13"/>
      <c r="F84" s="13"/>
      <c r="G84" s="13"/>
      <c r="H84" s="13"/>
      <c r="I84" s="18"/>
      <c r="J84" s="17"/>
      <c r="K84" s="13"/>
      <c r="L84" s="13"/>
      <c r="M84" s="13"/>
      <c r="N84" s="13"/>
      <c r="O84" s="13"/>
      <c r="P84" s="13"/>
      <c r="Q84" s="18"/>
    </row>
    <row r="85" spans="2:17" ht="15.95" customHeight="1">
      <c r="B85" s="17"/>
      <c r="C85" s="13"/>
      <c r="D85" s="13"/>
      <c r="E85" s="13"/>
      <c r="F85" s="13"/>
      <c r="G85" s="13"/>
      <c r="H85" s="13"/>
      <c r="I85" s="18"/>
      <c r="J85" s="17"/>
      <c r="K85" s="13"/>
      <c r="L85" s="13"/>
      <c r="M85" s="13"/>
      <c r="N85" s="13"/>
      <c r="O85" s="13"/>
      <c r="P85" s="13"/>
      <c r="Q85" s="18"/>
    </row>
    <row r="86" spans="2:17" ht="15.95" customHeight="1">
      <c r="B86" s="17"/>
      <c r="C86" s="13"/>
      <c r="D86" s="13"/>
      <c r="E86" s="13"/>
      <c r="F86" s="13"/>
      <c r="G86" s="13"/>
      <c r="H86" s="13"/>
      <c r="I86" s="18"/>
      <c r="J86" s="17"/>
      <c r="K86" s="13"/>
      <c r="L86" s="13"/>
      <c r="M86" s="13"/>
      <c r="N86" s="13"/>
      <c r="O86" s="13"/>
      <c r="P86" s="13"/>
      <c r="Q86" s="18"/>
    </row>
    <row r="87" spans="2:17" ht="15.95" customHeight="1">
      <c r="B87" s="17"/>
      <c r="C87" s="13"/>
      <c r="D87" s="13"/>
      <c r="E87" s="13"/>
      <c r="F87" s="13"/>
      <c r="G87" s="13"/>
      <c r="H87" s="13"/>
      <c r="I87" s="18"/>
      <c r="J87" s="17"/>
      <c r="K87" s="13"/>
      <c r="L87" s="13"/>
      <c r="M87" s="13"/>
      <c r="N87" s="13"/>
      <c r="O87" s="13"/>
      <c r="P87" s="13"/>
      <c r="Q87" s="18"/>
    </row>
    <row r="88" spans="2:17" ht="15.95" customHeight="1">
      <c r="B88" s="17"/>
      <c r="C88" s="13"/>
      <c r="D88" s="13"/>
      <c r="E88" s="13"/>
      <c r="F88" s="13"/>
      <c r="G88" s="13"/>
      <c r="H88" s="13"/>
      <c r="I88" s="18"/>
      <c r="J88" s="17"/>
      <c r="K88" s="13"/>
      <c r="L88" s="13"/>
      <c r="M88" s="13"/>
      <c r="N88" s="13"/>
      <c r="O88" s="13"/>
      <c r="P88" s="13"/>
      <c r="Q88" s="18"/>
    </row>
    <row r="89" spans="2:17" ht="15.95" customHeight="1">
      <c r="B89" s="17"/>
      <c r="C89" s="13"/>
      <c r="D89" s="13"/>
      <c r="E89" s="13"/>
      <c r="F89" s="13"/>
      <c r="G89" s="13"/>
      <c r="H89" s="13"/>
      <c r="I89" s="18"/>
      <c r="J89" s="17"/>
      <c r="K89" s="13"/>
      <c r="L89" s="13"/>
      <c r="M89" s="13"/>
      <c r="N89" s="13"/>
      <c r="O89" s="13"/>
      <c r="P89" s="13"/>
      <c r="Q89" s="18"/>
    </row>
    <row r="90" spans="2:17" ht="15.95" customHeight="1">
      <c r="B90" s="17"/>
      <c r="C90" s="13"/>
      <c r="D90" s="13"/>
      <c r="E90" s="13"/>
      <c r="F90" s="13"/>
      <c r="G90" s="13"/>
      <c r="H90" s="13"/>
      <c r="I90" s="18"/>
      <c r="J90" s="17"/>
      <c r="K90" s="13"/>
      <c r="L90" s="13"/>
      <c r="M90" s="13"/>
      <c r="N90" s="13"/>
      <c r="O90" s="13"/>
      <c r="P90" s="13"/>
      <c r="Q90" s="18"/>
    </row>
    <row r="91" spans="2:17" ht="15.95" customHeight="1">
      <c r="B91" s="17"/>
      <c r="C91" s="13"/>
      <c r="D91" s="13"/>
      <c r="E91" s="13"/>
      <c r="F91" s="13"/>
      <c r="G91" s="13"/>
      <c r="H91" s="13"/>
      <c r="I91" s="18"/>
      <c r="J91" s="17"/>
      <c r="K91" s="13"/>
      <c r="L91" s="13"/>
      <c r="M91" s="13"/>
      <c r="N91" s="13"/>
      <c r="O91" s="13"/>
      <c r="P91" s="13"/>
      <c r="Q91" s="18"/>
    </row>
    <row r="92" spans="2:17" ht="15.95" customHeight="1" thickBot="1">
      <c r="B92" s="17"/>
      <c r="C92" s="13"/>
      <c r="D92" s="13"/>
      <c r="E92" s="13"/>
      <c r="F92" s="13"/>
      <c r="G92" s="13"/>
      <c r="H92" s="13"/>
      <c r="I92" s="18"/>
      <c r="J92" s="17"/>
      <c r="K92" s="13"/>
      <c r="L92" s="13"/>
      <c r="M92" s="13"/>
      <c r="N92" s="13"/>
      <c r="O92" s="13"/>
      <c r="P92" s="13"/>
      <c r="Q92" s="18"/>
    </row>
    <row r="93" spans="2:17" ht="15.95" customHeight="1">
      <c r="B93" s="15"/>
      <c r="C93" s="11"/>
      <c r="D93" s="11"/>
      <c r="E93" s="11"/>
      <c r="F93" s="11"/>
      <c r="G93" s="11"/>
      <c r="H93" s="11"/>
      <c r="I93" s="16"/>
      <c r="J93" s="15"/>
      <c r="K93" s="11"/>
      <c r="L93" s="11"/>
      <c r="M93" s="11"/>
      <c r="N93" s="11"/>
      <c r="O93" s="11"/>
      <c r="P93" s="11"/>
      <c r="Q93" s="16"/>
    </row>
    <row r="94" spans="2:17" ht="15.95" customHeight="1">
      <c r="B94" s="17"/>
      <c r="C94" s="13"/>
      <c r="D94" s="13"/>
      <c r="E94" s="13"/>
      <c r="F94" s="13"/>
      <c r="G94" s="13"/>
      <c r="H94" s="13"/>
      <c r="I94" s="18"/>
      <c r="J94" s="17"/>
      <c r="K94" s="13"/>
      <c r="L94" s="13"/>
      <c r="M94" s="13"/>
      <c r="N94" s="13"/>
      <c r="O94" s="13"/>
      <c r="P94" s="13"/>
      <c r="Q94" s="18"/>
    </row>
    <row r="95" spans="2:17" ht="15.95" customHeight="1">
      <c r="B95" s="17"/>
      <c r="C95" s="13"/>
      <c r="D95" s="13"/>
      <c r="E95" s="13"/>
      <c r="F95" s="13"/>
      <c r="G95" s="13"/>
      <c r="H95" s="13"/>
      <c r="I95" s="18"/>
      <c r="J95" s="17"/>
      <c r="K95" s="13"/>
      <c r="L95" s="13"/>
      <c r="M95" s="13"/>
      <c r="N95" s="13"/>
      <c r="O95" s="13"/>
      <c r="P95" s="13"/>
      <c r="Q95" s="18"/>
    </row>
    <row r="96" spans="2:17" ht="15.95" customHeight="1">
      <c r="B96" s="17"/>
      <c r="C96" s="13"/>
      <c r="D96" s="13"/>
      <c r="E96" s="13"/>
      <c r="F96" s="13"/>
      <c r="G96" s="13"/>
      <c r="H96" s="13"/>
      <c r="I96" s="18"/>
      <c r="J96" s="17"/>
      <c r="K96" s="13"/>
      <c r="L96" s="13"/>
      <c r="M96" s="13"/>
      <c r="N96" s="13"/>
      <c r="O96" s="13"/>
      <c r="P96" s="13"/>
      <c r="Q96" s="18"/>
    </row>
    <row r="97" spans="2:17" ht="15.95" customHeight="1">
      <c r="B97" s="17"/>
      <c r="C97" s="13"/>
      <c r="D97" s="13"/>
      <c r="E97" s="13"/>
      <c r="F97" s="13"/>
      <c r="G97" s="13"/>
      <c r="H97" s="13"/>
      <c r="I97" s="18"/>
      <c r="J97" s="17"/>
      <c r="K97" s="13"/>
      <c r="L97" s="13"/>
      <c r="M97" s="13"/>
      <c r="N97" s="13"/>
      <c r="O97" s="13"/>
      <c r="P97" s="13"/>
      <c r="Q97" s="18"/>
    </row>
    <row r="98" spans="2:17" ht="15.95" customHeight="1">
      <c r="B98" s="17"/>
      <c r="C98" s="13"/>
      <c r="D98" s="13"/>
      <c r="E98" s="13"/>
      <c r="F98" s="13"/>
      <c r="G98" s="13"/>
      <c r="H98" s="13"/>
      <c r="I98" s="18"/>
      <c r="J98" s="17"/>
      <c r="K98" s="13"/>
      <c r="L98" s="13"/>
      <c r="M98" s="13"/>
      <c r="N98" s="13"/>
      <c r="O98" s="13"/>
      <c r="P98" s="13"/>
      <c r="Q98" s="18"/>
    </row>
    <row r="99" spans="2:17" ht="15.95" customHeight="1">
      <c r="B99" s="17"/>
      <c r="C99" s="13"/>
      <c r="D99" s="13"/>
      <c r="E99" s="13"/>
      <c r="F99" s="13"/>
      <c r="G99" s="13"/>
      <c r="H99" s="13"/>
      <c r="I99" s="18"/>
      <c r="J99" s="17"/>
      <c r="K99" s="13"/>
      <c r="L99" s="13"/>
      <c r="M99" s="13"/>
      <c r="N99" s="13"/>
      <c r="O99" s="13"/>
      <c r="P99" s="13"/>
      <c r="Q99" s="18"/>
    </row>
    <row r="100" spans="2:17" ht="15.95" customHeight="1">
      <c r="B100" s="17"/>
      <c r="C100" s="13"/>
      <c r="D100" s="13"/>
      <c r="E100" s="13"/>
      <c r="F100" s="13"/>
      <c r="G100" s="13"/>
      <c r="H100" s="13"/>
      <c r="I100" s="18"/>
      <c r="J100" s="17"/>
      <c r="K100" s="13"/>
      <c r="L100" s="13"/>
      <c r="M100" s="13"/>
      <c r="N100" s="13"/>
      <c r="O100" s="13"/>
      <c r="P100" s="13"/>
      <c r="Q100" s="18"/>
    </row>
    <row r="101" spans="2:17" ht="15.95" customHeight="1">
      <c r="B101" s="17"/>
      <c r="C101" s="13"/>
      <c r="D101" s="13"/>
      <c r="E101" s="13"/>
      <c r="F101" s="13"/>
      <c r="G101" s="13"/>
      <c r="H101" s="13"/>
      <c r="I101" s="18"/>
      <c r="J101" s="17"/>
      <c r="K101" s="13"/>
      <c r="L101" s="13"/>
      <c r="M101" s="13"/>
      <c r="N101" s="13"/>
      <c r="O101" s="13"/>
      <c r="P101" s="13"/>
      <c r="Q101" s="18"/>
    </row>
    <row r="102" spans="2:17" ht="15.95" customHeight="1">
      <c r="B102" s="17"/>
      <c r="C102" s="13"/>
      <c r="D102" s="13"/>
      <c r="E102" s="13"/>
      <c r="F102" s="13"/>
      <c r="G102" s="13"/>
      <c r="H102" s="13"/>
      <c r="I102" s="18"/>
      <c r="J102" s="17"/>
      <c r="K102" s="13"/>
      <c r="L102" s="13"/>
      <c r="M102" s="13"/>
      <c r="N102" s="13"/>
      <c r="O102" s="13"/>
      <c r="P102" s="13"/>
      <c r="Q102" s="18"/>
    </row>
    <row r="103" spans="2:17" ht="15.95" customHeight="1">
      <c r="B103" s="17"/>
      <c r="C103" s="13"/>
      <c r="D103" s="13"/>
      <c r="E103" s="13"/>
      <c r="F103" s="13"/>
      <c r="G103" s="13"/>
      <c r="H103" s="13"/>
      <c r="I103" s="18"/>
      <c r="J103" s="17"/>
      <c r="K103" s="13"/>
      <c r="L103" s="13"/>
      <c r="M103" s="13"/>
      <c r="N103" s="13"/>
      <c r="O103" s="13"/>
      <c r="P103" s="13"/>
      <c r="Q103" s="18"/>
    </row>
    <row r="104" spans="2:17" ht="15.95" customHeight="1">
      <c r="B104" s="17"/>
      <c r="C104" s="13"/>
      <c r="D104" s="13"/>
      <c r="E104" s="13"/>
      <c r="F104" s="13"/>
      <c r="G104" s="13"/>
      <c r="H104" s="13"/>
      <c r="I104" s="40"/>
      <c r="J104" s="17"/>
      <c r="K104" s="13"/>
      <c r="L104" s="13"/>
      <c r="M104" s="13"/>
      <c r="N104" s="13"/>
      <c r="O104" s="13"/>
      <c r="P104" s="13"/>
      <c r="Q104" s="40"/>
    </row>
    <row r="105" spans="2:17" ht="15.95" customHeight="1">
      <c r="B105" s="17"/>
      <c r="C105" s="13"/>
      <c r="D105" s="13"/>
      <c r="E105" s="13"/>
      <c r="F105" s="13"/>
      <c r="G105" s="13"/>
      <c r="H105" s="13"/>
      <c r="I105" s="18"/>
      <c r="J105" s="17"/>
      <c r="K105" s="13"/>
      <c r="L105" s="13"/>
      <c r="M105" s="13"/>
      <c r="N105" s="13"/>
      <c r="O105" s="13"/>
      <c r="P105" s="13"/>
      <c r="Q105" s="18"/>
    </row>
    <row r="106" spans="2:17" ht="15.95" customHeight="1">
      <c r="B106" s="17"/>
      <c r="C106" s="13"/>
      <c r="D106" s="13"/>
      <c r="E106" s="13"/>
      <c r="F106" s="13"/>
      <c r="G106" s="13"/>
      <c r="H106" s="13"/>
      <c r="I106" s="18"/>
      <c r="J106" s="17"/>
      <c r="K106" s="13"/>
      <c r="L106" s="13"/>
      <c r="M106" s="13"/>
      <c r="N106" s="13"/>
      <c r="O106" s="13"/>
      <c r="P106" s="13"/>
      <c r="Q106" s="18"/>
    </row>
    <row r="107" spans="2:17" ht="15.95" customHeight="1">
      <c r="B107" s="17"/>
      <c r="C107" s="13"/>
      <c r="D107" s="13"/>
      <c r="E107" s="13"/>
      <c r="F107" s="13"/>
      <c r="G107" s="13"/>
      <c r="H107" s="13"/>
      <c r="I107" s="18"/>
      <c r="J107" s="17"/>
      <c r="K107" s="13"/>
      <c r="L107" s="13"/>
      <c r="M107" s="13"/>
      <c r="N107" s="13"/>
      <c r="O107" s="13"/>
      <c r="P107" s="13"/>
      <c r="Q107" s="18"/>
    </row>
    <row r="108" spans="2:17" ht="15.95" customHeight="1">
      <c r="B108" s="17"/>
      <c r="C108" s="13"/>
      <c r="D108" s="13"/>
      <c r="E108" s="13"/>
      <c r="F108" s="13"/>
      <c r="G108" s="13"/>
      <c r="H108" s="13"/>
      <c r="I108" s="18"/>
      <c r="J108" s="17"/>
      <c r="K108" s="13"/>
      <c r="L108" s="13"/>
      <c r="M108" s="13"/>
      <c r="N108" s="13"/>
      <c r="O108" s="13"/>
      <c r="P108" s="13"/>
      <c r="Q108" s="18"/>
    </row>
    <row r="109" spans="2:17" ht="15.95" customHeight="1">
      <c r="B109" s="17"/>
      <c r="C109" s="13"/>
      <c r="D109" s="13"/>
      <c r="E109" s="13"/>
      <c r="F109" s="13"/>
      <c r="G109" s="13"/>
      <c r="H109" s="13"/>
      <c r="I109" s="18"/>
      <c r="J109" s="17"/>
      <c r="K109" s="13"/>
      <c r="L109" s="13"/>
      <c r="M109" s="13"/>
      <c r="N109" s="13"/>
      <c r="O109" s="13"/>
      <c r="P109" s="13"/>
      <c r="Q109" s="18"/>
    </row>
    <row r="110" spans="2:17" ht="15.95" customHeight="1" thickBot="1">
      <c r="B110" s="17"/>
      <c r="C110" s="13"/>
      <c r="D110" s="13"/>
      <c r="E110" s="13"/>
      <c r="F110" s="13"/>
      <c r="G110" s="13"/>
      <c r="H110" s="13"/>
      <c r="I110" s="18"/>
      <c r="J110" s="17"/>
      <c r="K110" s="13"/>
      <c r="L110" s="13"/>
      <c r="M110" s="13"/>
      <c r="N110" s="13"/>
      <c r="O110" s="13"/>
      <c r="P110" s="13"/>
      <c r="Q110" s="18"/>
    </row>
    <row r="111" spans="2:17" ht="15.95" customHeight="1">
      <c r="B111" s="86"/>
      <c r="C111" s="87"/>
      <c r="D111" s="87"/>
      <c r="E111" s="87"/>
      <c r="F111" s="87"/>
      <c r="G111" s="87"/>
      <c r="H111" s="87"/>
      <c r="I111" s="88"/>
      <c r="J111" s="86"/>
      <c r="K111" s="87"/>
      <c r="L111" s="87"/>
      <c r="M111" s="87"/>
      <c r="N111" s="87"/>
      <c r="O111" s="87"/>
      <c r="P111" s="87"/>
      <c r="Q111" s="88"/>
    </row>
    <row r="112" spans="2:17" ht="15.95" customHeight="1">
      <c r="B112" s="89"/>
      <c r="C112" s="90"/>
      <c r="D112" s="90"/>
      <c r="E112" s="90"/>
      <c r="F112" s="90"/>
      <c r="G112" s="90"/>
      <c r="H112" s="90"/>
      <c r="I112" s="91"/>
      <c r="J112" s="89"/>
      <c r="K112" s="90"/>
      <c r="L112" s="90"/>
      <c r="M112" s="90"/>
      <c r="N112" s="90"/>
      <c r="O112" s="90"/>
      <c r="P112" s="90"/>
      <c r="Q112" s="91"/>
    </row>
    <row r="113" spans="2:17" ht="15.95" customHeight="1">
      <c r="B113" s="89"/>
      <c r="C113" s="90"/>
      <c r="D113" s="90"/>
      <c r="E113" s="90"/>
      <c r="F113" s="90"/>
      <c r="G113" s="90"/>
      <c r="H113" s="90"/>
      <c r="I113" s="91"/>
      <c r="J113" s="89"/>
      <c r="K113" s="90"/>
      <c r="L113" s="90"/>
      <c r="M113" s="90"/>
      <c r="N113" s="90"/>
      <c r="O113" s="90"/>
      <c r="P113" s="90"/>
      <c r="Q113" s="91"/>
    </row>
    <row r="114" spans="2:17" ht="15.95" customHeight="1">
      <c r="B114" s="89"/>
      <c r="C114" s="90"/>
      <c r="D114" s="90"/>
      <c r="E114" s="90"/>
      <c r="F114" s="90"/>
      <c r="G114" s="90"/>
      <c r="H114" s="90"/>
      <c r="I114" s="91"/>
      <c r="J114" s="89"/>
      <c r="K114" s="90"/>
      <c r="L114" s="90"/>
      <c r="M114" s="90"/>
      <c r="N114" s="90"/>
      <c r="O114" s="90"/>
      <c r="P114" s="90"/>
      <c r="Q114" s="91"/>
    </row>
    <row r="115" spans="2:17" ht="15.95" customHeight="1">
      <c r="B115" s="89"/>
      <c r="C115" s="90"/>
      <c r="D115" s="90"/>
      <c r="E115" s="90"/>
      <c r="F115" s="90"/>
      <c r="G115" s="90"/>
      <c r="H115" s="90"/>
      <c r="I115" s="91"/>
      <c r="J115" s="89"/>
      <c r="K115" s="90"/>
      <c r="L115" s="90"/>
      <c r="M115" s="90"/>
      <c r="N115" s="90"/>
      <c r="O115" s="90"/>
      <c r="P115" s="90"/>
      <c r="Q115" s="91"/>
    </row>
    <row r="116" spans="2:17" ht="15.95" customHeight="1">
      <c r="B116" s="89"/>
      <c r="C116" s="90"/>
      <c r="D116" s="90"/>
      <c r="E116" s="90"/>
      <c r="F116" s="90"/>
      <c r="G116" s="90"/>
      <c r="H116" s="90"/>
      <c r="I116" s="91"/>
      <c r="J116" s="89"/>
      <c r="K116" s="90"/>
      <c r="L116" s="90"/>
      <c r="M116" s="90"/>
      <c r="N116" s="90"/>
      <c r="O116" s="90"/>
      <c r="P116" s="90"/>
      <c r="Q116" s="91"/>
    </row>
    <row r="117" spans="2:17" ht="15.95" customHeight="1">
      <c r="B117" s="89"/>
      <c r="C117" s="90"/>
      <c r="D117" s="90"/>
      <c r="E117" s="90"/>
      <c r="F117" s="90"/>
      <c r="G117" s="90"/>
      <c r="H117" s="90"/>
      <c r="I117" s="91"/>
      <c r="J117" s="89"/>
      <c r="K117" s="90"/>
      <c r="L117" s="90"/>
      <c r="M117" s="90"/>
      <c r="N117" s="90"/>
      <c r="O117" s="90"/>
      <c r="P117" s="90"/>
      <c r="Q117" s="91"/>
    </row>
    <row r="118" spans="2:17" ht="15.95" customHeight="1">
      <c r="B118" s="89"/>
      <c r="C118" s="90"/>
      <c r="D118" s="90"/>
      <c r="E118" s="90"/>
      <c r="F118" s="90"/>
      <c r="G118" s="90"/>
      <c r="H118" s="90"/>
      <c r="I118" s="91"/>
      <c r="J118" s="89"/>
      <c r="K118" s="90"/>
      <c r="L118" s="90"/>
      <c r="M118" s="90"/>
      <c r="N118" s="90"/>
      <c r="O118" s="90"/>
      <c r="P118" s="90"/>
      <c r="Q118" s="91"/>
    </row>
    <row r="119" spans="2:17" ht="15.95" customHeight="1">
      <c r="B119" s="89"/>
      <c r="C119" s="90"/>
      <c r="D119" s="90"/>
      <c r="E119" s="90"/>
      <c r="F119" s="90"/>
      <c r="G119" s="90"/>
      <c r="H119" s="90"/>
      <c r="I119" s="91"/>
      <c r="J119" s="89"/>
      <c r="K119" s="90"/>
      <c r="L119" s="90"/>
      <c r="M119" s="90"/>
      <c r="N119" s="90"/>
      <c r="O119" s="90"/>
      <c r="P119" s="90"/>
      <c r="Q119" s="91"/>
    </row>
    <row r="120" spans="2:17" ht="15.95" customHeight="1">
      <c r="B120" s="89"/>
      <c r="C120" s="90"/>
      <c r="D120" s="90"/>
      <c r="E120" s="90"/>
      <c r="F120" s="90"/>
      <c r="G120" s="90"/>
      <c r="H120" s="90"/>
      <c r="I120" s="91"/>
      <c r="J120" s="89"/>
      <c r="K120" s="90"/>
      <c r="L120" s="90"/>
      <c r="M120" s="90"/>
      <c r="N120" s="90"/>
      <c r="O120" s="90"/>
      <c r="P120" s="90"/>
      <c r="Q120" s="91"/>
    </row>
    <row r="121" spans="2:17" ht="15.95" customHeight="1">
      <c r="B121" s="89"/>
      <c r="C121" s="90"/>
      <c r="D121" s="90"/>
      <c r="E121" s="90"/>
      <c r="F121" s="90"/>
      <c r="G121" s="90"/>
      <c r="H121" s="90"/>
      <c r="I121" s="91"/>
      <c r="J121" s="89"/>
      <c r="K121" s="90"/>
      <c r="L121" s="90"/>
      <c r="M121" s="90"/>
      <c r="N121" s="90"/>
      <c r="O121" s="90"/>
      <c r="P121" s="90"/>
      <c r="Q121" s="91"/>
    </row>
    <row r="122" spans="2:17" ht="15.95" customHeight="1">
      <c r="B122" s="89"/>
      <c r="C122" s="90"/>
      <c r="D122" s="90"/>
      <c r="E122" s="90"/>
      <c r="F122" s="90"/>
      <c r="G122" s="90"/>
      <c r="H122" s="90"/>
      <c r="I122" s="91"/>
      <c r="J122" s="89"/>
      <c r="K122" s="90"/>
      <c r="L122" s="90"/>
      <c r="M122" s="90"/>
      <c r="N122" s="90"/>
      <c r="O122" s="90"/>
      <c r="P122" s="90"/>
      <c r="Q122" s="91"/>
    </row>
    <row r="123" spans="2:17" ht="15.95" customHeight="1">
      <c r="B123" s="89"/>
      <c r="C123" s="90"/>
      <c r="D123" s="90"/>
      <c r="E123" s="90"/>
      <c r="F123" s="90"/>
      <c r="G123" s="90"/>
      <c r="H123" s="90"/>
      <c r="I123" s="91"/>
      <c r="J123" s="89"/>
      <c r="K123" s="90"/>
      <c r="L123" s="90"/>
      <c r="M123" s="90"/>
      <c r="N123" s="90"/>
      <c r="O123" s="90"/>
      <c r="P123" s="90"/>
      <c r="Q123" s="91"/>
    </row>
    <row r="124" spans="2:17" ht="15.95" customHeight="1">
      <c r="B124" s="89"/>
      <c r="C124" s="90"/>
      <c r="D124" s="90"/>
      <c r="E124" s="90"/>
      <c r="F124" s="90"/>
      <c r="G124" s="90"/>
      <c r="H124" s="90"/>
      <c r="I124" s="91"/>
      <c r="J124" s="89"/>
      <c r="K124" s="90"/>
      <c r="L124" s="90"/>
      <c r="M124" s="90"/>
      <c r="N124" s="90"/>
      <c r="O124" s="90"/>
      <c r="P124" s="90"/>
      <c r="Q124" s="91"/>
    </row>
    <row r="125" spans="2:17" ht="15.95" customHeight="1">
      <c r="B125" s="89"/>
      <c r="C125" s="90"/>
      <c r="D125" s="90"/>
      <c r="E125" s="90"/>
      <c r="F125" s="90"/>
      <c r="G125" s="90"/>
      <c r="H125" s="90"/>
      <c r="I125" s="91"/>
      <c r="J125" s="89"/>
      <c r="K125" s="90"/>
      <c r="L125" s="90"/>
      <c r="M125" s="90"/>
      <c r="N125" s="90"/>
      <c r="O125" s="90"/>
      <c r="P125" s="90"/>
      <c r="Q125" s="91"/>
    </row>
    <row r="126" spans="2:17" ht="15.95" customHeight="1">
      <c r="B126" s="89"/>
      <c r="C126" s="90"/>
      <c r="D126" s="90"/>
      <c r="E126" s="90"/>
      <c r="F126" s="90"/>
      <c r="G126" s="90"/>
      <c r="H126" s="90"/>
      <c r="I126" s="91"/>
      <c r="J126" s="89"/>
      <c r="K126" s="90"/>
      <c r="L126" s="90"/>
      <c r="M126" s="90"/>
      <c r="N126" s="90"/>
      <c r="O126" s="90"/>
      <c r="P126" s="90"/>
      <c r="Q126" s="91"/>
    </row>
    <row r="127" spans="2:17" ht="15.95" customHeight="1">
      <c r="B127" s="89"/>
      <c r="C127" s="90"/>
      <c r="D127" s="90"/>
      <c r="E127" s="90"/>
      <c r="F127" s="90"/>
      <c r="G127" s="90"/>
      <c r="H127" s="90"/>
      <c r="I127" s="91"/>
      <c r="J127" s="89"/>
      <c r="K127" s="90"/>
      <c r="L127" s="90"/>
      <c r="M127" s="90"/>
      <c r="N127" s="90"/>
      <c r="O127" s="90"/>
      <c r="P127" s="90"/>
      <c r="Q127" s="91"/>
    </row>
    <row r="128" spans="2:17" ht="15.95" customHeight="1" thickBot="1">
      <c r="B128" s="92"/>
      <c r="C128" s="93"/>
      <c r="D128" s="93"/>
      <c r="E128" s="93"/>
      <c r="F128" s="93"/>
      <c r="G128" s="93"/>
      <c r="H128" s="93"/>
      <c r="I128" s="94"/>
      <c r="J128" s="92"/>
      <c r="K128" s="93"/>
      <c r="L128" s="93"/>
      <c r="M128" s="93"/>
      <c r="N128" s="93"/>
      <c r="O128" s="93"/>
      <c r="P128" s="93"/>
      <c r="Q128" s="94"/>
    </row>
    <row r="129" ht="15.95" customHeight="1"/>
    <row r="130" ht="15.95" customHeight="1"/>
    <row r="131" ht="15.95" customHeight="1"/>
    <row r="132" ht="15.95" customHeight="1"/>
    <row r="133" ht="15.95" customHeight="1"/>
    <row r="134" ht="15.95" customHeight="1"/>
    <row r="135" ht="15.95" customHeight="1"/>
    <row r="136" ht="15.95" customHeight="1"/>
    <row r="137" ht="15.95" customHeight="1"/>
    <row r="138" ht="15.95" customHeight="1"/>
    <row r="139" ht="15.95" customHeight="1"/>
    <row r="140" ht="15.95" customHeight="1"/>
    <row r="141" ht="15.95" customHeight="1"/>
    <row r="142" ht="15.95" customHeight="1"/>
    <row r="143" ht="15.95" customHeight="1"/>
    <row r="144" ht="15.95" customHeight="1"/>
    <row r="145" ht="15.95" customHeight="1"/>
    <row r="146" ht="15.95" customHeight="1"/>
    <row r="147" ht="15.95" customHeight="1"/>
    <row r="148" ht="15.95" customHeight="1"/>
    <row r="149" ht="15.95" customHeight="1"/>
    <row r="150" ht="15.95" customHeight="1"/>
    <row r="151" ht="15.95" customHeight="1"/>
    <row r="152" ht="15.95" customHeight="1"/>
    <row r="153" ht="15.95" customHeight="1"/>
    <row r="154" ht="15.95" customHeight="1"/>
    <row r="155" ht="15.95" customHeight="1"/>
    <row r="156" ht="15.95" customHeight="1"/>
    <row r="157" ht="15.95" customHeight="1"/>
    <row r="158" ht="15.95" customHeight="1"/>
    <row r="159" ht="15.95" customHeight="1"/>
    <row r="160" ht="15.95" customHeight="1"/>
    <row r="161" ht="15.95" customHeight="1"/>
    <row r="162" ht="15.95" customHeight="1"/>
    <row r="163" ht="15.95" customHeight="1"/>
    <row r="164" ht="15.95" customHeight="1"/>
    <row r="165" ht="15.95" customHeight="1"/>
    <row r="166" ht="15.95" customHeight="1"/>
    <row r="167" ht="15.95" customHeight="1"/>
    <row r="168" ht="15.95" customHeight="1"/>
    <row r="169" ht="15.95" customHeight="1"/>
    <row r="170" ht="15.95" customHeight="1"/>
    <row r="171" ht="15.95" customHeight="1"/>
    <row r="172" ht="15.95" customHeight="1"/>
    <row r="173" ht="15.95" customHeight="1"/>
    <row r="174" ht="15.95" customHeight="1"/>
    <row r="175" ht="15.95" customHeight="1"/>
    <row r="176" ht="15.95" customHeight="1"/>
    <row r="177" ht="15.95" customHeight="1"/>
    <row r="178" ht="15.95" customHeight="1"/>
    <row r="179" ht="15.95" customHeight="1"/>
    <row r="180" ht="15.95" customHeight="1"/>
    <row r="181" ht="15.95" customHeight="1"/>
    <row r="182" ht="15.95" customHeight="1"/>
    <row r="183" ht="15.95" customHeight="1"/>
    <row r="184" ht="15.95" customHeight="1"/>
    <row r="185" ht="15.95" customHeight="1"/>
    <row r="186" ht="15.95" customHeight="1"/>
    <row r="187" ht="15.95" customHeight="1"/>
    <row r="188" ht="15.95" customHeight="1"/>
    <row r="189" ht="15.95" customHeight="1"/>
    <row r="190" ht="15.95" customHeight="1"/>
    <row r="191" ht="15.95" customHeight="1"/>
    <row r="192" ht="15.95" customHeight="1"/>
    <row r="193" ht="15.95" customHeight="1"/>
    <row r="194" ht="15.95" customHeight="1"/>
    <row r="195" ht="15.95" customHeight="1"/>
    <row r="196" ht="15.95" customHeight="1"/>
    <row r="197" ht="15.95" customHeight="1"/>
    <row r="198" ht="15.95" customHeight="1"/>
    <row r="199" ht="15.95" customHeight="1"/>
    <row r="200" ht="15.95" customHeight="1"/>
    <row r="201" ht="15.95" customHeight="1"/>
    <row r="202" ht="15.95" customHeight="1"/>
    <row r="203" ht="15.95" customHeight="1"/>
    <row r="204" ht="15.95" customHeight="1"/>
    <row r="205" ht="15.95" customHeight="1"/>
    <row r="206" ht="15.95" customHeight="1"/>
    <row r="207" ht="15.95" customHeight="1"/>
    <row r="208" ht="15.95" customHeight="1"/>
    <row r="209" ht="15.95" customHeight="1"/>
    <row r="210" ht="15.95" customHeight="1"/>
    <row r="211" ht="15.95" customHeight="1"/>
    <row r="212" ht="15.95" customHeight="1"/>
    <row r="213" ht="15.95" customHeight="1"/>
    <row r="214" ht="15.95" customHeight="1"/>
    <row r="215" ht="15.95" customHeight="1"/>
    <row r="216" ht="15.95" customHeight="1"/>
    <row r="217" ht="15.95" customHeight="1"/>
    <row r="218" ht="15.95" customHeight="1"/>
    <row r="219" ht="15.95" customHeight="1"/>
    <row r="220" ht="15.95" customHeight="1"/>
    <row r="221" ht="15.95" customHeight="1"/>
    <row r="222" ht="15.95" customHeight="1"/>
    <row r="223" ht="15.95" customHeight="1"/>
    <row r="224" ht="15.95" customHeight="1"/>
    <row r="225" ht="15.95" customHeight="1"/>
    <row r="226" ht="15.95" customHeight="1"/>
    <row r="227" ht="15.95" customHeight="1"/>
    <row r="228" ht="15.95" customHeight="1"/>
    <row r="229" ht="15.95" customHeight="1"/>
    <row r="230" ht="15.95" customHeight="1"/>
    <row r="231" ht="15.95" customHeight="1"/>
    <row r="232" ht="15.95" customHeight="1"/>
    <row r="233" ht="15.95" customHeight="1"/>
    <row r="234" ht="15.95" customHeight="1"/>
    <row r="235" ht="15.95" customHeight="1"/>
  </sheetData>
  <sheetProtection sheet="1" objects="1" scenario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74"/>
  <sheetViews>
    <sheetView workbookViewId="0">
      <selection activeCell="D1" sqref="D1"/>
    </sheetView>
  </sheetViews>
  <sheetFormatPr defaultRowHeight="12.75"/>
  <cols>
    <col min="1" max="1" width="11.5703125" bestFit="1" customWidth="1"/>
    <col min="2" max="2" width="15.5703125" bestFit="1" customWidth="1"/>
    <col min="3" max="3" width="14" bestFit="1" customWidth="1"/>
    <col min="4" max="4" width="12" bestFit="1" customWidth="1"/>
    <col min="5" max="5" width="45.5703125" bestFit="1" customWidth="1"/>
    <col min="6" max="6" width="44.85546875" bestFit="1" customWidth="1"/>
    <col min="7" max="7" width="30" bestFit="1" customWidth="1"/>
    <col min="8" max="8" width="13.85546875" bestFit="1" customWidth="1"/>
    <col min="9" max="9" width="13.85546875" customWidth="1"/>
    <col min="10" max="10" width="13.42578125" bestFit="1" customWidth="1"/>
    <col min="11" max="11" width="12.7109375" bestFit="1" customWidth="1"/>
    <col min="12" max="12" width="10.7109375" bestFit="1" customWidth="1"/>
  </cols>
  <sheetData>
    <row r="1" spans="1:12" ht="21" customHeight="1">
      <c r="D1" s="47">
        <f>SUBTOTAL(3,DATA4)</f>
        <v>863</v>
      </c>
    </row>
    <row r="2" spans="1:12" ht="18" customHeight="1">
      <c r="A2" s="41" t="s">
        <v>48</v>
      </c>
      <c r="B2" s="42" t="s">
        <v>49</v>
      </c>
      <c r="C2" s="42" t="s">
        <v>50</v>
      </c>
      <c r="D2" s="42" t="s">
        <v>51</v>
      </c>
      <c r="E2" s="42" t="s">
        <v>52</v>
      </c>
      <c r="F2" s="42" t="s">
        <v>53</v>
      </c>
      <c r="G2" s="42" t="s">
        <v>54</v>
      </c>
      <c r="H2" s="42" t="s">
        <v>55</v>
      </c>
      <c r="I2" s="42" t="s">
        <v>59</v>
      </c>
      <c r="J2" s="42" t="s">
        <v>56</v>
      </c>
      <c r="K2" s="42" t="s">
        <v>57</v>
      </c>
      <c r="L2" s="42" t="s">
        <v>58</v>
      </c>
    </row>
    <row r="3" spans="1:12" ht="18" customHeight="1">
      <c r="A3" s="43" t="s">
        <v>766</v>
      </c>
      <c r="B3" s="44" t="s">
        <v>767</v>
      </c>
      <c r="C3" s="44" t="s">
        <v>73</v>
      </c>
      <c r="D3" s="85">
        <v>10104924784</v>
      </c>
      <c r="E3" s="44" t="s">
        <v>768</v>
      </c>
      <c r="F3" s="44" t="s">
        <v>500</v>
      </c>
      <c r="G3" s="44" t="s">
        <v>769</v>
      </c>
      <c r="H3" s="44" t="s">
        <v>74</v>
      </c>
      <c r="I3" s="48" t="s">
        <v>481</v>
      </c>
      <c r="J3" s="45">
        <v>42788</v>
      </c>
      <c r="K3" s="45">
        <v>42788</v>
      </c>
      <c r="L3" s="45"/>
    </row>
    <row r="4" spans="1:12" ht="18" customHeight="1">
      <c r="A4" s="43" t="s">
        <v>766</v>
      </c>
      <c r="B4" s="44" t="s">
        <v>767</v>
      </c>
      <c r="C4" s="44" t="s">
        <v>73</v>
      </c>
      <c r="D4" s="85">
        <v>10104932221</v>
      </c>
      <c r="E4" s="44" t="s">
        <v>857</v>
      </c>
      <c r="F4" s="44" t="s">
        <v>500</v>
      </c>
      <c r="G4" s="44" t="s">
        <v>858</v>
      </c>
      <c r="H4" s="44" t="s">
        <v>74</v>
      </c>
      <c r="I4" s="48" t="s">
        <v>481</v>
      </c>
      <c r="J4" s="45">
        <v>42794</v>
      </c>
      <c r="K4" s="45">
        <v>42794</v>
      </c>
      <c r="L4" s="45"/>
    </row>
    <row r="5" spans="1:12" ht="18" customHeight="1">
      <c r="A5" s="43" t="s">
        <v>766</v>
      </c>
      <c r="B5" s="44" t="s">
        <v>770</v>
      </c>
      <c r="C5" s="44" t="s">
        <v>73</v>
      </c>
      <c r="D5" s="85">
        <v>10104932213</v>
      </c>
      <c r="E5" s="44" t="s">
        <v>859</v>
      </c>
      <c r="F5" s="44" t="s">
        <v>960</v>
      </c>
      <c r="G5" s="44" t="s">
        <v>860</v>
      </c>
      <c r="H5" s="44" t="s">
        <v>74</v>
      </c>
      <c r="I5" s="48" t="s">
        <v>481</v>
      </c>
      <c r="J5" s="45">
        <v>42790</v>
      </c>
      <c r="K5" s="45">
        <v>42790</v>
      </c>
      <c r="L5" s="45">
        <v>42781</v>
      </c>
    </row>
    <row r="6" spans="1:12" ht="18" customHeight="1">
      <c r="A6" s="43" t="s">
        <v>766</v>
      </c>
      <c r="B6" s="44" t="s">
        <v>770</v>
      </c>
      <c r="C6" s="44" t="s">
        <v>73</v>
      </c>
      <c r="D6" s="85">
        <v>10104925721</v>
      </c>
      <c r="E6" s="44" t="s">
        <v>771</v>
      </c>
      <c r="F6" s="44" t="s">
        <v>500</v>
      </c>
      <c r="G6" s="44" t="s">
        <v>772</v>
      </c>
      <c r="H6" s="44" t="s">
        <v>76</v>
      </c>
      <c r="I6" s="48" t="s">
        <v>482</v>
      </c>
      <c r="J6" s="45">
        <v>42789</v>
      </c>
      <c r="K6" s="45">
        <v>42789</v>
      </c>
      <c r="L6" s="45"/>
    </row>
    <row r="7" spans="1:12" ht="18" customHeight="1">
      <c r="A7" s="43" t="s">
        <v>766</v>
      </c>
      <c r="B7" s="44" t="s">
        <v>770</v>
      </c>
      <c r="C7" s="44" t="s">
        <v>73</v>
      </c>
      <c r="D7" s="85">
        <v>10104949048</v>
      </c>
      <c r="E7" s="44" t="s">
        <v>861</v>
      </c>
      <c r="F7" s="44" t="s">
        <v>500</v>
      </c>
      <c r="G7" s="44" t="s">
        <v>772</v>
      </c>
      <c r="H7" s="44" t="s">
        <v>76</v>
      </c>
      <c r="I7" s="48" t="s">
        <v>482</v>
      </c>
      <c r="J7" s="45">
        <v>42786</v>
      </c>
      <c r="K7" s="45">
        <v>42786</v>
      </c>
      <c r="L7" s="45"/>
    </row>
    <row r="8" spans="1:12" ht="18" customHeight="1">
      <c r="A8" s="43" t="s">
        <v>766</v>
      </c>
      <c r="B8" s="44" t="s">
        <v>770</v>
      </c>
      <c r="C8" s="44" t="s">
        <v>73</v>
      </c>
      <c r="D8" s="85">
        <v>10104925735</v>
      </c>
      <c r="E8" s="44" t="s">
        <v>773</v>
      </c>
      <c r="F8" s="44" t="s">
        <v>500</v>
      </c>
      <c r="G8" s="44" t="s">
        <v>774</v>
      </c>
      <c r="H8" s="44" t="s">
        <v>76</v>
      </c>
      <c r="I8" s="48" t="s">
        <v>482</v>
      </c>
      <c r="J8" s="45">
        <v>42789</v>
      </c>
      <c r="K8" s="45">
        <v>42789</v>
      </c>
      <c r="L8" s="45"/>
    </row>
    <row r="9" spans="1:12" ht="18" customHeight="1">
      <c r="A9" s="43" t="s">
        <v>766</v>
      </c>
      <c r="B9" s="44" t="s">
        <v>770</v>
      </c>
      <c r="C9" s="44" t="s">
        <v>73</v>
      </c>
      <c r="D9" s="85">
        <v>10104925731</v>
      </c>
      <c r="E9" s="44" t="s">
        <v>775</v>
      </c>
      <c r="F9" s="44" t="s">
        <v>500</v>
      </c>
      <c r="G9" s="44" t="s">
        <v>776</v>
      </c>
      <c r="H9" s="44" t="s">
        <v>76</v>
      </c>
      <c r="I9" s="48" t="s">
        <v>482</v>
      </c>
      <c r="J9" s="45">
        <v>42789</v>
      </c>
      <c r="K9" s="45">
        <v>42789</v>
      </c>
      <c r="L9" s="45"/>
    </row>
    <row r="10" spans="1:12" ht="18" customHeight="1">
      <c r="A10" s="43" t="s">
        <v>766</v>
      </c>
      <c r="B10" s="44" t="s">
        <v>770</v>
      </c>
      <c r="C10" s="44" t="s">
        <v>73</v>
      </c>
      <c r="D10" s="85">
        <v>10104925722</v>
      </c>
      <c r="E10" s="44" t="s">
        <v>777</v>
      </c>
      <c r="F10" s="44" t="s">
        <v>500</v>
      </c>
      <c r="G10" s="44" t="s">
        <v>778</v>
      </c>
      <c r="H10" s="44" t="s">
        <v>76</v>
      </c>
      <c r="I10" s="48" t="s">
        <v>482</v>
      </c>
      <c r="J10" s="45">
        <v>42789</v>
      </c>
      <c r="K10" s="45">
        <v>42789</v>
      </c>
      <c r="L10" s="45"/>
    </row>
    <row r="11" spans="1:12" ht="18" customHeight="1">
      <c r="A11" s="43" t="s">
        <v>766</v>
      </c>
      <c r="B11" s="44" t="s">
        <v>770</v>
      </c>
      <c r="C11" s="44" t="s">
        <v>73</v>
      </c>
      <c r="D11" s="85">
        <v>10104925732</v>
      </c>
      <c r="E11" s="44" t="s">
        <v>779</v>
      </c>
      <c r="F11" s="44" t="s">
        <v>500</v>
      </c>
      <c r="G11" s="44" t="s">
        <v>780</v>
      </c>
      <c r="H11" s="44" t="s">
        <v>76</v>
      </c>
      <c r="I11" s="48" t="s">
        <v>482</v>
      </c>
      <c r="J11" s="45">
        <v>42789</v>
      </c>
      <c r="K11" s="45">
        <v>42789</v>
      </c>
      <c r="L11" s="45"/>
    </row>
    <row r="12" spans="1:12" ht="18" customHeight="1">
      <c r="A12" s="43" t="s">
        <v>766</v>
      </c>
      <c r="B12" s="44" t="s">
        <v>781</v>
      </c>
      <c r="C12" s="44" t="s">
        <v>73</v>
      </c>
      <c r="D12" s="85">
        <v>10104925757</v>
      </c>
      <c r="E12" s="44" t="s">
        <v>782</v>
      </c>
      <c r="F12" s="44" t="s">
        <v>500</v>
      </c>
      <c r="G12" s="44" t="s">
        <v>783</v>
      </c>
      <c r="H12" s="44" t="s">
        <v>74</v>
      </c>
      <c r="I12" s="48" t="s">
        <v>481</v>
      </c>
      <c r="J12" s="45">
        <v>42789</v>
      </c>
      <c r="K12" s="45">
        <v>42789</v>
      </c>
      <c r="L12" s="45"/>
    </row>
    <row r="13" spans="1:12" ht="18" customHeight="1">
      <c r="A13" s="43" t="s">
        <v>766</v>
      </c>
      <c r="B13" s="44" t="s">
        <v>781</v>
      </c>
      <c r="C13" s="44" t="s">
        <v>73</v>
      </c>
      <c r="D13" s="85">
        <v>10104925758</v>
      </c>
      <c r="E13" s="44" t="s">
        <v>784</v>
      </c>
      <c r="F13" s="44" t="s">
        <v>500</v>
      </c>
      <c r="G13" s="44" t="s">
        <v>785</v>
      </c>
      <c r="H13" s="44" t="s">
        <v>76</v>
      </c>
      <c r="I13" s="48" t="s">
        <v>482</v>
      </c>
      <c r="J13" s="45">
        <v>42789</v>
      </c>
      <c r="K13" s="45">
        <v>42789</v>
      </c>
      <c r="L13" s="45"/>
    </row>
    <row r="14" spans="1:12" ht="18" customHeight="1">
      <c r="A14" s="43" t="s">
        <v>766</v>
      </c>
      <c r="B14" s="44" t="s">
        <v>767</v>
      </c>
      <c r="C14" s="44" t="s">
        <v>120</v>
      </c>
      <c r="D14" s="85">
        <v>10104925754</v>
      </c>
      <c r="E14" s="44" t="s">
        <v>787</v>
      </c>
      <c r="F14" s="44" t="s">
        <v>890</v>
      </c>
      <c r="G14" s="44" t="s">
        <v>769</v>
      </c>
      <c r="H14" s="44" t="s">
        <v>76</v>
      </c>
      <c r="I14" s="48" t="s">
        <v>482</v>
      </c>
      <c r="J14" s="45">
        <v>42789</v>
      </c>
      <c r="K14" s="45">
        <v>42789</v>
      </c>
      <c r="L14" s="45"/>
    </row>
    <row r="15" spans="1:12" ht="18" customHeight="1">
      <c r="A15" s="43" t="s">
        <v>766</v>
      </c>
      <c r="B15" s="44" t="s">
        <v>767</v>
      </c>
      <c r="C15" s="44" t="s">
        <v>120</v>
      </c>
      <c r="D15" s="85">
        <v>10104925880</v>
      </c>
      <c r="E15" s="44" t="s">
        <v>786</v>
      </c>
      <c r="F15" s="44" t="s">
        <v>890</v>
      </c>
      <c r="G15" s="44" t="s">
        <v>769</v>
      </c>
      <c r="H15" s="44" t="s">
        <v>74</v>
      </c>
      <c r="I15" s="48" t="s">
        <v>481</v>
      </c>
      <c r="J15" s="45">
        <v>42789</v>
      </c>
      <c r="K15" s="45">
        <v>42789</v>
      </c>
      <c r="L15" s="45"/>
    </row>
    <row r="16" spans="1:12" ht="18" customHeight="1">
      <c r="A16" s="43" t="s">
        <v>766</v>
      </c>
      <c r="B16" s="44" t="s">
        <v>767</v>
      </c>
      <c r="C16" s="44" t="s">
        <v>120</v>
      </c>
      <c r="D16" s="85">
        <v>10104923811</v>
      </c>
      <c r="E16" s="44" t="s">
        <v>961</v>
      </c>
      <c r="F16" s="44" t="s">
        <v>890</v>
      </c>
      <c r="G16" s="44" t="s">
        <v>769</v>
      </c>
      <c r="H16" s="44" t="s">
        <v>76</v>
      </c>
      <c r="I16" s="48" t="s">
        <v>482</v>
      </c>
      <c r="J16" s="45">
        <v>42788</v>
      </c>
      <c r="K16" s="45">
        <v>42788</v>
      </c>
      <c r="L16" s="45"/>
    </row>
    <row r="17" spans="1:12" ht="18" customHeight="1">
      <c r="A17" s="43" t="s">
        <v>766</v>
      </c>
      <c r="B17" s="44" t="s">
        <v>767</v>
      </c>
      <c r="C17" s="44" t="s">
        <v>120</v>
      </c>
      <c r="D17" s="85">
        <v>10104930949</v>
      </c>
      <c r="E17" s="44" t="s">
        <v>962</v>
      </c>
      <c r="F17" s="44" t="s">
        <v>890</v>
      </c>
      <c r="G17" s="44" t="s">
        <v>963</v>
      </c>
      <c r="H17" s="44" t="s">
        <v>332</v>
      </c>
      <c r="I17" s="48" t="s">
        <v>482</v>
      </c>
      <c r="J17" s="45">
        <v>42793</v>
      </c>
      <c r="K17" s="45">
        <v>42793</v>
      </c>
      <c r="L17" s="45"/>
    </row>
    <row r="18" spans="1:12" ht="18" customHeight="1">
      <c r="A18" s="43" t="s">
        <v>766</v>
      </c>
      <c r="B18" s="44" t="s">
        <v>767</v>
      </c>
      <c r="C18" s="44" t="s">
        <v>120</v>
      </c>
      <c r="D18" s="85">
        <v>10104839242</v>
      </c>
      <c r="E18" s="44" t="s">
        <v>964</v>
      </c>
      <c r="F18" s="44" t="s">
        <v>891</v>
      </c>
      <c r="G18" s="44" t="s">
        <v>820</v>
      </c>
      <c r="H18" s="44" t="s">
        <v>74</v>
      </c>
      <c r="I18" s="48" t="s">
        <v>481</v>
      </c>
      <c r="J18" s="45">
        <v>42794</v>
      </c>
      <c r="K18" s="45">
        <v>42767</v>
      </c>
      <c r="L18" s="45"/>
    </row>
    <row r="19" spans="1:12" ht="18" customHeight="1">
      <c r="A19" s="43" t="s">
        <v>766</v>
      </c>
      <c r="B19" s="44" t="s">
        <v>767</v>
      </c>
      <c r="C19" s="44" t="s">
        <v>120</v>
      </c>
      <c r="D19" s="85">
        <v>10104928569</v>
      </c>
      <c r="E19" s="44" t="s">
        <v>788</v>
      </c>
      <c r="F19" s="44" t="s">
        <v>890</v>
      </c>
      <c r="G19" s="44" t="s">
        <v>789</v>
      </c>
      <c r="H19" s="44" t="s">
        <v>332</v>
      </c>
      <c r="I19" s="48" t="s">
        <v>482</v>
      </c>
      <c r="J19" s="45">
        <v>42791</v>
      </c>
      <c r="K19" s="45">
        <v>42791</v>
      </c>
      <c r="L19" s="45"/>
    </row>
    <row r="20" spans="1:12" ht="18" customHeight="1">
      <c r="A20" s="43" t="s">
        <v>766</v>
      </c>
      <c r="B20" s="44" t="s">
        <v>767</v>
      </c>
      <c r="C20" s="44" t="s">
        <v>120</v>
      </c>
      <c r="D20" s="85">
        <v>10104930967</v>
      </c>
      <c r="E20" s="44" t="s">
        <v>965</v>
      </c>
      <c r="F20" s="44" t="s">
        <v>180</v>
      </c>
      <c r="G20" s="44" t="s">
        <v>858</v>
      </c>
      <c r="H20" s="44" t="s">
        <v>332</v>
      </c>
      <c r="I20" s="48" t="s">
        <v>482</v>
      </c>
      <c r="J20" s="45">
        <v>42790</v>
      </c>
      <c r="K20" s="45">
        <v>42790</v>
      </c>
      <c r="L20" s="45">
        <v>42789</v>
      </c>
    </row>
    <row r="21" spans="1:12" ht="18" customHeight="1">
      <c r="A21" s="43" t="s">
        <v>766</v>
      </c>
      <c r="B21" s="44" t="s">
        <v>767</v>
      </c>
      <c r="C21" s="44" t="s">
        <v>120</v>
      </c>
      <c r="D21" s="85">
        <v>10104930981</v>
      </c>
      <c r="E21" s="44" t="s">
        <v>966</v>
      </c>
      <c r="F21" s="44" t="s">
        <v>890</v>
      </c>
      <c r="G21" s="44" t="s">
        <v>967</v>
      </c>
      <c r="H21" s="44" t="s">
        <v>332</v>
      </c>
      <c r="I21" s="48" t="s">
        <v>482</v>
      </c>
      <c r="J21" s="45">
        <v>42793</v>
      </c>
      <c r="K21" s="45">
        <v>42793</v>
      </c>
      <c r="L21" s="45"/>
    </row>
    <row r="22" spans="1:12" ht="18" customHeight="1">
      <c r="A22" s="43" t="s">
        <v>766</v>
      </c>
      <c r="B22" s="44" t="s">
        <v>767</v>
      </c>
      <c r="C22" s="44" t="s">
        <v>120</v>
      </c>
      <c r="D22" s="85">
        <v>10104930968</v>
      </c>
      <c r="E22" s="44" t="s">
        <v>968</v>
      </c>
      <c r="F22" s="44" t="s">
        <v>890</v>
      </c>
      <c r="G22" s="44" t="s">
        <v>969</v>
      </c>
      <c r="H22" s="44" t="s">
        <v>332</v>
      </c>
      <c r="I22" s="48" t="s">
        <v>482</v>
      </c>
      <c r="J22" s="45">
        <v>42793</v>
      </c>
      <c r="K22" s="45">
        <v>42793</v>
      </c>
      <c r="L22" s="45"/>
    </row>
    <row r="23" spans="1:12" ht="18" customHeight="1">
      <c r="A23" s="43" t="s">
        <v>766</v>
      </c>
      <c r="B23" s="44" t="s">
        <v>767</v>
      </c>
      <c r="C23" s="44" t="s">
        <v>120</v>
      </c>
      <c r="D23" s="85">
        <v>10104930950</v>
      </c>
      <c r="E23" s="44" t="s">
        <v>970</v>
      </c>
      <c r="F23" s="44" t="s">
        <v>180</v>
      </c>
      <c r="G23" s="44" t="s">
        <v>971</v>
      </c>
      <c r="H23" s="44" t="s">
        <v>332</v>
      </c>
      <c r="I23" s="48" t="s">
        <v>482</v>
      </c>
      <c r="J23" s="45">
        <v>42790</v>
      </c>
      <c r="K23" s="45">
        <v>42790</v>
      </c>
      <c r="L23" s="45">
        <v>42789</v>
      </c>
    </row>
    <row r="24" spans="1:12" ht="18" customHeight="1">
      <c r="A24" s="43" t="s">
        <v>766</v>
      </c>
      <c r="B24" s="44" t="s">
        <v>767</v>
      </c>
      <c r="C24" s="44" t="s">
        <v>120</v>
      </c>
      <c r="D24" s="85">
        <v>10104928568</v>
      </c>
      <c r="E24" s="44" t="s">
        <v>790</v>
      </c>
      <c r="F24" s="44" t="s">
        <v>180</v>
      </c>
      <c r="G24" s="44" t="s">
        <v>791</v>
      </c>
      <c r="H24" s="44" t="s">
        <v>332</v>
      </c>
      <c r="I24" s="48" t="s">
        <v>482</v>
      </c>
      <c r="J24" s="45">
        <v>42790</v>
      </c>
      <c r="K24" s="45">
        <v>42790</v>
      </c>
      <c r="L24" s="45">
        <v>42789</v>
      </c>
    </row>
    <row r="25" spans="1:12" ht="18" customHeight="1">
      <c r="A25" s="43" t="s">
        <v>766</v>
      </c>
      <c r="B25" s="44" t="s">
        <v>770</v>
      </c>
      <c r="C25" s="44" t="s">
        <v>120</v>
      </c>
      <c r="D25" s="85">
        <v>10104932237</v>
      </c>
      <c r="E25" s="44" t="s">
        <v>862</v>
      </c>
      <c r="F25" s="44" t="s">
        <v>890</v>
      </c>
      <c r="G25" s="44" t="s">
        <v>863</v>
      </c>
      <c r="H25" s="44" t="s">
        <v>74</v>
      </c>
      <c r="I25" s="48" t="s">
        <v>481</v>
      </c>
      <c r="J25" s="45">
        <v>42794</v>
      </c>
      <c r="K25" s="45">
        <v>42794</v>
      </c>
      <c r="L25" s="45"/>
    </row>
    <row r="26" spans="1:12" ht="18" customHeight="1">
      <c r="A26" s="43" t="s">
        <v>766</v>
      </c>
      <c r="B26" s="44" t="s">
        <v>770</v>
      </c>
      <c r="C26" s="44" t="s">
        <v>120</v>
      </c>
      <c r="D26" s="85">
        <v>10104928512</v>
      </c>
      <c r="E26" s="44" t="s">
        <v>792</v>
      </c>
      <c r="F26" s="44" t="s">
        <v>890</v>
      </c>
      <c r="G26" s="44" t="s">
        <v>793</v>
      </c>
      <c r="H26" s="44" t="s">
        <v>74</v>
      </c>
      <c r="I26" s="48" t="s">
        <v>481</v>
      </c>
      <c r="J26" s="45">
        <v>42791</v>
      </c>
      <c r="K26" s="45">
        <v>42791</v>
      </c>
      <c r="L26" s="45"/>
    </row>
    <row r="27" spans="1:12" ht="18" customHeight="1">
      <c r="A27" s="43" t="s">
        <v>766</v>
      </c>
      <c r="B27" s="44" t="s">
        <v>770</v>
      </c>
      <c r="C27" s="44" t="s">
        <v>120</v>
      </c>
      <c r="D27" s="85">
        <v>10104932236</v>
      </c>
      <c r="E27" s="44" t="s">
        <v>864</v>
      </c>
      <c r="F27" s="44" t="s">
        <v>890</v>
      </c>
      <c r="G27" s="44" t="s">
        <v>865</v>
      </c>
      <c r="H27" s="44" t="s">
        <v>332</v>
      </c>
      <c r="I27" s="48" t="s">
        <v>482</v>
      </c>
      <c r="J27" s="45">
        <v>42794</v>
      </c>
      <c r="K27" s="45">
        <v>42794</v>
      </c>
      <c r="L27" s="45"/>
    </row>
    <row r="28" spans="1:12" ht="18" customHeight="1">
      <c r="A28" s="43" t="s">
        <v>766</v>
      </c>
      <c r="B28" s="44" t="s">
        <v>781</v>
      </c>
      <c r="C28" s="44" t="s">
        <v>120</v>
      </c>
      <c r="D28" s="85">
        <v>10104923810</v>
      </c>
      <c r="E28" s="44" t="s">
        <v>973</v>
      </c>
      <c r="F28" s="44" t="s">
        <v>890</v>
      </c>
      <c r="G28" s="44" t="s">
        <v>783</v>
      </c>
      <c r="H28" s="44" t="s">
        <v>74</v>
      </c>
      <c r="I28" s="48" t="s">
        <v>481</v>
      </c>
      <c r="J28" s="45">
        <v>42788</v>
      </c>
      <c r="K28" s="45">
        <v>42788</v>
      </c>
      <c r="L28" s="45"/>
    </row>
    <row r="29" spans="1:12" ht="18" customHeight="1">
      <c r="A29" s="43" t="s">
        <v>766</v>
      </c>
      <c r="B29" s="44" t="s">
        <v>781</v>
      </c>
      <c r="C29" s="44" t="s">
        <v>120</v>
      </c>
      <c r="D29" s="85">
        <v>10104928566</v>
      </c>
      <c r="E29" s="44" t="s">
        <v>794</v>
      </c>
      <c r="F29" s="44" t="s">
        <v>890</v>
      </c>
      <c r="G29" s="44" t="s">
        <v>783</v>
      </c>
      <c r="H29" s="44" t="s">
        <v>332</v>
      </c>
      <c r="I29" s="48" t="s">
        <v>482</v>
      </c>
      <c r="J29" s="45">
        <v>42791</v>
      </c>
      <c r="K29" s="45">
        <v>42791</v>
      </c>
      <c r="L29" s="45"/>
    </row>
    <row r="30" spans="1:12" ht="18" customHeight="1">
      <c r="A30" s="43" t="s">
        <v>766</v>
      </c>
      <c r="B30" s="44" t="s">
        <v>781</v>
      </c>
      <c r="C30" s="44" t="s">
        <v>120</v>
      </c>
      <c r="D30" s="85">
        <v>10104923853</v>
      </c>
      <c r="E30" s="44" t="s">
        <v>974</v>
      </c>
      <c r="F30" s="44" t="s">
        <v>890</v>
      </c>
      <c r="G30" s="44" t="s">
        <v>783</v>
      </c>
      <c r="H30" s="44" t="s">
        <v>76</v>
      </c>
      <c r="I30" s="48" t="s">
        <v>482</v>
      </c>
      <c r="J30" s="45">
        <v>42788</v>
      </c>
      <c r="K30" s="45">
        <v>42788</v>
      </c>
      <c r="L30" s="45"/>
    </row>
    <row r="31" spans="1:12" ht="18" customHeight="1">
      <c r="A31" s="43" t="s">
        <v>766</v>
      </c>
      <c r="B31" s="44" t="s">
        <v>781</v>
      </c>
      <c r="C31" s="44" t="s">
        <v>120</v>
      </c>
      <c r="D31" s="85">
        <v>10104924798</v>
      </c>
      <c r="E31" s="44" t="s">
        <v>972</v>
      </c>
      <c r="F31" s="44" t="s">
        <v>890</v>
      </c>
      <c r="G31" s="44" t="s">
        <v>783</v>
      </c>
      <c r="H31" s="44" t="s">
        <v>74</v>
      </c>
      <c r="I31" s="48" t="s">
        <v>481</v>
      </c>
      <c r="J31" s="45">
        <v>42788</v>
      </c>
      <c r="K31" s="45">
        <v>42788</v>
      </c>
      <c r="L31" s="45"/>
    </row>
    <row r="32" spans="1:12" ht="18" customHeight="1">
      <c r="A32" s="43" t="s">
        <v>766</v>
      </c>
      <c r="B32" s="44" t="s">
        <v>781</v>
      </c>
      <c r="C32" s="44" t="s">
        <v>120</v>
      </c>
      <c r="D32" s="85">
        <v>10104928567</v>
      </c>
      <c r="E32" s="44" t="s">
        <v>795</v>
      </c>
      <c r="F32" s="44" t="s">
        <v>890</v>
      </c>
      <c r="G32" s="44" t="s">
        <v>785</v>
      </c>
      <c r="H32" s="44" t="s">
        <v>332</v>
      </c>
      <c r="I32" s="48" t="s">
        <v>482</v>
      </c>
      <c r="J32" s="45">
        <v>42791</v>
      </c>
      <c r="K32" s="45">
        <v>42791</v>
      </c>
      <c r="L32" s="45"/>
    </row>
    <row r="33" spans="1:12" ht="18" customHeight="1">
      <c r="A33" s="43" t="s">
        <v>766</v>
      </c>
      <c r="B33" s="44" t="s">
        <v>770</v>
      </c>
      <c r="C33" s="44" t="s">
        <v>120</v>
      </c>
      <c r="D33" s="85">
        <v>10104932222</v>
      </c>
      <c r="E33" s="44" t="s">
        <v>975</v>
      </c>
      <c r="F33" s="44" t="s">
        <v>890</v>
      </c>
      <c r="G33" s="44" t="s">
        <v>976</v>
      </c>
      <c r="H33" s="44" t="s">
        <v>74</v>
      </c>
      <c r="I33" s="48" t="s">
        <v>481</v>
      </c>
      <c r="J33" s="45">
        <v>42794</v>
      </c>
      <c r="K33" s="45">
        <v>42794</v>
      </c>
      <c r="L33" s="45"/>
    </row>
    <row r="34" spans="1:12" ht="18" customHeight="1">
      <c r="A34" s="43" t="s">
        <v>766</v>
      </c>
      <c r="B34" s="44" t="s">
        <v>770</v>
      </c>
      <c r="C34" s="44" t="s">
        <v>120</v>
      </c>
      <c r="D34" s="85">
        <v>10104932214</v>
      </c>
      <c r="E34" s="44" t="s">
        <v>866</v>
      </c>
      <c r="F34" s="44" t="s">
        <v>890</v>
      </c>
      <c r="G34" s="44" t="s">
        <v>867</v>
      </c>
      <c r="H34" s="44" t="s">
        <v>74</v>
      </c>
      <c r="I34" s="48" t="s">
        <v>481</v>
      </c>
      <c r="J34" s="45">
        <v>42794</v>
      </c>
      <c r="K34" s="45">
        <v>42794</v>
      </c>
      <c r="L34" s="45"/>
    </row>
    <row r="35" spans="1:12" ht="18" customHeight="1">
      <c r="A35" s="43" t="s">
        <v>71</v>
      </c>
      <c r="B35" s="44" t="s">
        <v>72</v>
      </c>
      <c r="C35" s="44" t="s">
        <v>73</v>
      </c>
      <c r="D35" s="85">
        <v>10104935238</v>
      </c>
      <c r="E35" s="44" t="s">
        <v>977</v>
      </c>
      <c r="F35" s="44" t="s">
        <v>75</v>
      </c>
      <c r="G35" s="44" t="s">
        <v>743</v>
      </c>
      <c r="H35" s="44" t="s">
        <v>74</v>
      </c>
      <c r="I35" s="48" t="s">
        <v>481</v>
      </c>
      <c r="J35" s="45">
        <v>42780</v>
      </c>
      <c r="K35" s="45">
        <v>42790</v>
      </c>
      <c r="L35" s="45">
        <v>42790</v>
      </c>
    </row>
    <row r="36" spans="1:12" ht="18" customHeight="1">
      <c r="A36" s="43" t="s">
        <v>71</v>
      </c>
      <c r="B36" s="44" t="s">
        <v>72</v>
      </c>
      <c r="C36" s="44" t="s">
        <v>73</v>
      </c>
      <c r="D36" s="85">
        <v>10104918245</v>
      </c>
      <c r="E36" s="44" t="s">
        <v>978</v>
      </c>
      <c r="F36" s="44" t="s">
        <v>75</v>
      </c>
      <c r="G36" s="44" t="s">
        <v>743</v>
      </c>
      <c r="H36" s="44" t="s">
        <v>76</v>
      </c>
      <c r="I36" s="48" t="s">
        <v>482</v>
      </c>
      <c r="J36" s="45">
        <v>42780</v>
      </c>
      <c r="K36" s="45">
        <v>42787</v>
      </c>
      <c r="L36" s="45">
        <v>42787</v>
      </c>
    </row>
    <row r="37" spans="1:12" ht="18" customHeight="1">
      <c r="A37" s="43" t="s">
        <v>71</v>
      </c>
      <c r="B37" s="44" t="s">
        <v>72</v>
      </c>
      <c r="C37" s="44" t="s">
        <v>73</v>
      </c>
      <c r="D37" s="85">
        <v>10104916788</v>
      </c>
      <c r="E37" s="44" t="s">
        <v>981</v>
      </c>
      <c r="F37" s="44" t="s">
        <v>75</v>
      </c>
      <c r="G37" s="44" t="s">
        <v>980</v>
      </c>
      <c r="H37" s="44" t="s">
        <v>74</v>
      </c>
      <c r="I37" s="48" t="s">
        <v>481</v>
      </c>
      <c r="J37" s="45">
        <v>42779</v>
      </c>
      <c r="K37" s="45">
        <v>42790</v>
      </c>
      <c r="L37" s="45">
        <v>42790</v>
      </c>
    </row>
    <row r="38" spans="1:12" ht="18" customHeight="1">
      <c r="A38" s="43" t="s">
        <v>71</v>
      </c>
      <c r="B38" s="44" t="s">
        <v>72</v>
      </c>
      <c r="C38" s="44" t="s">
        <v>73</v>
      </c>
      <c r="D38" s="85">
        <v>10104916787</v>
      </c>
      <c r="E38" s="44" t="s">
        <v>979</v>
      </c>
      <c r="F38" s="44" t="s">
        <v>75</v>
      </c>
      <c r="G38" s="44" t="s">
        <v>980</v>
      </c>
      <c r="H38" s="44" t="s">
        <v>76</v>
      </c>
      <c r="I38" s="48" t="s">
        <v>482</v>
      </c>
      <c r="J38" s="45">
        <v>42779</v>
      </c>
      <c r="K38" s="45">
        <v>42787</v>
      </c>
      <c r="L38" s="45">
        <v>42787</v>
      </c>
    </row>
    <row r="39" spans="1:12" ht="18" customHeight="1">
      <c r="A39" s="43" t="s">
        <v>71</v>
      </c>
      <c r="B39" s="44" t="s">
        <v>72</v>
      </c>
      <c r="C39" s="44" t="s">
        <v>73</v>
      </c>
      <c r="D39" s="85">
        <v>10104911396</v>
      </c>
      <c r="E39" s="44" t="s">
        <v>982</v>
      </c>
      <c r="F39" s="44" t="s">
        <v>75</v>
      </c>
      <c r="G39" s="44" t="s">
        <v>748</v>
      </c>
      <c r="H39" s="44" t="s">
        <v>76</v>
      </c>
      <c r="I39" s="48" t="s">
        <v>482</v>
      </c>
      <c r="J39" s="45">
        <v>42774</v>
      </c>
      <c r="K39" s="45">
        <v>42787</v>
      </c>
      <c r="L39" s="45">
        <v>42787</v>
      </c>
    </row>
    <row r="40" spans="1:12" ht="18" customHeight="1">
      <c r="A40" s="43" t="s">
        <v>71</v>
      </c>
      <c r="B40" s="44" t="s">
        <v>72</v>
      </c>
      <c r="C40" s="44" t="s">
        <v>73</v>
      </c>
      <c r="D40" s="85">
        <v>10104911397</v>
      </c>
      <c r="E40" s="44" t="s">
        <v>983</v>
      </c>
      <c r="F40" s="44" t="s">
        <v>75</v>
      </c>
      <c r="G40" s="44" t="s">
        <v>984</v>
      </c>
      <c r="H40" s="44" t="s">
        <v>76</v>
      </c>
      <c r="I40" s="48" t="s">
        <v>482</v>
      </c>
      <c r="J40" s="45">
        <v>42774</v>
      </c>
      <c r="K40" s="45">
        <v>42787</v>
      </c>
      <c r="L40" s="45">
        <v>42787</v>
      </c>
    </row>
    <row r="41" spans="1:12" ht="18" customHeight="1">
      <c r="A41" s="43" t="s">
        <v>71</v>
      </c>
      <c r="B41" s="44" t="s">
        <v>72</v>
      </c>
      <c r="C41" s="44" t="s">
        <v>73</v>
      </c>
      <c r="D41" s="85">
        <v>10104916789</v>
      </c>
      <c r="E41" s="44" t="s">
        <v>981</v>
      </c>
      <c r="F41" s="44" t="s">
        <v>75</v>
      </c>
      <c r="G41" s="44" t="s">
        <v>701</v>
      </c>
      <c r="H41" s="44" t="s">
        <v>74</v>
      </c>
      <c r="I41" s="48" t="s">
        <v>481</v>
      </c>
      <c r="J41" s="45">
        <v>42779</v>
      </c>
      <c r="K41" s="45">
        <v>42790</v>
      </c>
      <c r="L41" s="45">
        <v>42790</v>
      </c>
    </row>
    <row r="42" spans="1:12" ht="18" customHeight="1">
      <c r="A42" s="43" t="s">
        <v>71</v>
      </c>
      <c r="B42" s="44" t="s">
        <v>72</v>
      </c>
      <c r="C42" s="44" t="s">
        <v>73</v>
      </c>
      <c r="D42" s="85">
        <v>10104918246</v>
      </c>
      <c r="E42" s="44" t="s">
        <v>985</v>
      </c>
      <c r="F42" s="44" t="s">
        <v>75</v>
      </c>
      <c r="G42" s="44" t="s">
        <v>986</v>
      </c>
      <c r="H42" s="44" t="s">
        <v>76</v>
      </c>
      <c r="I42" s="48" t="s">
        <v>482</v>
      </c>
      <c r="J42" s="45">
        <v>42780</v>
      </c>
      <c r="K42" s="45">
        <v>42787</v>
      </c>
      <c r="L42" s="45">
        <v>42787</v>
      </c>
    </row>
    <row r="43" spans="1:12" ht="18" customHeight="1">
      <c r="A43" s="43" t="s">
        <v>71</v>
      </c>
      <c r="B43" s="44" t="s">
        <v>72</v>
      </c>
      <c r="C43" s="44" t="s">
        <v>73</v>
      </c>
      <c r="D43" s="85">
        <v>10104916782</v>
      </c>
      <c r="E43" s="44" t="s">
        <v>77</v>
      </c>
      <c r="F43" s="44" t="s">
        <v>75</v>
      </c>
      <c r="G43" s="44" t="s">
        <v>78</v>
      </c>
      <c r="H43" s="44" t="s">
        <v>76</v>
      </c>
      <c r="I43" s="48" t="s">
        <v>482</v>
      </c>
      <c r="J43" s="45">
        <v>42782</v>
      </c>
      <c r="K43" s="45">
        <v>42787</v>
      </c>
      <c r="L43" s="45">
        <v>42787</v>
      </c>
    </row>
    <row r="44" spans="1:12" ht="18" customHeight="1">
      <c r="A44" s="43" t="s">
        <v>71</v>
      </c>
      <c r="B44" s="44" t="s">
        <v>72</v>
      </c>
      <c r="C44" s="44" t="s">
        <v>73</v>
      </c>
      <c r="D44" s="85">
        <v>10104930702</v>
      </c>
      <c r="E44" s="44" t="s">
        <v>79</v>
      </c>
      <c r="F44" s="44" t="s">
        <v>75</v>
      </c>
      <c r="G44" s="44" t="s">
        <v>80</v>
      </c>
      <c r="H44" s="44" t="s">
        <v>76</v>
      </c>
      <c r="I44" s="48" t="s">
        <v>482</v>
      </c>
      <c r="J44" s="45">
        <v>42787</v>
      </c>
      <c r="K44" s="45">
        <v>42787</v>
      </c>
      <c r="L44" s="45">
        <v>42787</v>
      </c>
    </row>
    <row r="45" spans="1:12" ht="18" customHeight="1">
      <c r="A45" s="43" t="s">
        <v>71</v>
      </c>
      <c r="B45" s="44" t="s">
        <v>72</v>
      </c>
      <c r="C45" s="44" t="s">
        <v>73</v>
      </c>
      <c r="D45" s="85">
        <v>10104918181</v>
      </c>
      <c r="E45" s="44" t="s">
        <v>987</v>
      </c>
      <c r="F45" s="44" t="s">
        <v>75</v>
      </c>
      <c r="G45" s="44" t="s">
        <v>988</v>
      </c>
      <c r="H45" s="44" t="s">
        <v>76</v>
      </c>
      <c r="I45" s="48" t="s">
        <v>482</v>
      </c>
      <c r="J45" s="45">
        <v>42780</v>
      </c>
      <c r="K45" s="45">
        <v>42788</v>
      </c>
      <c r="L45" s="45">
        <v>42788</v>
      </c>
    </row>
    <row r="46" spans="1:12" ht="18" customHeight="1">
      <c r="A46" s="43" t="s">
        <v>71</v>
      </c>
      <c r="B46" s="44" t="s">
        <v>72</v>
      </c>
      <c r="C46" s="44" t="s">
        <v>73</v>
      </c>
      <c r="D46" s="85">
        <v>10104906806</v>
      </c>
      <c r="E46" s="44" t="s">
        <v>81</v>
      </c>
      <c r="F46" s="44" t="s">
        <v>75</v>
      </c>
      <c r="G46" s="44" t="s">
        <v>82</v>
      </c>
      <c r="H46" s="44" t="s">
        <v>76</v>
      </c>
      <c r="I46" s="48" t="s">
        <v>482</v>
      </c>
      <c r="J46" s="45">
        <v>42773</v>
      </c>
      <c r="K46" s="45">
        <v>42788</v>
      </c>
      <c r="L46" s="45">
        <v>42788</v>
      </c>
    </row>
    <row r="47" spans="1:12" ht="18" customHeight="1">
      <c r="A47" s="43" t="s">
        <v>71</v>
      </c>
      <c r="B47" s="44" t="s">
        <v>72</v>
      </c>
      <c r="C47" s="44" t="s">
        <v>73</v>
      </c>
      <c r="D47" s="85">
        <v>10104897716</v>
      </c>
      <c r="E47" s="44" t="s">
        <v>989</v>
      </c>
      <c r="F47" s="44" t="s">
        <v>75</v>
      </c>
      <c r="G47" s="44" t="s">
        <v>83</v>
      </c>
      <c r="H47" s="44" t="s">
        <v>76</v>
      </c>
      <c r="I47" s="48" t="s">
        <v>482</v>
      </c>
      <c r="J47" s="45">
        <v>42769</v>
      </c>
      <c r="K47" s="45">
        <v>42788</v>
      </c>
      <c r="L47" s="45">
        <v>42787</v>
      </c>
    </row>
    <row r="48" spans="1:12" ht="18" customHeight="1">
      <c r="A48" s="43" t="s">
        <v>71</v>
      </c>
      <c r="B48" s="44" t="s">
        <v>72</v>
      </c>
      <c r="C48" s="44" t="s">
        <v>73</v>
      </c>
      <c r="D48" s="85">
        <v>10104897717</v>
      </c>
      <c r="E48" s="44" t="s">
        <v>84</v>
      </c>
      <c r="F48" s="44" t="s">
        <v>75</v>
      </c>
      <c r="G48" s="44" t="s">
        <v>85</v>
      </c>
      <c r="H48" s="44" t="s">
        <v>76</v>
      </c>
      <c r="I48" s="48" t="s">
        <v>482</v>
      </c>
      <c r="J48" s="45">
        <v>42769</v>
      </c>
      <c r="K48" s="45">
        <v>42788</v>
      </c>
      <c r="L48" s="45">
        <v>42787</v>
      </c>
    </row>
    <row r="49" spans="1:12" ht="18" customHeight="1">
      <c r="A49" s="43" t="s">
        <v>71</v>
      </c>
      <c r="B49" s="44" t="s">
        <v>72</v>
      </c>
      <c r="C49" s="44" t="s">
        <v>73</v>
      </c>
      <c r="D49" s="85">
        <v>10104908434</v>
      </c>
      <c r="E49" s="44" t="s">
        <v>86</v>
      </c>
      <c r="F49" s="44" t="s">
        <v>75</v>
      </c>
      <c r="G49" s="44" t="s">
        <v>87</v>
      </c>
      <c r="H49" s="44" t="s">
        <v>76</v>
      </c>
      <c r="I49" s="48" t="s">
        <v>482</v>
      </c>
      <c r="J49" s="45">
        <v>42775</v>
      </c>
      <c r="K49" s="45">
        <v>42787</v>
      </c>
      <c r="L49" s="45">
        <v>42787</v>
      </c>
    </row>
    <row r="50" spans="1:12" ht="18" customHeight="1">
      <c r="A50" s="43" t="s">
        <v>71</v>
      </c>
      <c r="B50" s="44" t="s">
        <v>72</v>
      </c>
      <c r="C50" s="44" t="s">
        <v>73</v>
      </c>
      <c r="D50" s="85">
        <v>10104916763</v>
      </c>
      <c r="E50" s="44" t="s">
        <v>88</v>
      </c>
      <c r="F50" s="44" t="s">
        <v>75</v>
      </c>
      <c r="G50" s="44" t="s">
        <v>89</v>
      </c>
      <c r="H50" s="44" t="s">
        <v>76</v>
      </c>
      <c r="I50" s="48" t="s">
        <v>482</v>
      </c>
      <c r="J50" s="45">
        <v>42782</v>
      </c>
      <c r="K50" s="45">
        <v>42787</v>
      </c>
      <c r="L50" s="45">
        <v>42787</v>
      </c>
    </row>
    <row r="51" spans="1:12" ht="18" customHeight="1">
      <c r="A51" s="43" t="s">
        <v>71</v>
      </c>
      <c r="B51" s="44" t="s">
        <v>72</v>
      </c>
      <c r="C51" s="44" t="s">
        <v>73</v>
      </c>
      <c r="D51" s="85">
        <v>10104897719</v>
      </c>
      <c r="E51" s="44" t="s">
        <v>90</v>
      </c>
      <c r="F51" s="44" t="s">
        <v>75</v>
      </c>
      <c r="G51" s="44" t="s">
        <v>91</v>
      </c>
      <c r="H51" s="44" t="s">
        <v>76</v>
      </c>
      <c r="I51" s="48" t="s">
        <v>482</v>
      </c>
      <c r="J51" s="45">
        <v>42769</v>
      </c>
      <c r="K51" s="45">
        <v>42787</v>
      </c>
      <c r="L51" s="45">
        <v>42787</v>
      </c>
    </row>
    <row r="52" spans="1:12" ht="18" customHeight="1">
      <c r="A52" s="43" t="s">
        <v>71</v>
      </c>
      <c r="B52" s="44" t="s">
        <v>72</v>
      </c>
      <c r="C52" s="44" t="s">
        <v>73</v>
      </c>
      <c r="D52" s="85">
        <v>10104909944</v>
      </c>
      <c r="E52" s="44" t="s">
        <v>990</v>
      </c>
      <c r="F52" s="44" t="s">
        <v>75</v>
      </c>
      <c r="G52" s="44" t="s">
        <v>94</v>
      </c>
      <c r="H52" s="44" t="s">
        <v>74</v>
      </c>
      <c r="I52" s="48" t="s">
        <v>481</v>
      </c>
      <c r="J52" s="45">
        <v>42773</v>
      </c>
      <c r="K52" s="45">
        <v>42790</v>
      </c>
      <c r="L52" s="45">
        <v>42790</v>
      </c>
    </row>
    <row r="53" spans="1:12" ht="18" customHeight="1">
      <c r="A53" s="43" t="s">
        <v>71</v>
      </c>
      <c r="B53" s="44" t="s">
        <v>72</v>
      </c>
      <c r="C53" s="44" t="s">
        <v>73</v>
      </c>
      <c r="D53" s="85">
        <v>10104906809</v>
      </c>
      <c r="E53" s="44" t="s">
        <v>93</v>
      </c>
      <c r="F53" s="44" t="s">
        <v>75</v>
      </c>
      <c r="G53" s="44" t="s">
        <v>94</v>
      </c>
      <c r="H53" s="44" t="s">
        <v>76</v>
      </c>
      <c r="I53" s="48" t="s">
        <v>482</v>
      </c>
      <c r="J53" s="45">
        <v>42773</v>
      </c>
      <c r="K53" s="45">
        <v>42787</v>
      </c>
      <c r="L53" s="45">
        <v>42787</v>
      </c>
    </row>
    <row r="54" spans="1:12" ht="18" customHeight="1">
      <c r="A54" s="43" t="s">
        <v>71</v>
      </c>
      <c r="B54" s="44" t="s">
        <v>72</v>
      </c>
      <c r="C54" s="44" t="s">
        <v>73</v>
      </c>
      <c r="D54" s="85">
        <v>10104930706</v>
      </c>
      <c r="E54" s="44" t="s">
        <v>95</v>
      </c>
      <c r="F54" s="44" t="s">
        <v>75</v>
      </c>
      <c r="G54" s="44" t="s">
        <v>96</v>
      </c>
      <c r="H54" s="44" t="s">
        <v>76</v>
      </c>
      <c r="I54" s="48" t="s">
        <v>482</v>
      </c>
      <c r="J54" s="45">
        <v>42787</v>
      </c>
      <c r="K54" s="45">
        <v>42787</v>
      </c>
      <c r="L54" s="45">
        <v>42787</v>
      </c>
    </row>
    <row r="55" spans="1:12" ht="18" customHeight="1">
      <c r="A55" s="43" t="s">
        <v>71</v>
      </c>
      <c r="B55" s="44" t="s">
        <v>72</v>
      </c>
      <c r="C55" s="44" t="s">
        <v>73</v>
      </c>
      <c r="D55" s="85">
        <v>10104918233</v>
      </c>
      <c r="E55" s="44" t="s">
        <v>991</v>
      </c>
      <c r="F55" s="44" t="s">
        <v>75</v>
      </c>
      <c r="G55" s="44" t="s">
        <v>992</v>
      </c>
      <c r="H55" s="44" t="s">
        <v>76</v>
      </c>
      <c r="I55" s="48" t="s">
        <v>482</v>
      </c>
      <c r="J55" s="45">
        <v>42780</v>
      </c>
      <c r="K55" s="45">
        <v>42787</v>
      </c>
      <c r="L55" s="45">
        <v>42787</v>
      </c>
    </row>
    <row r="56" spans="1:12" ht="18" customHeight="1">
      <c r="A56" s="43" t="s">
        <v>71</v>
      </c>
      <c r="B56" s="44" t="s">
        <v>72</v>
      </c>
      <c r="C56" s="44" t="s">
        <v>73</v>
      </c>
      <c r="D56" s="85">
        <v>10104925159</v>
      </c>
      <c r="E56" s="44" t="s">
        <v>99</v>
      </c>
      <c r="F56" s="44" t="s">
        <v>75</v>
      </c>
      <c r="G56" s="44" t="s">
        <v>98</v>
      </c>
      <c r="H56" s="44" t="s">
        <v>74</v>
      </c>
      <c r="I56" s="48" t="s">
        <v>481</v>
      </c>
      <c r="J56" s="45">
        <v>42789</v>
      </c>
      <c r="K56" s="45">
        <v>42790</v>
      </c>
      <c r="L56" s="45">
        <v>42790</v>
      </c>
    </row>
    <row r="57" spans="1:12" ht="18" customHeight="1">
      <c r="A57" s="43" t="s">
        <v>71</v>
      </c>
      <c r="B57" s="44" t="s">
        <v>72</v>
      </c>
      <c r="C57" s="44" t="s">
        <v>73</v>
      </c>
      <c r="D57" s="85">
        <v>10104897741</v>
      </c>
      <c r="E57" s="44" t="s">
        <v>97</v>
      </c>
      <c r="F57" s="44" t="s">
        <v>75</v>
      </c>
      <c r="G57" s="44" t="s">
        <v>98</v>
      </c>
      <c r="H57" s="44" t="s">
        <v>76</v>
      </c>
      <c r="I57" s="48" t="s">
        <v>482</v>
      </c>
      <c r="J57" s="45">
        <v>42769</v>
      </c>
      <c r="K57" s="45">
        <v>42788</v>
      </c>
      <c r="L57" s="45">
        <v>42788</v>
      </c>
    </row>
    <row r="58" spans="1:12" ht="18" customHeight="1">
      <c r="A58" s="43" t="s">
        <v>71</v>
      </c>
      <c r="B58" s="44" t="s">
        <v>72</v>
      </c>
      <c r="C58" s="44" t="s">
        <v>73</v>
      </c>
      <c r="D58" s="85">
        <v>10104926772</v>
      </c>
      <c r="E58" s="44" t="s">
        <v>993</v>
      </c>
      <c r="F58" s="44" t="s">
        <v>75</v>
      </c>
      <c r="G58" s="44" t="s">
        <v>101</v>
      </c>
      <c r="H58" s="44" t="s">
        <v>74</v>
      </c>
      <c r="I58" s="48" t="s">
        <v>481</v>
      </c>
      <c r="J58" s="45">
        <v>42787</v>
      </c>
      <c r="K58" s="45">
        <v>42790</v>
      </c>
      <c r="L58" s="45">
        <v>42790</v>
      </c>
    </row>
    <row r="59" spans="1:12" ht="18" customHeight="1">
      <c r="A59" s="43" t="s">
        <v>71</v>
      </c>
      <c r="B59" s="44" t="s">
        <v>72</v>
      </c>
      <c r="C59" s="44" t="s">
        <v>73</v>
      </c>
      <c r="D59" s="85">
        <v>10104956185</v>
      </c>
      <c r="E59" s="44" t="s">
        <v>100</v>
      </c>
      <c r="F59" s="44" t="s">
        <v>75</v>
      </c>
      <c r="G59" s="44" t="s">
        <v>101</v>
      </c>
      <c r="H59" s="44" t="s">
        <v>76</v>
      </c>
      <c r="I59" s="48" t="s">
        <v>482</v>
      </c>
      <c r="J59" s="45">
        <v>42787</v>
      </c>
      <c r="K59" s="45">
        <v>42787</v>
      </c>
      <c r="L59" s="45">
        <v>42787</v>
      </c>
    </row>
    <row r="60" spans="1:12" ht="18" customHeight="1">
      <c r="A60" s="43" t="s">
        <v>71</v>
      </c>
      <c r="B60" s="44" t="s">
        <v>72</v>
      </c>
      <c r="C60" s="44" t="s">
        <v>73</v>
      </c>
      <c r="D60" s="85">
        <v>10104939499</v>
      </c>
      <c r="E60" s="44" t="s">
        <v>100</v>
      </c>
      <c r="F60" s="44" t="s">
        <v>75</v>
      </c>
      <c r="G60" s="44" t="s">
        <v>101</v>
      </c>
      <c r="H60" s="44" t="s">
        <v>76</v>
      </c>
      <c r="I60" s="48" t="s">
        <v>482</v>
      </c>
      <c r="J60" s="45">
        <v>42777</v>
      </c>
      <c r="K60" s="45">
        <v>42787</v>
      </c>
      <c r="L60" s="45">
        <v>42787</v>
      </c>
    </row>
    <row r="61" spans="1:12" ht="18" customHeight="1">
      <c r="A61" s="43" t="s">
        <v>71</v>
      </c>
      <c r="B61" s="44" t="s">
        <v>72</v>
      </c>
      <c r="C61" s="44" t="s">
        <v>73</v>
      </c>
      <c r="D61" s="85">
        <v>10104923341</v>
      </c>
      <c r="E61" s="44" t="s">
        <v>102</v>
      </c>
      <c r="F61" s="44" t="s">
        <v>75</v>
      </c>
      <c r="G61" s="44" t="s">
        <v>103</v>
      </c>
      <c r="H61" s="44" t="s">
        <v>74</v>
      </c>
      <c r="I61" s="48" t="s">
        <v>481</v>
      </c>
      <c r="J61" s="45">
        <v>42787</v>
      </c>
      <c r="K61" s="45">
        <v>42790</v>
      </c>
      <c r="L61" s="45">
        <v>42790</v>
      </c>
    </row>
    <row r="62" spans="1:12" ht="18" customHeight="1">
      <c r="A62" s="43" t="s">
        <v>71</v>
      </c>
      <c r="B62" s="44" t="s">
        <v>72</v>
      </c>
      <c r="C62" s="44" t="s">
        <v>73</v>
      </c>
      <c r="D62" s="85">
        <v>10104935230</v>
      </c>
      <c r="E62" s="44" t="s">
        <v>994</v>
      </c>
      <c r="F62" s="44" t="s">
        <v>75</v>
      </c>
      <c r="G62" s="44" t="s">
        <v>103</v>
      </c>
      <c r="H62" s="44" t="s">
        <v>74</v>
      </c>
      <c r="I62" s="48" t="s">
        <v>481</v>
      </c>
      <c r="J62" s="45">
        <v>42790</v>
      </c>
      <c r="K62" s="45">
        <v>42790</v>
      </c>
      <c r="L62" s="45">
        <v>42790</v>
      </c>
    </row>
    <row r="63" spans="1:12" ht="18" customHeight="1">
      <c r="A63" s="43" t="s">
        <v>71</v>
      </c>
      <c r="B63" s="44" t="s">
        <v>72</v>
      </c>
      <c r="C63" s="44" t="s">
        <v>73</v>
      </c>
      <c r="D63" s="85">
        <v>10104925160</v>
      </c>
      <c r="E63" s="44" t="s">
        <v>104</v>
      </c>
      <c r="F63" s="44" t="s">
        <v>75</v>
      </c>
      <c r="G63" s="44" t="s">
        <v>105</v>
      </c>
      <c r="H63" s="44" t="s">
        <v>76</v>
      </c>
      <c r="I63" s="48" t="s">
        <v>482</v>
      </c>
      <c r="J63" s="45">
        <v>42788</v>
      </c>
      <c r="K63" s="45">
        <v>42788</v>
      </c>
      <c r="L63" s="45">
        <v>42788</v>
      </c>
    </row>
    <row r="64" spans="1:12" ht="18" customHeight="1">
      <c r="A64" s="43" t="s">
        <v>71</v>
      </c>
      <c r="B64" s="44" t="s">
        <v>72</v>
      </c>
      <c r="C64" s="44" t="s">
        <v>73</v>
      </c>
      <c r="D64" s="85">
        <v>10104893318</v>
      </c>
      <c r="E64" s="44" t="s">
        <v>995</v>
      </c>
      <c r="F64" s="44" t="s">
        <v>75</v>
      </c>
      <c r="G64" s="44" t="s">
        <v>106</v>
      </c>
      <c r="H64" s="44" t="s">
        <v>76</v>
      </c>
      <c r="I64" s="48" t="s">
        <v>482</v>
      </c>
      <c r="J64" s="45">
        <v>42788</v>
      </c>
      <c r="K64" s="45">
        <v>42788</v>
      </c>
      <c r="L64" s="45">
        <v>42788</v>
      </c>
    </row>
    <row r="65" spans="1:12" ht="18" customHeight="1">
      <c r="A65" s="43" t="s">
        <v>71</v>
      </c>
      <c r="B65" s="44" t="s">
        <v>72</v>
      </c>
      <c r="C65" s="44" t="s">
        <v>73</v>
      </c>
      <c r="D65" s="85">
        <v>10104935231</v>
      </c>
      <c r="E65" s="44" t="s">
        <v>996</v>
      </c>
      <c r="F65" s="44" t="s">
        <v>75</v>
      </c>
      <c r="G65" s="44" t="s">
        <v>108</v>
      </c>
      <c r="H65" s="44" t="s">
        <v>74</v>
      </c>
      <c r="I65" s="48" t="s">
        <v>481</v>
      </c>
      <c r="J65" s="45">
        <v>42790</v>
      </c>
      <c r="K65" s="45">
        <v>42790</v>
      </c>
      <c r="L65" s="45">
        <v>42790</v>
      </c>
    </row>
    <row r="66" spans="1:12" ht="18" customHeight="1">
      <c r="A66" s="43" t="s">
        <v>71</v>
      </c>
      <c r="B66" s="44" t="s">
        <v>72</v>
      </c>
      <c r="C66" s="44" t="s">
        <v>73</v>
      </c>
      <c r="D66" s="85">
        <v>10104916783</v>
      </c>
      <c r="E66" s="44" t="s">
        <v>107</v>
      </c>
      <c r="F66" s="44" t="s">
        <v>75</v>
      </c>
      <c r="G66" s="44" t="s">
        <v>108</v>
      </c>
      <c r="H66" s="44" t="s">
        <v>76</v>
      </c>
      <c r="I66" s="48" t="s">
        <v>482</v>
      </c>
      <c r="J66" s="45">
        <v>42782</v>
      </c>
      <c r="K66" s="45">
        <v>42787</v>
      </c>
      <c r="L66" s="45">
        <v>42787</v>
      </c>
    </row>
    <row r="67" spans="1:12" ht="18" customHeight="1">
      <c r="A67" s="43" t="s">
        <v>71</v>
      </c>
      <c r="B67" s="44" t="s">
        <v>72</v>
      </c>
      <c r="C67" s="44" t="s">
        <v>73</v>
      </c>
      <c r="D67" s="85">
        <v>10104926774</v>
      </c>
      <c r="E67" s="44" t="s">
        <v>999</v>
      </c>
      <c r="F67" s="44" t="s">
        <v>75</v>
      </c>
      <c r="G67" s="44" t="s">
        <v>998</v>
      </c>
      <c r="H67" s="44" t="s">
        <v>76</v>
      </c>
      <c r="I67" s="48" t="s">
        <v>482</v>
      </c>
      <c r="J67" s="45">
        <v>42787</v>
      </c>
      <c r="K67" s="45">
        <v>42788</v>
      </c>
      <c r="L67" s="45">
        <v>42788</v>
      </c>
    </row>
    <row r="68" spans="1:12" ht="18" customHeight="1">
      <c r="A68" s="43" t="s">
        <v>71</v>
      </c>
      <c r="B68" s="44" t="s">
        <v>72</v>
      </c>
      <c r="C68" s="44" t="s">
        <v>73</v>
      </c>
      <c r="D68" s="85">
        <v>10104926775</v>
      </c>
      <c r="E68" s="44" t="s">
        <v>997</v>
      </c>
      <c r="F68" s="44" t="s">
        <v>75</v>
      </c>
      <c r="G68" s="44" t="s">
        <v>998</v>
      </c>
      <c r="H68" s="44" t="s">
        <v>74</v>
      </c>
      <c r="I68" s="48" t="s">
        <v>481</v>
      </c>
      <c r="J68" s="45">
        <v>42787</v>
      </c>
      <c r="K68" s="45">
        <v>42790</v>
      </c>
      <c r="L68" s="45">
        <v>42790</v>
      </c>
    </row>
    <row r="69" spans="1:12" ht="18" customHeight="1">
      <c r="A69" s="43" t="s">
        <v>71</v>
      </c>
      <c r="B69" s="44" t="s">
        <v>72</v>
      </c>
      <c r="C69" s="44" t="s">
        <v>73</v>
      </c>
      <c r="D69" s="85">
        <v>10104897744</v>
      </c>
      <c r="E69" s="44" t="s">
        <v>111</v>
      </c>
      <c r="F69" s="44" t="s">
        <v>75</v>
      </c>
      <c r="G69" s="44" t="s">
        <v>110</v>
      </c>
      <c r="H69" s="44" t="s">
        <v>76</v>
      </c>
      <c r="I69" s="48" t="s">
        <v>482</v>
      </c>
      <c r="J69" s="45">
        <v>42769</v>
      </c>
      <c r="K69" s="45">
        <v>42788</v>
      </c>
      <c r="L69" s="45">
        <v>42788</v>
      </c>
    </row>
    <row r="70" spans="1:12" ht="18" customHeight="1">
      <c r="A70" s="43" t="s">
        <v>71</v>
      </c>
      <c r="B70" s="44" t="s">
        <v>72</v>
      </c>
      <c r="C70" s="44" t="s">
        <v>73</v>
      </c>
      <c r="D70" s="85">
        <v>10104906261</v>
      </c>
      <c r="E70" s="44" t="s">
        <v>109</v>
      </c>
      <c r="F70" s="44" t="s">
        <v>75</v>
      </c>
      <c r="G70" s="44" t="s">
        <v>110</v>
      </c>
      <c r="H70" s="44" t="s">
        <v>74</v>
      </c>
      <c r="I70" s="48" t="s">
        <v>481</v>
      </c>
      <c r="J70" s="45">
        <v>42772</v>
      </c>
      <c r="K70" s="45">
        <v>42790</v>
      </c>
      <c r="L70" s="45">
        <v>42790</v>
      </c>
    </row>
    <row r="71" spans="1:12" ht="18" customHeight="1">
      <c r="A71" s="43" t="s">
        <v>71</v>
      </c>
      <c r="B71" s="44" t="s">
        <v>72</v>
      </c>
      <c r="C71" s="44" t="s">
        <v>73</v>
      </c>
      <c r="D71" s="85">
        <v>10104897745</v>
      </c>
      <c r="E71" s="44" t="s">
        <v>112</v>
      </c>
      <c r="F71" s="44" t="s">
        <v>75</v>
      </c>
      <c r="G71" s="44" t="s">
        <v>113</v>
      </c>
      <c r="H71" s="44" t="s">
        <v>76</v>
      </c>
      <c r="I71" s="48" t="s">
        <v>482</v>
      </c>
      <c r="J71" s="45">
        <v>42769</v>
      </c>
      <c r="K71" s="45">
        <v>42787</v>
      </c>
      <c r="L71" s="45">
        <v>42787</v>
      </c>
    </row>
    <row r="72" spans="1:12" ht="18" customHeight="1">
      <c r="A72" s="43" t="s">
        <v>71</v>
      </c>
      <c r="B72" s="44" t="s">
        <v>72</v>
      </c>
      <c r="C72" s="44" t="s">
        <v>73</v>
      </c>
      <c r="D72" s="85">
        <v>10104918236</v>
      </c>
      <c r="E72" s="44" t="s">
        <v>1002</v>
      </c>
      <c r="F72" s="44" t="s">
        <v>75</v>
      </c>
      <c r="G72" s="44" t="s">
        <v>1001</v>
      </c>
      <c r="H72" s="44" t="s">
        <v>76</v>
      </c>
      <c r="I72" s="48" t="s">
        <v>482</v>
      </c>
      <c r="J72" s="45">
        <v>42780</v>
      </c>
      <c r="K72" s="45">
        <v>42787</v>
      </c>
      <c r="L72" s="45">
        <v>42787</v>
      </c>
    </row>
    <row r="73" spans="1:12" ht="18" customHeight="1">
      <c r="A73" s="43" t="s">
        <v>71</v>
      </c>
      <c r="B73" s="44" t="s">
        <v>72</v>
      </c>
      <c r="C73" s="44" t="s">
        <v>73</v>
      </c>
      <c r="D73" s="85">
        <v>10104918237</v>
      </c>
      <c r="E73" s="44" t="s">
        <v>1000</v>
      </c>
      <c r="F73" s="44" t="s">
        <v>75</v>
      </c>
      <c r="G73" s="44" t="s">
        <v>1001</v>
      </c>
      <c r="H73" s="44" t="s">
        <v>74</v>
      </c>
      <c r="I73" s="48" t="s">
        <v>481</v>
      </c>
      <c r="J73" s="45">
        <v>42780</v>
      </c>
      <c r="K73" s="45">
        <v>42790</v>
      </c>
      <c r="L73" s="45">
        <v>42790</v>
      </c>
    </row>
    <row r="74" spans="1:12" ht="18" customHeight="1">
      <c r="A74" s="43" t="s">
        <v>71</v>
      </c>
      <c r="B74" s="44" t="s">
        <v>72</v>
      </c>
      <c r="C74" s="44" t="s">
        <v>73</v>
      </c>
      <c r="D74" s="85">
        <v>10104897743</v>
      </c>
      <c r="E74" s="44" t="s">
        <v>1003</v>
      </c>
      <c r="F74" s="44" t="s">
        <v>75</v>
      </c>
      <c r="G74" s="44" t="s">
        <v>114</v>
      </c>
      <c r="H74" s="44" t="s">
        <v>76</v>
      </c>
      <c r="I74" s="48" t="s">
        <v>482</v>
      </c>
      <c r="J74" s="45">
        <v>42769</v>
      </c>
      <c r="K74" s="45">
        <v>42788</v>
      </c>
      <c r="L74" s="45">
        <v>42787</v>
      </c>
    </row>
    <row r="75" spans="1:12" ht="18" customHeight="1">
      <c r="A75" s="43" t="s">
        <v>71</v>
      </c>
      <c r="B75" s="44" t="s">
        <v>72</v>
      </c>
      <c r="C75" s="44" t="s">
        <v>73</v>
      </c>
      <c r="D75" s="85">
        <v>10104896731</v>
      </c>
      <c r="E75" s="44" t="s">
        <v>116</v>
      </c>
      <c r="F75" s="44" t="s">
        <v>75</v>
      </c>
      <c r="G75" s="44" t="s">
        <v>115</v>
      </c>
      <c r="H75" s="44" t="s">
        <v>76</v>
      </c>
      <c r="I75" s="48" t="s">
        <v>482</v>
      </c>
      <c r="J75" s="45">
        <v>42768</v>
      </c>
      <c r="K75" s="45">
        <v>42787</v>
      </c>
      <c r="L75" s="45">
        <v>42787</v>
      </c>
    </row>
    <row r="76" spans="1:12" ht="18" customHeight="1">
      <c r="A76" s="43" t="s">
        <v>71</v>
      </c>
      <c r="B76" s="44" t="s">
        <v>72</v>
      </c>
      <c r="C76" s="44" t="s">
        <v>73</v>
      </c>
      <c r="D76" s="85">
        <v>10104918235</v>
      </c>
      <c r="E76" s="44" t="s">
        <v>808</v>
      </c>
      <c r="F76" s="44" t="s">
        <v>75</v>
      </c>
      <c r="G76" s="44" t="s">
        <v>117</v>
      </c>
      <c r="H76" s="44" t="s">
        <v>74</v>
      </c>
      <c r="I76" s="48" t="s">
        <v>481</v>
      </c>
      <c r="J76" s="45">
        <v>42783</v>
      </c>
      <c r="K76" s="45">
        <v>42790</v>
      </c>
      <c r="L76" s="45">
        <v>42790</v>
      </c>
    </row>
    <row r="77" spans="1:12" ht="18" customHeight="1">
      <c r="A77" s="43" t="s">
        <v>71</v>
      </c>
      <c r="B77" s="44" t="s">
        <v>72</v>
      </c>
      <c r="C77" s="44" t="s">
        <v>73</v>
      </c>
      <c r="D77" s="85">
        <v>10104935232</v>
      </c>
      <c r="E77" s="44" t="s">
        <v>1004</v>
      </c>
      <c r="F77" s="44" t="s">
        <v>75</v>
      </c>
      <c r="G77" s="44" t="s">
        <v>118</v>
      </c>
      <c r="H77" s="44" t="s">
        <v>74</v>
      </c>
      <c r="I77" s="48" t="s">
        <v>481</v>
      </c>
      <c r="J77" s="45">
        <v>42790</v>
      </c>
      <c r="K77" s="45">
        <v>42790</v>
      </c>
      <c r="L77" s="45">
        <v>42790</v>
      </c>
    </row>
    <row r="78" spans="1:12" ht="18" customHeight="1">
      <c r="A78" s="43" t="s">
        <v>71</v>
      </c>
      <c r="B78" s="44" t="s">
        <v>72</v>
      </c>
      <c r="C78" s="44" t="s">
        <v>73</v>
      </c>
      <c r="D78" s="85">
        <v>10104915889</v>
      </c>
      <c r="E78" s="44" t="s">
        <v>597</v>
      </c>
      <c r="F78" s="44" t="s">
        <v>75</v>
      </c>
      <c r="G78" s="44" t="s">
        <v>118</v>
      </c>
      <c r="H78" s="44" t="s">
        <v>76</v>
      </c>
      <c r="I78" s="48" t="s">
        <v>482</v>
      </c>
      <c r="J78" s="45">
        <v>42781</v>
      </c>
      <c r="K78" s="45">
        <v>42787</v>
      </c>
      <c r="L78" s="45">
        <v>42787</v>
      </c>
    </row>
    <row r="79" spans="1:12" ht="18" customHeight="1">
      <c r="A79" s="43" t="s">
        <v>71</v>
      </c>
      <c r="B79" s="44" t="s">
        <v>72</v>
      </c>
      <c r="C79" s="44" t="s">
        <v>73</v>
      </c>
      <c r="D79" s="85">
        <v>10104897746</v>
      </c>
      <c r="E79" s="44" t="s">
        <v>691</v>
      </c>
      <c r="F79" s="44" t="s">
        <v>75</v>
      </c>
      <c r="G79" s="44" t="s">
        <v>119</v>
      </c>
      <c r="H79" s="44" t="s">
        <v>76</v>
      </c>
      <c r="I79" s="48" t="s">
        <v>482</v>
      </c>
      <c r="J79" s="45">
        <v>42769</v>
      </c>
      <c r="K79" s="45">
        <v>42787</v>
      </c>
      <c r="L79" s="45">
        <v>42787</v>
      </c>
    </row>
    <row r="80" spans="1:12" ht="18" customHeight="1">
      <c r="A80" s="43" t="s">
        <v>71</v>
      </c>
      <c r="B80" s="44" t="s">
        <v>72</v>
      </c>
      <c r="C80" s="44" t="s">
        <v>73</v>
      </c>
      <c r="D80" s="85">
        <v>10104925760</v>
      </c>
      <c r="E80" s="44" t="s">
        <v>911</v>
      </c>
      <c r="F80" s="44" t="s">
        <v>75</v>
      </c>
      <c r="G80" s="44" t="s">
        <v>739</v>
      </c>
      <c r="H80" s="44" t="s">
        <v>74</v>
      </c>
      <c r="I80" s="48" t="s">
        <v>481</v>
      </c>
      <c r="J80" s="45">
        <v>42789</v>
      </c>
      <c r="K80" s="45">
        <v>42790</v>
      </c>
      <c r="L80" s="45">
        <v>42790</v>
      </c>
    </row>
    <row r="81" spans="1:12" ht="18" customHeight="1">
      <c r="A81" s="43" t="s">
        <v>71</v>
      </c>
      <c r="B81" s="44" t="s">
        <v>72</v>
      </c>
      <c r="C81" s="44" t="s">
        <v>73</v>
      </c>
      <c r="D81" s="85">
        <v>10104924826</v>
      </c>
      <c r="E81" s="44" t="s">
        <v>1005</v>
      </c>
      <c r="F81" s="44" t="s">
        <v>75</v>
      </c>
      <c r="G81" s="44" t="s">
        <v>739</v>
      </c>
      <c r="H81" s="44" t="s">
        <v>76</v>
      </c>
      <c r="I81" s="48" t="s">
        <v>482</v>
      </c>
      <c r="J81" s="45">
        <v>42789</v>
      </c>
      <c r="K81" s="45">
        <v>42790</v>
      </c>
      <c r="L81" s="45">
        <v>42790</v>
      </c>
    </row>
    <row r="82" spans="1:12" ht="18" customHeight="1">
      <c r="A82" s="43" t="s">
        <v>71</v>
      </c>
      <c r="B82" s="44" t="s">
        <v>72</v>
      </c>
      <c r="C82" s="44" t="s">
        <v>120</v>
      </c>
      <c r="D82" s="85">
        <v>10104929730</v>
      </c>
      <c r="E82" s="44" t="s">
        <v>797</v>
      </c>
      <c r="F82" s="44" t="s">
        <v>180</v>
      </c>
      <c r="G82" s="44" t="s">
        <v>82</v>
      </c>
      <c r="H82" s="44" t="s">
        <v>131</v>
      </c>
      <c r="I82" s="48" t="s">
        <v>481</v>
      </c>
      <c r="J82" s="45">
        <v>42782</v>
      </c>
      <c r="K82" s="45">
        <v>42782</v>
      </c>
      <c r="L82" s="45">
        <v>42781</v>
      </c>
    </row>
    <row r="83" spans="1:12" ht="18" customHeight="1">
      <c r="A83" s="43" t="s">
        <v>138</v>
      </c>
      <c r="B83" s="44" t="s">
        <v>139</v>
      </c>
      <c r="C83" s="44" t="s">
        <v>73</v>
      </c>
      <c r="D83" s="85">
        <v>10104926781</v>
      </c>
      <c r="E83" s="44" t="s">
        <v>1015</v>
      </c>
      <c r="F83" s="44" t="s">
        <v>596</v>
      </c>
      <c r="G83" s="44" t="s">
        <v>1016</v>
      </c>
      <c r="H83" s="44" t="s">
        <v>74</v>
      </c>
      <c r="I83" s="48" t="s">
        <v>481</v>
      </c>
      <c r="J83" s="45">
        <v>42787</v>
      </c>
      <c r="K83" s="45">
        <v>42787</v>
      </c>
      <c r="L83" s="45"/>
    </row>
    <row r="84" spans="1:12" ht="18" customHeight="1">
      <c r="A84" s="43" t="s">
        <v>138</v>
      </c>
      <c r="B84" s="44" t="s">
        <v>139</v>
      </c>
      <c r="C84" s="44" t="s">
        <v>73</v>
      </c>
      <c r="D84" s="85">
        <v>10104930773</v>
      </c>
      <c r="E84" s="44" t="s">
        <v>484</v>
      </c>
      <c r="F84" s="44" t="s">
        <v>146</v>
      </c>
      <c r="G84" s="44" t="s">
        <v>140</v>
      </c>
      <c r="H84" s="44" t="s">
        <v>76</v>
      </c>
      <c r="I84" s="48" t="s">
        <v>482</v>
      </c>
      <c r="J84" s="45">
        <v>42793</v>
      </c>
      <c r="K84" s="45">
        <v>42796</v>
      </c>
      <c r="L84" s="45"/>
    </row>
    <row r="85" spans="1:12" ht="18" customHeight="1">
      <c r="A85" s="43" t="s">
        <v>138</v>
      </c>
      <c r="B85" s="44" t="s">
        <v>139</v>
      </c>
      <c r="C85" s="44" t="s">
        <v>73</v>
      </c>
      <c r="D85" s="85">
        <v>10104895958</v>
      </c>
      <c r="E85" s="44" t="s">
        <v>879</v>
      </c>
      <c r="F85" s="44" t="s">
        <v>829</v>
      </c>
      <c r="G85" s="44" t="s">
        <v>140</v>
      </c>
      <c r="H85" s="44" t="s">
        <v>76</v>
      </c>
      <c r="I85" s="48" t="s">
        <v>482</v>
      </c>
      <c r="J85" s="45">
        <v>42767</v>
      </c>
      <c r="K85" s="45">
        <v>42796</v>
      </c>
      <c r="L85" s="45"/>
    </row>
    <row r="86" spans="1:12" ht="18" customHeight="1">
      <c r="A86" s="43" t="s">
        <v>138</v>
      </c>
      <c r="B86" s="44" t="s">
        <v>139</v>
      </c>
      <c r="C86" s="44" t="s">
        <v>73</v>
      </c>
      <c r="D86" s="85">
        <v>10104930717</v>
      </c>
      <c r="E86" s="44" t="s">
        <v>141</v>
      </c>
      <c r="F86" s="44" t="s">
        <v>146</v>
      </c>
      <c r="G86" s="44" t="s">
        <v>140</v>
      </c>
      <c r="H86" s="44" t="s">
        <v>74</v>
      </c>
      <c r="I86" s="48" t="s">
        <v>481</v>
      </c>
      <c r="J86" s="45">
        <v>42793</v>
      </c>
      <c r="K86" s="45">
        <v>42796</v>
      </c>
      <c r="L86" s="45"/>
    </row>
    <row r="87" spans="1:12" ht="18" customHeight="1">
      <c r="A87" s="43" t="s">
        <v>138</v>
      </c>
      <c r="B87" s="44" t="s">
        <v>139</v>
      </c>
      <c r="C87" s="44" t="s">
        <v>73</v>
      </c>
      <c r="D87" s="85">
        <v>10104895957</v>
      </c>
      <c r="E87" s="44" t="s">
        <v>640</v>
      </c>
      <c r="F87" s="44" t="s">
        <v>829</v>
      </c>
      <c r="G87" s="44" t="s">
        <v>143</v>
      </c>
      <c r="H87" s="44" t="s">
        <v>76</v>
      </c>
      <c r="I87" s="48" t="s">
        <v>482</v>
      </c>
      <c r="J87" s="45">
        <v>42767</v>
      </c>
      <c r="K87" s="45">
        <v>42796</v>
      </c>
      <c r="L87" s="45"/>
    </row>
    <row r="88" spans="1:12" ht="18" customHeight="1">
      <c r="A88" s="43" t="s">
        <v>138</v>
      </c>
      <c r="B88" s="44" t="s">
        <v>139</v>
      </c>
      <c r="C88" s="44" t="s">
        <v>73</v>
      </c>
      <c r="D88" s="85">
        <v>10104930716</v>
      </c>
      <c r="E88" s="44" t="s">
        <v>142</v>
      </c>
      <c r="F88" s="44" t="s">
        <v>146</v>
      </c>
      <c r="G88" s="44" t="s">
        <v>143</v>
      </c>
      <c r="H88" s="44" t="s">
        <v>74</v>
      </c>
      <c r="I88" s="48" t="s">
        <v>481</v>
      </c>
      <c r="J88" s="45">
        <v>42793</v>
      </c>
      <c r="K88" s="45">
        <v>42796</v>
      </c>
      <c r="L88" s="45"/>
    </row>
    <row r="89" spans="1:12" ht="18" customHeight="1">
      <c r="A89" s="43" t="s">
        <v>138</v>
      </c>
      <c r="B89" s="44" t="s">
        <v>144</v>
      </c>
      <c r="C89" s="44" t="s">
        <v>73</v>
      </c>
      <c r="D89" s="85">
        <v>10104930724</v>
      </c>
      <c r="E89" s="44" t="s">
        <v>145</v>
      </c>
      <c r="F89" s="44" t="s">
        <v>146</v>
      </c>
      <c r="G89" s="44" t="s">
        <v>147</v>
      </c>
      <c r="H89" s="44" t="s">
        <v>74</v>
      </c>
      <c r="I89" s="48" t="s">
        <v>481</v>
      </c>
      <c r="J89" s="45">
        <v>42793</v>
      </c>
      <c r="K89" s="45">
        <v>42796</v>
      </c>
      <c r="L89" s="45"/>
    </row>
    <row r="90" spans="1:12" ht="18" customHeight="1">
      <c r="A90" s="43" t="s">
        <v>138</v>
      </c>
      <c r="B90" s="44" t="s">
        <v>148</v>
      </c>
      <c r="C90" s="44" t="s">
        <v>73</v>
      </c>
      <c r="D90" s="85">
        <v>10104910431</v>
      </c>
      <c r="E90" s="44" t="s">
        <v>485</v>
      </c>
      <c r="F90" s="44" t="s">
        <v>146</v>
      </c>
      <c r="G90" s="44" t="s">
        <v>149</v>
      </c>
      <c r="H90" s="44" t="s">
        <v>76</v>
      </c>
      <c r="I90" s="48" t="s">
        <v>482</v>
      </c>
      <c r="J90" s="45">
        <v>42776</v>
      </c>
      <c r="K90" s="45">
        <v>42796</v>
      </c>
      <c r="L90" s="45"/>
    </row>
    <row r="91" spans="1:12" ht="18" customHeight="1">
      <c r="A91" s="43" t="s">
        <v>138</v>
      </c>
      <c r="B91" s="44" t="s">
        <v>148</v>
      </c>
      <c r="C91" s="44" t="s">
        <v>73</v>
      </c>
      <c r="D91" s="85">
        <v>10104910321</v>
      </c>
      <c r="E91" s="44" t="s">
        <v>702</v>
      </c>
      <c r="F91" s="44" t="s">
        <v>219</v>
      </c>
      <c r="G91" s="44" t="s">
        <v>149</v>
      </c>
      <c r="H91" s="44" t="s">
        <v>74</v>
      </c>
      <c r="I91" s="48" t="s">
        <v>481</v>
      </c>
      <c r="J91" s="45">
        <v>42776</v>
      </c>
      <c r="K91" s="45">
        <v>42796</v>
      </c>
      <c r="L91" s="45"/>
    </row>
    <row r="92" spans="1:12" ht="18" customHeight="1">
      <c r="A92" s="43" t="s">
        <v>138</v>
      </c>
      <c r="B92" s="44" t="s">
        <v>148</v>
      </c>
      <c r="C92" s="44" t="s">
        <v>73</v>
      </c>
      <c r="D92" s="85">
        <v>10104910455</v>
      </c>
      <c r="E92" s="44" t="s">
        <v>486</v>
      </c>
      <c r="F92" s="44" t="s">
        <v>146</v>
      </c>
      <c r="G92" s="44" t="s">
        <v>150</v>
      </c>
      <c r="H92" s="44" t="s">
        <v>76</v>
      </c>
      <c r="I92" s="48" t="s">
        <v>482</v>
      </c>
      <c r="J92" s="45">
        <v>42776</v>
      </c>
      <c r="K92" s="45">
        <v>42796</v>
      </c>
      <c r="L92" s="45"/>
    </row>
    <row r="93" spans="1:12" ht="18" customHeight="1">
      <c r="A93" s="43" t="s">
        <v>138</v>
      </c>
      <c r="B93" s="44" t="s">
        <v>148</v>
      </c>
      <c r="C93" s="44" t="s">
        <v>73</v>
      </c>
      <c r="D93" s="85">
        <v>10104930719</v>
      </c>
      <c r="E93" s="44" t="s">
        <v>641</v>
      </c>
      <c r="F93" s="44" t="s">
        <v>146</v>
      </c>
      <c r="G93" s="44" t="s">
        <v>151</v>
      </c>
      <c r="H93" s="44" t="s">
        <v>76</v>
      </c>
      <c r="I93" s="48" t="s">
        <v>482</v>
      </c>
      <c r="J93" s="45">
        <v>42793</v>
      </c>
      <c r="K93" s="45">
        <v>42796</v>
      </c>
      <c r="L93" s="45"/>
    </row>
    <row r="94" spans="1:12" ht="18" customHeight="1">
      <c r="A94" s="43" t="s">
        <v>138</v>
      </c>
      <c r="B94" s="44" t="s">
        <v>139</v>
      </c>
      <c r="C94" s="44" t="s">
        <v>73</v>
      </c>
      <c r="D94" s="85">
        <v>10104930721</v>
      </c>
      <c r="E94" s="44" t="s">
        <v>152</v>
      </c>
      <c r="F94" s="44" t="s">
        <v>146</v>
      </c>
      <c r="G94" s="44" t="s">
        <v>153</v>
      </c>
      <c r="H94" s="44" t="s">
        <v>74</v>
      </c>
      <c r="I94" s="48" t="s">
        <v>481</v>
      </c>
      <c r="J94" s="45">
        <v>42793</v>
      </c>
      <c r="K94" s="45">
        <v>42796</v>
      </c>
      <c r="L94" s="45"/>
    </row>
    <row r="95" spans="1:12" ht="18" customHeight="1">
      <c r="A95" s="43" t="s">
        <v>138</v>
      </c>
      <c r="B95" s="44" t="s">
        <v>139</v>
      </c>
      <c r="C95" s="44" t="s">
        <v>73</v>
      </c>
      <c r="D95" s="85">
        <v>10104930720</v>
      </c>
      <c r="E95" s="44" t="s">
        <v>880</v>
      </c>
      <c r="F95" s="44" t="s">
        <v>146</v>
      </c>
      <c r="G95" s="44" t="s">
        <v>153</v>
      </c>
      <c r="H95" s="44" t="s">
        <v>76</v>
      </c>
      <c r="I95" s="48" t="s">
        <v>482</v>
      </c>
      <c r="J95" s="45">
        <v>42793</v>
      </c>
      <c r="K95" s="45">
        <v>42796</v>
      </c>
      <c r="L95" s="45"/>
    </row>
    <row r="96" spans="1:12" ht="18" customHeight="1">
      <c r="A96" s="43" t="s">
        <v>138</v>
      </c>
      <c r="B96" s="44" t="s">
        <v>148</v>
      </c>
      <c r="C96" s="44" t="s">
        <v>73</v>
      </c>
      <c r="D96" s="85">
        <v>10104915075</v>
      </c>
      <c r="E96" s="44" t="s">
        <v>487</v>
      </c>
      <c r="F96" s="44" t="s">
        <v>146</v>
      </c>
      <c r="G96" s="44" t="s">
        <v>488</v>
      </c>
      <c r="H96" s="44" t="s">
        <v>74</v>
      </c>
      <c r="I96" s="48" t="s">
        <v>481</v>
      </c>
      <c r="J96" s="45">
        <v>42780</v>
      </c>
      <c r="K96" s="45">
        <v>42796</v>
      </c>
      <c r="L96" s="45"/>
    </row>
    <row r="97" spans="1:12" ht="18" customHeight="1">
      <c r="A97" s="43" t="s">
        <v>138</v>
      </c>
      <c r="B97" s="44" t="s">
        <v>148</v>
      </c>
      <c r="C97" s="44" t="s">
        <v>73</v>
      </c>
      <c r="D97" s="85">
        <v>10104910454</v>
      </c>
      <c r="E97" s="44" t="s">
        <v>881</v>
      </c>
      <c r="F97" s="44" t="s">
        <v>146</v>
      </c>
      <c r="G97" s="44" t="s">
        <v>154</v>
      </c>
      <c r="H97" s="44" t="s">
        <v>76</v>
      </c>
      <c r="I97" s="48" t="s">
        <v>482</v>
      </c>
      <c r="J97" s="45">
        <v>42776</v>
      </c>
      <c r="K97" s="45">
        <v>42796</v>
      </c>
      <c r="L97" s="45"/>
    </row>
    <row r="98" spans="1:12" ht="18" customHeight="1">
      <c r="A98" s="43" t="s">
        <v>138</v>
      </c>
      <c r="B98" s="44" t="s">
        <v>148</v>
      </c>
      <c r="C98" s="44" t="s">
        <v>73</v>
      </c>
      <c r="D98" s="85">
        <v>10104910337</v>
      </c>
      <c r="E98" s="44" t="s">
        <v>489</v>
      </c>
      <c r="F98" s="44" t="s">
        <v>219</v>
      </c>
      <c r="G98" s="44" t="s">
        <v>154</v>
      </c>
      <c r="H98" s="44" t="s">
        <v>74</v>
      </c>
      <c r="I98" s="48" t="s">
        <v>481</v>
      </c>
      <c r="J98" s="45">
        <v>42776</v>
      </c>
      <c r="K98" s="45">
        <v>42796</v>
      </c>
      <c r="L98" s="45"/>
    </row>
    <row r="99" spans="1:12" ht="18" customHeight="1">
      <c r="A99" s="43" t="s">
        <v>138</v>
      </c>
      <c r="B99" s="44" t="s">
        <v>144</v>
      </c>
      <c r="C99" s="44" t="s">
        <v>73</v>
      </c>
      <c r="D99" s="85">
        <v>10104923792</v>
      </c>
      <c r="E99" s="44" t="s">
        <v>506</v>
      </c>
      <c r="F99" s="44" t="s">
        <v>146</v>
      </c>
      <c r="G99" s="44" t="s">
        <v>507</v>
      </c>
      <c r="H99" s="44" t="s">
        <v>74</v>
      </c>
      <c r="I99" s="48" t="s">
        <v>481</v>
      </c>
      <c r="J99" s="45">
        <v>42787</v>
      </c>
      <c r="K99" s="45">
        <v>42796</v>
      </c>
      <c r="L99" s="45"/>
    </row>
    <row r="100" spans="1:12" ht="18" customHeight="1">
      <c r="A100" s="43" t="s">
        <v>138</v>
      </c>
      <c r="B100" s="44" t="s">
        <v>144</v>
      </c>
      <c r="C100" s="44" t="s">
        <v>73</v>
      </c>
      <c r="D100" s="85">
        <v>10104925845</v>
      </c>
      <c r="E100" s="44" t="s">
        <v>585</v>
      </c>
      <c r="F100" s="44" t="s">
        <v>146</v>
      </c>
      <c r="G100" s="44" t="s">
        <v>507</v>
      </c>
      <c r="H100" s="44" t="s">
        <v>76</v>
      </c>
      <c r="I100" s="48" t="s">
        <v>482</v>
      </c>
      <c r="J100" s="45">
        <v>42789</v>
      </c>
      <c r="K100" s="45">
        <v>42796</v>
      </c>
      <c r="L100" s="45"/>
    </row>
    <row r="101" spans="1:12" ht="18" customHeight="1">
      <c r="A101" s="43" t="s">
        <v>138</v>
      </c>
      <c r="B101" s="44" t="s">
        <v>148</v>
      </c>
      <c r="C101" s="44" t="s">
        <v>73</v>
      </c>
      <c r="D101" s="85">
        <v>10104929561</v>
      </c>
      <c r="E101" s="44" t="s">
        <v>157</v>
      </c>
      <c r="F101" s="44" t="s">
        <v>146</v>
      </c>
      <c r="G101" s="44" t="s">
        <v>156</v>
      </c>
      <c r="H101" s="44" t="s">
        <v>74</v>
      </c>
      <c r="I101" s="48" t="s">
        <v>481</v>
      </c>
      <c r="J101" s="45">
        <v>42792</v>
      </c>
      <c r="K101" s="45">
        <v>42796</v>
      </c>
      <c r="L101" s="45"/>
    </row>
    <row r="102" spans="1:12" ht="18" customHeight="1">
      <c r="A102" s="43" t="s">
        <v>138</v>
      </c>
      <c r="B102" s="44" t="s">
        <v>148</v>
      </c>
      <c r="C102" s="44" t="s">
        <v>73</v>
      </c>
      <c r="D102" s="85">
        <v>10104932115</v>
      </c>
      <c r="E102" s="44" t="s">
        <v>155</v>
      </c>
      <c r="F102" s="44" t="s">
        <v>146</v>
      </c>
      <c r="G102" s="44" t="s">
        <v>156</v>
      </c>
      <c r="H102" s="44" t="s">
        <v>74</v>
      </c>
      <c r="I102" s="48" t="s">
        <v>481</v>
      </c>
      <c r="J102" s="45">
        <v>42778</v>
      </c>
      <c r="K102" s="45">
        <v>42796</v>
      </c>
      <c r="L102" s="45"/>
    </row>
    <row r="103" spans="1:12" ht="18" customHeight="1">
      <c r="A103" s="43" t="s">
        <v>138</v>
      </c>
      <c r="B103" s="44" t="s">
        <v>148</v>
      </c>
      <c r="C103" s="44" t="s">
        <v>73</v>
      </c>
      <c r="D103" s="85">
        <v>10104948930</v>
      </c>
      <c r="E103" s="44" t="s">
        <v>155</v>
      </c>
      <c r="F103" s="44" t="s">
        <v>146</v>
      </c>
      <c r="G103" s="44" t="s">
        <v>156</v>
      </c>
      <c r="H103" s="44" t="s">
        <v>74</v>
      </c>
      <c r="I103" s="48" t="s">
        <v>481</v>
      </c>
      <c r="J103" s="45">
        <v>42792</v>
      </c>
      <c r="K103" s="45">
        <v>42796</v>
      </c>
      <c r="L103" s="45"/>
    </row>
    <row r="104" spans="1:12" ht="18" customHeight="1">
      <c r="A104" s="43" t="s">
        <v>138</v>
      </c>
      <c r="B104" s="44" t="s">
        <v>139</v>
      </c>
      <c r="C104" s="44" t="s">
        <v>73</v>
      </c>
      <c r="D104" s="85">
        <v>10104930723</v>
      </c>
      <c r="E104" s="44" t="s">
        <v>561</v>
      </c>
      <c r="F104" s="44" t="s">
        <v>146</v>
      </c>
      <c r="G104" s="44" t="s">
        <v>158</v>
      </c>
      <c r="H104" s="44" t="s">
        <v>74</v>
      </c>
      <c r="I104" s="48" t="s">
        <v>481</v>
      </c>
      <c r="J104" s="45">
        <v>42793</v>
      </c>
      <c r="K104" s="45">
        <v>42796</v>
      </c>
      <c r="L104" s="45"/>
    </row>
    <row r="105" spans="1:12" ht="18" customHeight="1">
      <c r="A105" s="43" t="s">
        <v>138</v>
      </c>
      <c r="B105" s="44" t="s">
        <v>148</v>
      </c>
      <c r="C105" s="44" t="s">
        <v>73</v>
      </c>
      <c r="D105" s="85">
        <v>10104923795</v>
      </c>
      <c r="E105" s="44" t="s">
        <v>882</v>
      </c>
      <c r="F105" s="44" t="s">
        <v>146</v>
      </c>
      <c r="G105" s="44" t="s">
        <v>159</v>
      </c>
      <c r="H105" s="44" t="s">
        <v>76</v>
      </c>
      <c r="I105" s="48" t="s">
        <v>482</v>
      </c>
      <c r="J105" s="45">
        <v>42787</v>
      </c>
      <c r="K105" s="45">
        <v>42796</v>
      </c>
      <c r="L105" s="45"/>
    </row>
    <row r="106" spans="1:12" ht="18" customHeight="1">
      <c r="A106" s="43" t="s">
        <v>138</v>
      </c>
      <c r="B106" s="44" t="s">
        <v>148</v>
      </c>
      <c r="C106" s="44" t="s">
        <v>73</v>
      </c>
      <c r="D106" s="85">
        <v>10104910452</v>
      </c>
      <c r="E106" s="44" t="s">
        <v>883</v>
      </c>
      <c r="F106" s="44" t="s">
        <v>146</v>
      </c>
      <c r="G106" s="44" t="s">
        <v>160</v>
      </c>
      <c r="H106" s="44" t="s">
        <v>76</v>
      </c>
      <c r="I106" s="48" t="s">
        <v>482</v>
      </c>
      <c r="J106" s="45">
        <v>42776</v>
      </c>
      <c r="K106" s="45">
        <v>42796</v>
      </c>
      <c r="L106" s="45"/>
    </row>
    <row r="107" spans="1:12" ht="18" customHeight="1">
      <c r="A107" s="43" t="s">
        <v>138</v>
      </c>
      <c r="B107" s="44" t="s">
        <v>148</v>
      </c>
      <c r="C107" s="44" t="s">
        <v>73</v>
      </c>
      <c r="D107" s="85">
        <v>10104910319</v>
      </c>
      <c r="E107" s="44" t="s">
        <v>1017</v>
      </c>
      <c r="F107" s="44" t="s">
        <v>180</v>
      </c>
      <c r="G107" s="44" t="s">
        <v>160</v>
      </c>
      <c r="H107" s="44" t="s">
        <v>74</v>
      </c>
      <c r="I107" s="48" t="s">
        <v>481</v>
      </c>
      <c r="J107" s="45">
        <v>42776</v>
      </c>
      <c r="K107" s="45">
        <v>42796</v>
      </c>
      <c r="L107" s="45">
        <v>42796</v>
      </c>
    </row>
    <row r="108" spans="1:12" ht="18" customHeight="1">
      <c r="A108" s="43" t="s">
        <v>138</v>
      </c>
      <c r="B108" s="44" t="s">
        <v>139</v>
      </c>
      <c r="C108" s="44" t="s">
        <v>73</v>
      </c>
      <c r="D108" s="85">
        <v>10104930722</v>
      </c>
      <c r="E108" s="44" t="s">
        <v>162</v>
      </c>
      <c r="F108" s="44" t="s">
        <v>146</v>
      </c>
      <c r="G108" s="44" t="s">
        <v>161</v>
      </c>
      <c r="H108" s="44" t="s">
        <v>74</v>
      </c>
      <c r="I108" s="48" t="s">
        <v>481</v>
      </c>
      <c r="J108" s="45">
        <v>42793</v>
      </c>
      <c r="K108" s="45">
        <v>42796</v>
      </c>
      <c r="L108" s="45"/>
    </row>
    <row r="109" spans="1:12" ht="18" customHeight="1">
      <c r="A109" s="43" t="s">
        <v>138</v>
      </c>
      <c r="B109" s="44" t="s">
        <v>144</v>
      </c>
      <c r="C109" s="44" t="s">
        <v>73</v>
      </c>
      <c r="D109" s="85">
        <v>10104883865</v>
      </c>
      <c r="E109" s="44" t="s">
        <v>1023</v>
      </c>
      <c r="F109" s="44" t="s">
        <v>146</v>
      </c>
      <c r="G109" s="44" t="s">
        <v>562</v>
      </c>
      <c r="H109" s="44" t="s">
        <v>76</v>
      </c>
      <c r="I109" s="48" t="s">
        <v>482</v>
      </c>
      <c r="J109" s="45">
        <v>42786</v>
      </c>
      <c r="K109" s="45">
        <v>42796</v>
      </c>
      <c r="L109" s="45"/>
    </row>
    <row r="110" spans="1:12" ht="18" customHeight="1">
      <c r="A110" s="43" t="s">
        <v>138</v>
      </c>
      <c r="B110" s="44" t="s">
        <v>144</v>
      </c>
      <c r="C110" s="44" t="s">
        <v>73</v>
      </c>
      <c r="D110" s="85">
        <v>10104883864</v>
      </c>
      <c r="E110" s="44" t="s">
        <v>1018</v>
      </c>
      <c r="F110" s="44" t="s">
        <v>146</v>
      </c>
      <c r="G110" s="44" t="s">
        <v>562</v>
      </c>
      <c r="H110" s="44" t="s">
        <v>76</v>
      </c>
      <c r="I110" s="48" t="s">
        <v>482</v>
      </c>
      <c r="J110" s="45">
        <v>42786</v>
      </c>
      <c r="K110" s="45">
        <v>42796</v>
      </c>
      <c r="L110" s="45"/>
    </row>
    <row r="111" spans="1:12" ht="18" customHeight="1">
      <c r="A111" s="43" t="s">
        <v>138</v>
      </c>
      <c r="B111" s="44" t="s">
        <v>144</v>
      </c>
      <c r="C111" s="44" t="s">
        <v>73</v>
      </c>
      <c r="D111" s="85">
        <v>10104883863</v>
      </c>
      <c r="E111" s="44" t="s">
        <v>1019</v>
      </c>
      <c r="F111" s="44" t="s">
        <v>146</v>
      </c>
      <c r="G111" s="44" t="s">
        <v>562</v>
      </c>
      <c r="H111" s="44" t="s">
        <v>76</v>
      </c>
      <c r="I111" s="48" t="s">
        <v>482</v>
      </c>
      <c r="J111" s="45">
        <v>42786</v>
      </c>
      <c r="K111" s="45">
        <v>42796</v>
      </c>
      <c r="L111" s="45"/>
    </row>
    <row r="112" spans="1:12" ht="18" customHeight="1">
      <c r="A112" s="43" t="s">
        <v>138</v>
      </c>
      <c r="B112" s="44" t="s">
        <v>144</v>
      </c>
      <c r="C112" s="44" t="s">
        <v>73</v>
      </c>
      <c r="D112" s="85">
        <v>10104883862</v>
      </c>
      <c r="E112" s="44" t="s">
        <v>1021</v>
      </c>
      <c r="F112" s="44" t="s">
        <v>219</v>
      </c>
      <c r="G112" s="44" t="s">
        <v>562</v>
      </c>
      <c r="H112" s="44" t="s">
        <v>76</v>
      </c>
      <c r="I112" s="48" t="s">
        <v>482</v>
      </c>
      <c r="J112" s="45">
        <v>42786</v>
      </c>
      <c r="K112" s="45">
        <v>42796</v>
      </c>
      <c r="L112" s="45"/>
    </row>
    <row r="113" spans="1:12" ht="18" customHeight="1">
      <c r="A113" s="43" t="s">
        <v>138</v>
      </c>
      <c r="B113" s="44" t="s">
        <v>144</v>
      </c>
      <c r="C113" s="44" t="s">
        <v>73</v>
      </c>
      <c r="D113" s="85">
        <v>10104883861</v>
      </c>
      <c r="E113" s="44" t="s">
        <v>1022</v>
      </c>
      <c r="F113" s="44" t="s">
        <v>146</v>
      </c>
      <c r="G113" s="44" t="s">
        <v>562</v>
      </c>
      <c r="H113" s="44" t="s">
        <v>76</v>
      </c>
      <c r="I113" s="48" t="s">
        <v>482</v>
      </c>
      <c r="J113" s="45">
        <v>42786</v>
      </c>
      <c r="K113" s="45">
        <v>42796</v>
      </c>
      <c r="L113" s="45"/>
    </row>
    <row r="114" spans="1:12" ht="18" customHeight="1">
      <c r="A114" s="43" t="s">
        <v>138</v>
      </c>
      <c r="B114" s="44" t="s">
        <v>144</v>
      </c>
      <c r="C114" s="44" t="s">
        <v>73</v>
      </c>
      <c r="D114" s="85">
        <v>10104883860</v>
      </c>
      <c r="E114" s="44" t="s">
        <v>1020</v>
      </c>
      <c r="F114" s="44" t="s">
        <v>146</v>
      </c>
      <c r="G114" s="44" t="s">
        <v>562</v>
      </c>
      <c r="H114" s="44" t="s">
        <v>76</v>
      </c>
      <c r="I114" s="48" t="s">
        <v>482</v>
      </c>
      <c r="J114" s="45">
        <v>42786</v>
      </c>
      <c r="K114" s="45">
        <v>42796</v>
      </c>
      <c r="L114" s="45"/>
    </row>
    <row r="115" spans="1:12" ht="18" customHeight="1">
      <c r="A115" s="43" t="s">
        <v>138</v>
      </c>
      <c r="B115" s="44" t="s">
        <v>163</v>
      </c>
      <c r="C115" s="44" t="s">
        <v>73</v>
      </c>
      <c r="D115" s="85">
        <v>10104898856</v>
      </c>
      <c r="E115" s="44" t="s">
        <v>884</v>
      </c>
      <c r="F115" s="44" t="s">
        <v>500</v>
      </c>
      <c r="G115" s="44" t="s">
        <v>164</v>
      </c>
      <c r="H115" s="44" t="s">
        <v>76</v>
      </c>
      <c r="I115" s="48" t="s">
        <v>482</v>
      </c>
      <c r="J115" s="45">
        <v>42770</v>
      </c>
      <c r="K115" s="45">
        <v>42770</v>
      </c>
      <c r="L115" s="45"/>
    </row>
    <row r="116" spans="1:12" ht="18" customHeight="1">
      <c r="A116" s="43" t="s">
        <v>138</v>
      </c>
      <c r="B116" s="44" t="s">
        <v>163</v>
      </c>
      <c r="C116" s="44" t="s">
        <v>73</v>
      </c>
      <c r="D116" s="85">
        <v>10104927078</v>
      </c>
      <c r="E116" s="44" t="s">
        <v>642</v>
      </c>
      <c r="F116" s="44" t="s">
        <v>596</v>
      </c>
      <c r="G116" s="44" t="s">
        <v>643</v>
      </c>
      <c r="H116" s="44" t="s">
        <v>74</v>
      </c>
      <c r="I116" s="48" t="s">
        <v>481</v>
      </c>
      <c r="J116" s="45">
        <v>42790</v>
      </c>
      <c r="K116" s="45">
        <v>42790</v>
      </c>
      <c r="L116" s="45"/>
    </row>
    <row r="117" spans="1:12" ht="18" customHeight="1">
      <c r="A117" s="43" t="s">
        <v>138</v>
      </c>
      <c r="B117" s="44" t="s">
        <v>144</v>
      </c>
      <c r="C117" s="44" t="s">
        <v>73</v>
      </c>
      <c r="D117" s="85">
        <v>10104930693</v>
      </c>
      <c r="E117" s="44" t="s">
        <v>1024</v>
      </c>
      <c r="F117" s="44" t="s">
        <v>180</v>
      </c>
      <c r="G117" s="44" t="s">
        <v>165</v>
      </c>
      <c r="H117" s="44" t="s">
        <v>76</v>
      </c>
      <c r="I117" s="48" t="s">
        <v>482</v>
      </c>
      <c r="J117" s="45">
        <v>42790</v>
      </c>
      <c r="K117" s="45">
        <v>42790</v>
      </c>
      <c r="L117" s="45">
        <v>42789</v>
      </c>
    </row>
    <row r="118" spans="1:12" ht="18" customHeight="1">
      <c r="A118" s="43" t="s">
        <v>138</v>
      </c>
      <c r="B118" s="44" t="s">
        <v>144</v>
      </c>
      <c r="C118" s="44" t="s">
        <v>73</v>
      </c>
      <c r="D118" s="85">
        <v>10104912828</v>
      </c>
      <c r="E118" s="44" t="s">
        <v>490</v>
      </c>
      <c r="F118" s="44" t="s">
        <v>596</v>
      </c>
      <c r="G118" s="44" t="s">
        <v>165</v>
      </c>
      <c r="H118" s="44" t="s">
        <v>74</v>
      </c>
      <c r="I118" s="48" t="s">
        <v>481</v>
      </c>
      <c r="J118" s="45">
        <v>42778</v>
      </c>
      <c r="K118" s="45">
        <v>42778</v>
      </c>
      <c r="L118" s="45"/>
    </row>
    <row r="119" spans="1:12" ht="18" customHeight="1">
      <c r="A119" s="43" t="s">
        <v>138</v>
      </c>
      <c r="B119" s="44" t="s">
        <v>144</v>
      </c>
      <c r="C119" s="44" t="s">
        <v>73</v>
      </c>
      <c r="D119" s="85">
        <v>10104912829</v>
      </c>
      <c r="E119" s="44" t="s">
        <v>491</v>
      </c>
      <c r="F119" s="44" t="s">
        <v>596</v>
      </c>
      <c r="G119" s="44" t="s">
        <v>166</v>
      </c>
      <c r="H119" s="44" t="s">
        <v>74</v>
      </c>
      <c r="I119" s="48" t="s">
        <v>481</v>
      </c>
      <c r="J119" s="45">
        <v>42778</v>
      </c>
      <c r="K119" s="45">
        <v>42778</v>
      </c>
      <c r="L119" s="45"/>
    </row>
    <row r="120" spans="1:12" ht="18" customHeight="1">
      <c r="A120" s="43" t="s">
        <v>138</v>
      </c>
      <c r="B120" s="44" t="s">
        <v>144</v>
      </c>
      <c r="C120" s="44" t="s">
        <v>73</v>
      </c>
      <c r="D120" s="85">
        <v>10104930694</v>
      </c>
      <c r="E120" s="44" t="s">
        <v>1025</v>
      </c>
      <c r="F120" s="44" t="s">
        <v>75</v>
      </c>
      <c r="G120" s="44" t="s">
        <v>166</v>
      </c>
      <c r="H120" s="44" t="s">
        <v>76</v>
      </c>
      <c r="I120" s="48" t="s">
        <v>482</v>
      </c>
      <c r="J120" s="45">
        <v>42790</v>
      </c>
      <c r="K120" s="45">
        <v>42790</v>
      </c>
      <c r="L120" s="45">
        <v>42788</v>
      </c>
    </row>
    <row r="121" spans="1:12" ht="18" customHeight="1">
      <c r="A121" s="43" t="s">
        <v>138</v>
      </c>
      <c r="B121" s="44" t="s">
        <v>144</v>
      </c>
      <c r="C121" s="44" t="s">
        <v>73</v>
      </c>
      <c r="D121" s="85">
        <v>10104912830</v>
      </c>
      <c r="E121" s="44" t="s">
        <v>492</v>
      </c>
      <c r="F121" s="44" t="s">
        <v>596</v>
      </c>
      <c r="G121" s="44" t="s">
        <v>167</v>
      </c>
      <c r="H121" s="44" t="s">
        <v>74</v>
      </c>
      <c r="I121" s="48" t="s">
        <v>481</v>
      </c>
      <c r="J121" s="45">
        <v>42778</v>
      </c>
      <c r="K121" s="45">
        <v>42778</v>
      </c>
      <c r="L121" s="45"/>
    </row>
    <row r="122" spans="1:12" ht="18" customHeight="1">
      <c r="A122" s="43" t="s">
        <v>138</v>
      </c>
      <c r="B122" s="44" t="s">
        <v>144</v>
      </c>
      <c r="C122" s="44" t="s">
        <v>73</v>
      </c>
      <c r="D122" s="85">
        <v>10104930695</v>
      </c>
      <c r="E122" s="44" t="s">
        <v>1026</v>
      </c>
      <c r="F122" s="44" t="s">
        <v>75</v>
      </c>
      <c r="G122" s="44" t="s">
        <v>167</v>
      </c>
      <c r="H122" s="44" t="s">
        <v>76</v>
      </c>
      <c r="I122" s="48" t="s">
        <v>482</v>
      </c>
      <c r="J122" s="45">
        <v>42790</v>
      </c>
      <c r="K122" s="45">
        <v>42790</v>
      </c>
      <c r="L122" s="45">
        <v>42788</v>
      </c>
    </row>
    <row r="123" spans="1:12" ht="18" customHeight="1">
      <c r="A123" s="43" t="s">
        <v>138</v>
      </c>
      <c r="B123" s="44" t="s">
        <v>144</v>
      </c>
      <c r="C123" s="44" t="s">
        <v>73</v>
      </c>
      <c r="D123" s="85">
        <v>10104930696</v>
      </c>
      <c r="E123" s="44" t="s">
        <v>169</v>
      </c>
      <c r="F123" s="44" t="s">
        <v>75</v>
      </c>
      <c r="G123" s="44" t="s">
        <v>168</v>
      </c>
      <c r="H123" s="44" t="s">
        <v>76</v>
      </c>
      <c r="I123" s="48" t="s">
        <v>482</v>
      </c>
      <c r="J123" s="45">
        <v>42790</v>
      </c>
      <c r="K123" s="45">
        <v>42790</v>
      </c>
      <c r="L123" s="45">
        <v>42790</v>
      </c>
    </row>
    <row r="124" spans="1:12" ht="18" customHeight="1">
      <c r="A124" s="43" t="s">
        <v>138</v>
      </c>
      <c r="B124" s="44" t="s">
        <v>144</v>
      </c>
      <c r="C124" s="44" t="s">
        <v>73</v>
      </c>
      <c r="D124" s="85">
        <v>10104912831</v>
      </c>
      <c r="E124" s="44" t="s">
        <v>493</v>
      </c>
      <c r="F124" s="44" t="s">
        <v>596</v>
      </c>
      <c r="G124" s="44" t="s">
        <v>168</v>
      </c>
      <c r="H124" s="44" t="s">
        <v>74</v>
      </c>
      <c r="I124" s="48" t="s">
        <v>481</v>
      </c>
      <c r="J124" s="45">
        <v>42778</v>
      </c>
      <c r="K124" s="45">
        <v>42778</v>
      </c>
      <c r="L124" s="45"/>
    </row>
    <row r="125" spans="1:12" ht="18" customHeight="1">
      <c r="A125" s="43" t="s">
        <v>138</v>
      </c>
      <c r="B125" s="44" t="s">
        <v>144</v>
      </c>
      <c r="C125" s="44" t="s">
        <v>73</v>
      </c>
      <c r="D125" s="85">
        <v>10104925261</v>
      </c>
      <c r="E125" s="44" t="s">
        <v>171</v>
      </c>
      <c r="F125" s="44" t="s">
        <v>596</v>
      </c>
      <c r="G125" s="44" t="s">
        <v>170</v>
      </c>
      <c r="H125" s="44" t="s">
        <v>74</v>
      </c>
      <c r="I125" s="48" t="s">
        <v>481</v>
      </c>
      <c r="J125" s="45">
        <v>42789</v>
      </c>
      <c r="K125" s="45">
        <v>42789</v>
      </c>
      <c r="L125" s="45"/>
    </row>
    <row r="126" spans="1:12" ht="18" customHeight="1">
      <c r="A126" s="43" t="s">
        <v>138</v>
      </c>
      <c r="B126" s="44" t="s">
        <v>144</v>
      </c>
      <c r="C126" s="44" t="s">
        <v>73</v>
      </c>
      <c r="D126" s="85">
        <v>10104922410</v>
      </c>
      <c r="E126" s="44" t="s">
        <v>798</v>
      </c>
      <c r="F126" s="44" t="s">
        <v>180</v>
      </c>
      <c r="G126" s="44" t="s">
        <v>170</v>
      </c>
      <c r="H126" s="44" t="s">
        <v>76</v>
      </c>
      <c r="I126" s="48" t="s">
        <v>482</v>
      </c>
      <c r="J126" s="45">
        <v>42786</v>
      </c>
      <c r="K126" s="45">
        <v>42788</v>
      </c>
      <c r="L126" s="45">
        <v>42788</v>
      </c>
    </row>
    <row r="127" spans="1:12" ht="18" customHeight="1">
      <c r="A127" s="43" t="s">
        <v>138</v>
      </c>
      <c r="B127" s="44" t="s">
        <v>144</v>
      </c>
      <c r="C127" s="44" t="s">
        <v>73</v>
      </c>
      <c r="D127" s="85">
        <v>10104922411</v>
      </c>
      <c r="E127" s="44" t="s">
        <v>798</v>
      </c>
      <c r="F127" s="44" t="s">
        <v>180</v>
      </c>
      <c r="G127" s="44" t="s">
        <v>172</v>
      </c>
      <c r="H127" s="44" t="s">
        <v>76</v>
      </c>
      <c r="I127" s="48" t="s">
        <v>482</v>
      </c>
      <c r="J127" s="45">
        <v>42786</v>
      </c>
      <c r="K127" s="45">
        <v>42788</v>
      </c>
      <c r="L127" s="45">
        <v>42788</v>
      </c>
    </row>
    <row r="128" spans="1:12" ht="18" customHeight="1">
      <c r="A128" s="43" t="s">
        <v>138</v>
      </c>
      <c r="B128" s="44" t="s">
        <v>144</v>
      </c>
      <c r="C128" s="44" t="s">
        <v>73</v>
      </c>
      <c r="D128" s="85">
        <v>10104925262</v>
      </c>
      <c r="E128" s="44" t="s">
        <v>574</v>
      </c>
      <c r="F128" s="44" t="s">
        <v>596</v>
      </c>
      <c r="G128" s="44" t="s">
        <v>172</v>
      </c>
      <c r="H128" s="44" t="s">
        <v>74</v>
      </c>
      <c r="I128" s="48" t="s">
        <v>481</v>
      </c>
      <c r="J128" s="45">
        <v>42789</v>
      </c>
      <c r="K128" s="45">
        <v>42789</v>
      </c>
      <c r="L128" s="45"/>
    </row>
    <row r="129" spans="1:12" ht="18" customHeight="1">
      <c r="A129" s="43" t="s">
        <v>138</v>
      </c>
      <c r="B129" s="44" t="s">
        <v>144</v>
      </c>
      <c r="C129" s="44" t="s">
        <v>73</v>
      </c>
      <c r="D129" s="85">
        <v>10104922412</v>
      </c>
      <c r="E129" s="44" t="s">
        <v>798</v>
      </c>
      <c r="F129" s="44" t="s">
        <v>180</v>
      </c>
      <c r="G129" s="44" t="s">
        <v>173</v>
      </c>
      <c r="H129" s="44" t="s">
        <v>76</v>
      </c>
      <c r="I129" s="48" t="s">
        <v>482</v>
      </c>
      <c r="J129" s="45">
        <v>42786</v>
      </c>
      <c r="K129" s="45">
        <v>42788</v>
      </c>
      <c r="L129" s="45">
        <v>42788</v>
      </c>
    </row>
    <row r="130" spans="1:12" ht="18" customHeight="1">
      <c r="A130" s="43" t="s">
        <v>138</v>
      </c>
      <c r="B130" s="44" t="s">
        <v>144</v>
      </c>
      <c r="C130" s="44" t="s">
        <v>73</v>
      </c>
      <c r="D130" s="85">
        <v>10104925263</v>
      </c>
      <c r="E130" s="44" t="s">
        <v>575</v>
      </c>
      <c r="F130" s="44" t="s">
        <v>596</v>
      </c>
      <c r="G130" s="44" t="s">
        <v>173</v>
      </c>
      <c r="H130" s="44" t="s">
        <v>74</v>
      </c>
      <c r="I130" s="48" t="s">
        <v>481</v>
      </c>
      <c r="J130" s="45">
        <v>42789</v>
      </c>
      <c r="K130" s="45">
        <v>42789</v>
      </c>
      <c r="L130" s="45"/>
    </row>
    <row r="131" spans="1:12" ht="18" customHeight="1">
      <c r="A131" s="43" t="s">
        <v>138</v>
      </c>
      <c r="B131" s="44" t="s">
        <v>144</v>
      </c>
      <c r="C131" s="44" t="s">
        <v>73</v>
      </c>
      <c r="D131" s="85">
        <v>10104922413</v>
      </c>
      <c r="E131" s="44" t="s">
        <v>798</v>
      </c>
      <c r="F131" s="44" t="s">
        <v>180</v>
      </c>
      <c r="G131" s="44" t="s">
        <v>175</v>
      </c>
      <c r="H131" s="44" t="s">
        <v>76</v>
      </c>
      <c r="I131" s="48" t="s">
        <v>482</v>
      </c>
      <c r="J131" s="45">
        <v>42786</v>
      </c>
      <c r="K131" s="45">
        <v>42788</v>
      </c>
      <c r="L131" s="45">
        <v>42788</v>
      </c>
    </row>
    <row r="132" spans="1:12" ht="18" customHeight="1">
      <c r="A132" s="43" t="s">
        <v>138</v>
      </c>
      <c r="B132" s="44" t="s">
        <v>144</v>
      </c>
      <c r="C132" s="44" t="s">
        <v>73</v>
      </c>
      <c r="D132" s="85">
        <v>10104925264</v>
      </c>
      <c r="E132" s="44" t="s">
        <v>174</v>
      </c>
      <c r="F132" s="44" t="s">
        <v>596</v>
      </c>
      <c r="G132" s="44" t="s">
        <v>175</v>
      </c>
      <c r="H132" s="44" t="s">
        <v>74</v>
      </c>
      <c r="I132" s="48" t="s">
        <v>481</v>
      </c>
      <c r="J132" s="45">
        <v>42789</v>
      </c>
      <c r="K132" s="45">
        <v>42789</v>
      </c>
      <c r="L132" s="45"/>
    </row>
    <row r="133" spans="1:12" ht="18" customHeight="1">
      <c r="A133" s="43" t="s">
        <v>138</v>
      </c>
      <c r="B133" s="44" t="s">
        <v>144</v>
      </c>
      <c r="C133" s="44" t="s">
        <v>73</v>
      </c>
      <c r="D133" s="85">
        <v>10104925265</v>
      </c>
      <c r="E133" s="44" t="s">
        <v>176</v>
      </c>
      <c r="F133" s="44" t="s">
        <v>596</v>
      </c>
      <c r="G133" s="44" t="s">
        <v>177</v>
      </c>
      <c r="H133" s="44" t="s">
        <v>74</v>
      </c>
      <c r="I133" s="48" t="s">
        <v>481</v>
      </c>
      <c r="J133" s="45">
        <v>42789</v>
      </c>
      <c r="K133" s="45">
        <v>42789</v>
      </c>
      <c r="L133" s="45"/>
    </row>
    <row r="134" spans="1:12" ht="18" customHeight="1">
      <c r="A134" s="43" t="s">
        <v>138</v>
      </c>
      <c r="B134" s="44" t="s">
        <v>144</v>
      </c>
      <c r="C134" s="44" t="s">
        <v>73</v>
      </c>
      <c r="D134" s="85">
        <v>10104922414</v>
      </c>
      <c r="E134" s="44" t="s">
        <v>735</v>
      </c>
      <c r="F134" s="44" t="s">
        <v>219</v>
      </c>
      <c r="G134" s="44" t="s">
        <v>177</v>
      </c>
      <c r="H134" s="44" t="s">
        <v>76</v>
      </c>
      <c r="I134" s="48" t="s">
        <v>482</v>
      </c>
      <c r="J134" s="45">
        <v>42786</v>
      </c>
      <c r="K134" s="45">
        <v>42790</v>
      </c>
      <c r="L134" s="45"/>
    </row>
    <row r="135" spans="1:12" ht="18" customHeight="1">
      <c r="A135" s="43" t="s">
        <v>138</v>
      </c>
      <c r="B135" s="44" t="s">
        <v>163</v>
      </c>
      <c r="C135" s="44" t="s">
        <v>73</v>
      </c>
      <c r="D135" s="85">
        <v>10104927082</v>
      </c>
      <c r="E135" s="44" t="s">
        <v>644</v>
      </c>
      <c r="F135" s="44" t="s">
        <v>596</v>
      </c>
      <c r="G135" s="44" t="s">
        <v>178</v>
      </c>
      <c r="H135" s="44" t="s">
        <v>74</v>
      </c>
      <c r="I135" s="48" t="s">
        <v>481</v>
      </c>
      <c r="J135" s="45">
        <v>42790</v>
      </c>
      <c r="K135" s="45">
        <v>42790</v>
      </c>
      <c r="L135" s="45"/>
    </row>
    <row r="136" spans="1:12" ht="18" customHeight="1">
      <c r="A136" s="43" t="s">
        <v>138</v>
      </c>
      <c r="B136" s="44" t="s">
        <v>163</v>
      </c>
      <c r="C136" s="44" t="s">
        <v>73</v>
      </c>
      <c r="D136" s="85">
        <v>10104939702</v>
      </c>
      <c r="E136" s="44" t="s">
        <v>535</v>
      </c>
      <c r="F136" s="44" t="s">
        <v>596</v>
      </c>
      <c r="G136" s="44" t="s">
        <v>178</v>
      </c>
      <c r="H136" s="44" t="s">
        <v>74</v>
      </c>
      <c r="I136" s="48" t="s">
        <v>481</v>
      </c>
      <c r="J136" s="45">
        <v>42774</v>
      </c>
      <c r="K136" s="45">
        <v>42774</v>
      </c>
      <c r="L136" s="45"/>
    </row>
    <row r="137" spans="1:12" ht="18" customHeight="1">
      <c r="A137" s="43" t="s">
        <v>138</v>
      </c>
      <c r="B137" s="44" t="s">
        <v>179</v>
      </c>
      <c r="C137" s="44" t="s">
        <v>73</v>
      </c>
      <c r="D137" s="85">
        <v>10104911865</v>
      </c>
      <c r="E137" s="44" t="s">
        <v>885</v>
      </c>
      <c r="F137" s="44" t="s">
        <v>222</v>
      </c>
      <c r="G137" s="44" t="s">
        <v>181</v>
      </c>
      <c r="H137" s="44" t="s">
        <v>76</v>
      </c>
      <c r="I137" s="48" t="s">
        <v>482</v>
      </c>
      <c r="J137" s="45">
        <v>42777</v>
      </c>
      <c r="K137" s="45">
        <v>42788</v>
      </c>
      <c r="L137" s="45">
        <v>42788</v>
      </c>
    </row>
    <row r="138" spans="1:12" ht="18" customHeight="1">
      <c r="A138" s="43" t="s">
        <v>138</v>
      </c>
      <c r="B138" s="44" t="s">
        <v>163</v>
      </c>
      <c r="C138" s="44" t="s">
        <v>73</v>
      </c>
      <c r="D138" s="85">
        <v>10104958089</v>
      </c>
      <c r="E138" s="44" t="s">
        <v>645</v>
      </c>
      <c r="F138" s="44" t="s">
        <v>596</v>
      </c>
      <c r="G138" s="44" t="s">
        <v>182</v>
      </c>
      <c r="H138" s="44" t="s">
        <v>74</v>
      </c>
      <c r="I138" s="48" t="s">
        <v>481</v>
      </c>
      <c r="J138" s="45">
        <v>42790</v>
      </c>
      <c r="K138" s="45">
        <v>42790</v>
      </c>
      <c r="L138" s="45"/>
    </row>
    <row r="139" spans="1:12" ht="18" customHeight="1">
      <c r="A139" s="43" t="s">
        <v>138</v>
      </c>
      <c r="B139" s="44" t="s">
        <v>163</v>
      </c>
      <c r="C139" s="44" t="s">
        <v>73</v>
      </c>
      <c r="D139" s="85">
        <v>10104923799</v>
      </c>
      <c r="E139" s="44" t="s">
        <v>563</v>
      </c>
      <c r="F139" s="44" t="s">
        <v>596</v>
      </c>
      <c r="G139" s="44" t="s">
        <v>509</v>
      </c>
      <c r="H139" s="44" t="s">
        <v>74</v>
      </c>
      <c r="I139" s="48" t="s">
        <v>481</v>
      </c>
      <c r="J139" s="45">
        <v>42787</v>
      </c>
      <c r="K139" s="45">
        <v>42787</v>
      </c>
      <c r="L139" s="45"/>
    </row>
    <row r="140" spans="1:12" ht="18" customHeight="1">
      <c r="A140" s="43" t="s">
        <v>138</v>
      </c>
      <c r="B140" s="44" t="s">
        <v>163</v>
      </c>
      <c r="C140" s="44" t="s">
        <v>73</v>
      </c>
      <c r="D140" s="85">
        <v>10104923796</v>
      </c>
      <c r="E140" s="44" t="s">
        <v>508</v>
      </c>
      <c r="F140" s="44" t="s">
        <v>500</v>
      </c>
      <c r="G140" s="44" t="s">
        <v>509</v>
      </c>
      <c r="H140" s="44" t="s">
        <v>76</v>
      </c>
      <c r="I140" s="48" t="s">
        <v>482</v>
      </c>
      <c r="J140" s="45">
        <v>42787</v>
      </c>
      <c r="K140" s="45">
        <v>42787</v>
      </c>
      <c r="L140" s="45"/>
    </row>
    <row r="141" spans="1:12" ht="18" customHeight="1">
      <c r="A141" s="43" t="s">
        <v>138</v>
      </c>
      <c r="B141" s="44" t="s">
        <v>179</v>
      </c>
      <c r="C141" s="44" t="s">
        <v>73</v>
      </c>
      <c r="D141" s="85">
        <v>10104907023</v>
      </c>
      <c r="E141" s="44" t="s">
        <v>494</v>
      </c>
      <c r="F141" s="44" t="s">
        <v>75</v>
      </c>
      <c r="G141" s="44" t="s">
        <v>184</v>
      </c>
      <c r="H141" s="44" t="s">
        <v>74</v>
      </c>
      <c r="I141" s="48" t="s">
        <v>481</v>
      </c>
      <c r="J141" s="45">
        <v>42773</v>
      </c>
      <c r="K141" s="45">
        <v>42788</v>
      </c>
      <c r="L141" s="45">
        <v>42788</v>
      </c>
    </row>
    <row r="142" spans="1:12" ht="18" customHeight="1">
      <c r="A142" s="43" t="s">
        <v>138</v>
      </c>
      <c r="B142" s="44" t="s">
        <v>179</v>
      </c>
      <c r="C142" s="44" t="s">
        <v>73</v>
      </c>
      <c r="D142" s="85">
        <v>10104907022</v>
      </c>
      <c r="E142" s="44" t="s">
        <v>183</v>
      </c>
      <c r="F142" s="44" t="s">
        <v>180</v>
      </c>
      <c r="G142" s="44" t="s">
        <v>184</v>
      </c>
      <c r="H142" s="44" t="s">
        <v>76</v>
      </c>
      <c r="I142" s="48" t="s">
        <v>482</v>
      </c>
      <c r="J142" s="45">
        <v>42773</v>
      </c>
      <c r="K142" s="45">
        <v>42790</v>
      </c>
      <c r="L142" s="45">
        <v>42790</v>
      </c>
    </row>
    <row r="143" spans="1:12" ht="18" customHeight="1">
      <c r="A143" s="43" t="s">
        <v>138</v>
      </c>
      <c r="B143" s="44" t="s">
        <v>179</v>
      </c>
      <c r="C143" s="44" t="s">
        <v>73</v>
      </c>
      <c r="D143" s="85">
        <v>10104911848</v>
      </c>
      <c r="E143" s="44" t="s">
        <v>185</v>
      </c>
      <c r="F143" s="44" t="s">
        <v>180</v>
      </c>
      <c r="G143" s="44" t="s">
        <v>186</v>
      </c>
      <c r="H143" s="44" t="s">
        <v>76</v>
      </c>
      <c r="I143" s="48" t="s">
        <v>482</v>
      </c>
      <c r="J143" s="45">
        <v>42777</v>
      </c>
      <c r="K143" s="45">
        <v>42788</v>
      </c>
      <c r="L143" s="45">
        <v>42788</v>
      </c>
    </row>
    <row r="144" spans="1:12" ht="18" customHeight="1">
      <c r="A144" s="43" t="s">
        <v>138</v>
      </c>
      <c r="B144" s="44" t="s">
        <v>163</v>
      </c>
      <c r="C144" s="44" t="s">
        <v>73</v>
      </c>
      <c r="D144" s="85">
        <v>10104900210</v>
      </c>
      <c r="E144" s="44" t="s">
        <v>564</v>
      </c>
      <c r="F144" s="44" t="s">
        <v>596</v>
      </c>
      <c r="G144" s="44" t="s">
        <v>187</v>
      </c>
      <c r="H144" s="44" t="s">
        <v>74</v>
      </c>
      <c r="I144" s="48" t="s">
        <v>481</v>
      </c>
      <c r="J144" s="45">
        <v>42771</v>
      </c>
      <c r="K144" s="45">
        <v>42771</v>
      </c>
      <c r="L144" s="45"/>
    </row>
    <row r="145" spans="1:12" ht="18" customHeight="1">
      <c r="A145" s="43" t="s">
        <v>138</v>
      </c>
      <c r="B145" s="44" t="s">
        <v>163</v>
      </c>
      <c r="C145" s="44" t="s">
        <v>73</v>
      </c>
      <c r="D145" s="85">
        <v>10104900209</v>
      </c>
      <c r="E145" s="44" t="s">
        <v>188</v>
      </c>
      <c r="F145" s="44" t="s">
        <v>500</v>
      </c>
      <c r="G145" s="44" t="s">
        <v>187</v>
      </c>
      <c r="H145" s="44" t="s">
        <v>76</v>
      </c>
      <c r="I145" s="48" t="s">
        <v>482</v>
      </c>
      <c r="J145" s="45">
        <v>42771</v>
      </c>
      <c r="K145" s="45">
        <v>42771</v>
      </c>
      <c r="L145" s="45"/>
    </row>
    <row r="146" spans="1:12" ht="18" customHeight="1">
      <c r="A146" s="43" t="s">
        <v>138</v>
      </c>
      <c r="B146" s="44" t="s">
        <v>179</v>
      </c>
      <c r="C146" s="44" t="s">
        <v>73</v>
      </c>
      <c r="D146" s="85">
        <v>10104912832</v>
      </c>
      <c r="E146" s="44" t="s">
        <v>495</v>
      </c>
      <c r="F146" s="44" t="s">
        <v>596</v>
      </c>
      <c r="G146" s="44" t="s">
        <v>190</v>
      </c>
      <c r="H146" s="44" t="s">
        <v>74</v>
      </c>
      <c r="I146" s="48" t="s">
        <v>481</v>
      </c>
      <c r="J146" s="45">
        <v>42778</v>
      </c>
      <c r="K146" s="45">
        <v>42778</v>
      </c>
      <c r="L146" s="45"/>
    </row>
    <row r="147" spans="1:12" ht="18" customHeight="1">
      <c r="A147" s="43" t="s">
        <v>138</v>
      </c>
      <c r="B147" s="44" t="s">
        <v>179</v>
      </c>
      <c r="C147" s="44" t="s">
        <v>73</v>
      </c>
      <c r="D147" s="85">
        <v>10104939495</v>
      </c>
      <c r="E147" s="44" t="s">
        <v>189</v>
      </c>
      <c r="F147" s="44" t="s">
        <v>180</v>
      </c>
      <c r="G147" s="44" t="s">
        <v>190</v>
      </c>
      <c r="H147" s="44" t="s">
        <v>76</v>
      </c>
      <c r="I147" s="48" t="s">
        <v>482</v>
      </c>
      <c r="J147" s="45">
        <v>42785</v>
      </c>
      <c r="K147" s="45">
        <v>42790</v>
      </c>
      <c r="L147" s="45">
        <v>42790</v>
      </c>
    </row>
    <row r="148" spans="1:12" ht="18" customHeight="1">
      <c r="A148" s="43" t="s">
        <v>138</v>
      </c>
      <c r="B148" s="44" t="s">
        <v>179</v>
      </c>
      <c r="C148" s="44" t="s">
        <v>73</v>
      </c>
      <c r="D148" s="85">
        <v>10104918158</v>
      </c>
      <c r="E148" s="44" t="s">
        <v>192</v>
      </c>
      <c r="F148" s="44" t="s">
        <v>180</v>
      </c>
      <c r="G148" s="44" t="s">
        <v>191</v>
      </c>
      <c r="H148" s="44" t="s">
        <v>76</v>
      </c>
      <c r="I148" s="48" t="s">
        <v>482</v>
      </c>
      <c r="J148" s="45">
        <v>42783</v>
      </c>
      <c r="K148" s="45">
        <v>42790</v>
      </c>
      <c r="L148" s="45">
        <v>42790</v>
      </c>
    </row>
    <row r="149" spans="1:12" ht="18" customHeight="1">
      <c r="A149" s="43" t="s">
        <v>138</v>
      </c>
      <c r="B149" s="44" t="s">
        <v>179</v>
      </c>
      <c r="C149" s="44" t="s">
        <v>73</v>
      </c>
      <c r="D149" s="85">
        <v>10104911864</v>
      </c>
      <c r="E149" s="44" t="s">
        <v>193</v>
      </c>
      <c r="F149" s="44" t="s">
        <v>75</v>
      </c>
      <c r="G149" s="44" t="s">
        <v>194</v>
      </c>
      <c r="H149" s="44" t="s">
        <v>76</v>
      </c>
      <c r="I149" s="48" t="s">
        <v>482</v>
      </c>
      <c r="J149" s="45">
        <v>42777</v>
      </c>
      <c r="K149" s="45">
        <v>42786</v>
      </c>
      <c r="L149" s="45">
        <v>42786</v>
      </c>
    </row>
    <row r="150" spans="1:12" ht="18" customHeight="1">
      <c r="A150" s="43" t="s">
        <v>138</v>
      </c>
      <c r="B150" s="44" t="s">
        <v>179</v>
      </c>
      <c r="C150" s="44" t="s">
        <v>73</v>
      </c>
      <c r="D150" s="85">
        <v>10104911831</v>
      </c>
      <c r="E150" s="44" t="s">
        <v>886</v>
      </c>
      <c r="F150" s="44" t="s">
        <v>75</v>
      </c>
      <c r="G150" s="44" t="s">
        <v>195</v>
      </c>
      <c r="H150" s="44" t="s">
        <v>76</v>
      </c>
      <c r="I150" s="48" t="s">
        <v>482</v>
      </c>
      <c r="J150" s="45">
        <v>42777</v>
      </c>
      <c r="K150" s="45">
        <v>42786</v>
      </c>
      <c r="L150" s="45">
        <v>42786</v>
      </c>
    </row>
    <row r="151" spans="1:12" ht="18" customHeight="1">
      <c r="A151" s="43" t="s">
        <v>138</v>
      </c>
      <c r="B151" s="44" t="s">
        <v>179</v>
      </c>
      <c r="C151" s="44" t="s">
        <v>73</v>
      </c>
      <c r="D151" s="85">
        <v>10104939760</v>
      </c>
      <c r="E151" s="44" t="s">
        <v>537</v>
      </c>
      <c r="F151" s="44" t="s">
        <v>887</v>
      </c>
      <c r="G151" s="44" t="s">
        <v>496</v>
      </c>
      <c r="H151" s="44" t="s">
        <v>74</v>
      </c>
      <c r="I151" s="48" t="s">
        <v>481</v>
      </c>
      <c r="J151" s="45">
        <v>42777</v>
      </c>
      <c r="K151" s="45">
        <v>42777</v>
      </c>
      <c r="L151" s="45"/>
    </row>
    <row r="152" spans="1:12" ht="18" customHeight="1">
      <c r="A152" s="43" t="s">
        <v>138</v>
      </c>
      <c r="B152" s="44" t="s">
        <v>179</v>
      </c>
      <c r="C152" s="44" t="s">
        <v>73</v>
      </c>
      <c r="D152" s="85">
        <v>10104956505</v>
      </c>
      <c r="E152" s="44" t="s">
        <v>537</v>
      </c>
      <c r="F152" s="44" t="s">
        <v>887</v>
      </c>
      <c r="G152" s="44" t="s">
        <v>496</v>
      </c>
      <c r="H152" s="44" t="s">
        <v>74</v>
      </c>
      <c r="I152" s="48" t="s">
        <v>481</v>
      </c>
      <c r="J152" s="45">
        <v>42791</v>
      </c>
      <c r="K152" s="45">
        <v>42791</v>
      </c>
      <c r="L152" s="45"/>
    </row>
    <row r="153" spans="1:12" ht="18" customHeight="1">
      <c r="A153" s="43" t="s">
        <v>138</v>
      </c>
      <c r="B153" s="44" t="s">
        <v>179</v>
      </c>
      <c r="C153" s="44" t="s">
        <v>73</v>
      </c>
      <c r="D153" s="85">
        <v>10104947911</v>
      </c>
      <c r="E153" s="44" t="s">
        <v>537</v>
      </c>
      <c r="F153" s="44" t="s">
        <v>887</v>
      </c>
      <c r="G153" s="44" t="s">
        <v>496</v>
      </c>
      <c r="H153" s="44" t="s">
        <v>74</v>
      </c>
      <c r="I153" s="48" t="s">
        <v>481</v>
      </c>
      <c r="J153" s="45">
        <v>42784</v>
      </c>
      <c r="K153" s="45">
        <v>42784</v>
      </c>
      <c r="L153" s="45"/>
    </row>
    <row r="154" spans="1:12" ht="18" customHeight="1">
      <c r="A154" s="43" t="s">
        <v>138</v>
      </c>
      <c r="B154" s="44" t="s">
        <v>179</v>
      </c>
      <c r="C154" s="44" t="s">
        <v>73</v>
      </c>
      <c r="D154" s="85">
        <v>10104900211</v>
      </c>
      <c r="E154" s="44" t="s">
        <v>497</v>
      </c>
      <c r="F154" s="44" t="s">
        <v>887</v>
      </c>
      <c r="G154" s="44" t="s">
        <v>496</v>
      </c>
      <c r="H154" s="44" t="s">
        <v>74</v>
      </c>
      <c r="I154" s="48" t="s">
        <v>481</v>
      </c>
      <c r="J154" s="45">
        <v>42771</v>
      </c>
      <c r="K154" s="45">
        <v>42771</v>
      </c>
      <c r="L154" s="45"/>
    </row>
    <row r="155" spans="1:12" ht="18" customHeight="1">
      <c r="A155" s="43" t="s">
        <v>138</v>
      </c>
      <c r="B155" s="44" t="s">
        <v>179</v>
      </c>
      <c r="C155" s="44" t="s">
        <v>73</v>
      </c>
      <c r="D155" s="85">
        <v>10104941215</v>
      </c>
      <c r="E155" s="44" t="s">
        <v>586</v>
      </c>
      <c r="F155" s="44" t="s">
        <v>180</v>
      </c>
      <c r="G155" s="44" t="s">
        <v>496</v>
      </c>
      <c r="H155" s="44" t="s">
        <v>76</v>
      </c>
      <c r="I155" s="48" t="s">
        <v>482</v>
      </c>
      <c r="J155" s="45">
        <v>42776</v>
      </c>
      <c r="K155" s="45">
        <v>42790</v>
      </c>
      <c r="L155" s="45">
        <v>42790</v>
      </c>
    </row>
    <row r="156" spans="1:12" ht="18" customHeight="1">
      <c r="A156" s="43" t="s">
        <v>138</v>
      </c>
      <c r="B156" s="44" t="s">
        <v>179</v>
      </c>
      <c r="C156" s="44" t="s">
        <v>73</v>
      </c>
      <c r="D156" s="85">
        <v>10104930982</v>
      </c>
      <c r="E156" s="44" t="s">
        <v>537</v>
      </c>
      <c r="F156" s="44" t="s">
        <v>796</v>
      </c>
      <c r="G156" s="44" t="s">
        <v>496</v>
      </c>
      <c r="H156" s="44" t="s">
        <v>74</v>
      </c>
      <c r="I156" s="48" t="s">
        <v>481</v>
      </c>
      <c r="J156" s="45">
        <v>42770</v>
      </c>
      <c r="K156" s="45">
        <v>42788</v>
      </c>
      <c r="L156" s="45">
        <v>42788</v>
      </c>
    </row>
    <row r="157" spans="1:12" ht="18" customHeight="1">
      <c r="A157" s="43" t="s">
        <v>138</v>
      </c>
      <c r="B157" s="44" t="s">
        <v>179</v>
      </c>
      <c r="C157" s="44" t="s">
        <v>73</v>
      </c>
      <c r="D157" s="85">
        <v>10104911866</v>
      </c>
      <c r="E157" s="44" t="s">
        <v>196</v>
      </c>
      <c r="F157" s="44" t="s">
        <v>180</v>
      </c>
      <c r="G157" s="44" t="s">
        <v>197</v>
      </c>
      <c r="H157" s="44" t="s">
        <v>76</v>
      </c>
      <c r="I157" s="48" t="s">
        <v>482</v>
      </c>
      <c r="J157" s="45">
        <v>42777</v>
      </c>
      <c r="K157" s="45">
        <v>42786</v>
      </c>
      <c r="L157" s="45">
        <v>42786</v>
      </c>
    </row>
    <row r="158" spans="1:12" ht="18" customHeight="1">
      <c r="A158" s="43" t="s">
        <v>138</v>
      </c>
      <c r="B158" s="44" t="s">
        <v>179</v>
      </c>
      <c r="C158" s="44" t="s">
        <v>73</v>
      </c>
      <c r="D158" s="85">
        <v>10104896321</v>
      </c>
      <c r="E158" s="44" t="s">
        <v>565</v>
      </c>
      <c r="F158" s="44" t="s">
        <v>887</v>
      </c>
      <c r="G158" s="44" t="s">
        <v>198</v>
      </c>
      <c r="H158" s="44" t="s">
        <v>74</v>
      </c>
      <c r="I158" s="48" t="s">
        <v>481</v>
      </c>
      <c r="J158" s="45">
        <v>42767</v>
      </c>
      <c r="K158" s="45">
        <v>42767</v>
      </c>
      <c r="L158" s="45"/>
    </row>
    <row r="159" spans="1:12" ht="18" customHeight="1">
      <c r="A159" s="43" t="s">
        <v>138</v>
      </c>
      <c r="B159" s="44" t="s">
        <v>179</v>
      </c>
      <c r="C159" s="44" t="s">
        <v>73</v>
      </c>
      <c r="D159" s="85">
        <v>10104918783</v>
      </c>
      <c r="E159" s="44" t="s">
        <v>201</v>
      </c>
      <c r="F159" s="44" t="s">
        <v>596</v>
      </c>
      <c r="G159" s="44" t="s">
        <v>199</v>
      </c>
      <c r="H159" s="44" t="s">
        <v>74</v>
      </c>
      <c r="I159" s="48" t="s">
        <v>481</v>
      </c>
      <c r="J159" s="45">
        <v>42783</v>
      </c>
      <c r="K159" s="45">
        <v>42783</v>
      </c>
      <c r="L159" s="45"/>
    </row>
    <row r="160" spans="1:12" ht="18" customHeight="1">
      <c r="A160" s="43" t="s">
        <v>138</v>
      </c>
      <c r="B160" s="44" t="s">
        <v>179</v>
      </c>
      <c r="C160" s="44" t="s">
        <v>73</v>
      </c>
      <c r="D160" s="85">
        <v>10104913327</v>
      </c>
      <c r="E160" s="44" t="s">
        <v>200</v>
      </c>
      <c r="F160" s="44" t="s">
        <v>596</v>
      </c>
      <c r="G160" s="44" t="s">
        <v>199</v>
      </c>
      <c r="H160" s="44" t="s">
        <v>74</v>
      </c>
      <c r="I160" s="48" t="s">
        <v>481</v>
      </c>
      <c r="J160" s="45">
        <v>42778</v>
      </c>
      <c r="K160" s="45">
        <v>42778</v>
      </c>
      <c r="L160" s="45"/>
    </row>
    <row r="161" spans="1:12" ht="18" customHeight="1">
      <c r="A161" s="43" t="s">
        <v>138</v>
      </c>
      <c r="B161" s="44" t="s">
        <v>179</v>
      </c>
      <c r="C161" s="44" t="s">
        <v>73</v>
      </c>
      <c r="D161" s="85">
        <v>10104906804</v>
      </c>
      <c r="E161" s="44" t="s">
        <v>888</v>
      </c>
      <c r="F161" s="44" t="s">
        <v>180</v>
      </c>
      <c r="G161" s="44" t="s">
        <v>199</v>
      </c>
      <c r="H161" s="44" t="s">
        <v>76</v>
      </c>
      <c r="I161" s="48" t="s">
        <v>482</v>
      </c>
      <c r="J161" s="45">
        <v>42773</v>
      </c>
      <c r="K161" s="45">
        <v>42790</v>
      </c>
      <c r="L161" s="45">
        <v>42790</v>
      </c>
    </row>
    <row r="162" spans="1:12" ht="18" customHeight="1">
      <c r="A162" s="43" t="s">
        <v>138</v>
      </c>
      <c r="B162" s="44" t="s">
        <v>163</v>
      </c>
      <c r="C162" s="44" t="s">
        <v>73</v>
      </c>
      <c r="D162" s="85">
        <v>10104898887</v>
      </c>
      <c r="E162" s="44" t="s">
        <v>202</v>
      </c>
      <c r="F162" s="44" t="s">
        <v>500</v>
      </c>
      <c r="G162" s="44" t="s">
        <v>203</v>
      </c>
      <c r="H162" s="44" t="s">
        <v>76</v>
      </c>
      <c r="I162" s="48" t="s">
        <v>482</v>
      </c>
      <c r="J162" s="45">
        <v>42770</v>
      </c>
      <c r="K162" s="45">
        <v>42770</v>
      </c>
      <c r="L162" s="45"/>
    </row>
    <row r="163" spans="1:12" ht="18" customHeight="1">
      <c r="A163" s="43" t="s">
        <v>138</v>
      </c>
      <c r="B163" s="44" t="s">
        <v>163</v>
      </c>
      <c r="C163" s="44" t="s">
        <v>73</v>
      </c>
      <c r="D163" s="85">
        <v>10104961931</v>
      </c>
      <c r="E163" s="44" t="s">
        <v>510</v>
      </c>
      <c r="F163" s="44" t="s">
        <v>596</v>
      </c>
      <c r="G163" s="44" t="s">
        <v>203</v>
      </c>
      <c r="H163" s="44" t="s">
        <v>74</v>
      </c>
      <c r="I163" s="48" t="s">
        <v>481</v>
      </c>
      <c r="J163" s="45">
        <v>42793</v>
      </c>
      <c r="K163" s="45">
        <v>42793</v>
      </c>
      <c r="L163" s="45"/>
    </row>
    <row r="164" spans="1:12" ht="18" customHeight="1">
      <c r="A164" s="43" t="s">
        <v>138</v>
      </c>
      <c r="B164" s="44" t="s">
        <v>179</v>
      </c>
      <c r="C164" s="44" t="s">
        <v>73</v>
      </c>
      <c r="D164" s="85">
        <v>10104925103</v>
      </c>
      <c r="E164" s="44" t="s">
        <v>498</v>
      </c>
      <c r="F164" s="44" t="s">
        <v>596</v>
      </c>
      <c r="G164" s="44" t="s">
        <v>205</v>
      </c>
      <c r="H164" s="44" t="s">
        <v>74</v>
      </c>
      <c r="I164" s="48" t="s">
        <v>481</v>
      </c>
      <c r="J164" s="45">
        <v>42774</v>
      </c>
      <c r="K164" s="45">
        <v>42774</v>
      </c>
      <c r="L164" s="45"/>
    </row>
    <row r="165" spans="1:12" ht="18" customHeight="1">
      <c r="A165" s="43" t="s">
        <v>138</v>
      </c>
      <c r="B165" s="44" t="s">
        <v>179</v>
      </c>
      <c r="C165" s="44" t="s">
        <v>73</v>
      </c>
      <c r="D165" s="85">
        <v>10104918157</v>
      </c>
      <c r="E165" s="44" t="s">
        <v>204</v>
      </c>
      <c r="F165" s="44" t="s">
        <v>180</v>
      </c>
      <c r="G165" s="44" t="s">
        <v>205</v>
      </c>
      <c r="H165" s="44" t="s">
        <v>76</v>
      </c>
      <c r="I165" s="48" t="s">
        <v>482</v>
      </c>
      <c r="J165" s="45">
        <v>42783</v>
      </c>
      <c r="K165" s="45">
        <v>42790</v>
      </c>
      <c r="L165" s="45">
        <v>42790</v>
      </c>
    </row>
    <row r="166" spans="1:12" ht="18" customHeight="1">
      <c r="A166" s="43" t="s">
        <v>138</v>
      </c>
      <c r="B166" s="44" t="s">
        <v>179</v>
      </c>
      <c r="C166" s="44" t="s">
        <v>73</v>
      </c>
      <c r="D166" s="85">
        <v>10104949410</v>
      </c>
      <c r="E166" s="44" t="s">
        <v>206</v>
      </c>
      <c r="F166" s="44" t="s">
        <v>596</v>
      </c>
      <c r="G166" s="44" t="s">
        <v>207</v>
      </c>
      <c r="H166" s="44" t="s">
        <v>74</v>
      </c>
      <c r="I166" s="48" t="s">
        <v>481</v>
      </c>
      <c r="J166" s="45">
        <v>42794</v>
      </c>
      <c r="K166" s="45">
        <v>42794</v>
      </c>
      <c r="L166" s="45"/>
    </row>
    <row r="167" spans="1:12" ht="18" customHeight="1">
      <c r="A167" s="43" t="s">
        <v>138</v>
      </c>
      <c r="B167" s="44" t="s">
        <v>179</v>
      </c>
      <c r="C167" s="44" t="s">
        <v>73</v>
      </c>
      <c r="D167" s="85">
        <v>10104931674</v>
      </c>
      <c r="E167" s="44" t="s">
        <v>208</v>
      </c>
      <c r="F167" s="44" t="s">
        <v>180</v>
      </c>
      <c r="G167" s="44" t="s">
        <v>207</v>
      </c>
      <c r="H167" s="44" t="s">
        <v>76</v>
      </c>
      <c r="I167" s="48" t="s">
        <v>482</v>
      </c>
      <c r="J167" s="45">
        <v>42790</v>
      </c>
      <c r="K167" s="45">
        <v>42790</v>
      </c>
      <c r="L167" s="45">
        <v>42790</v>
      </c>
    </row>
    <row r="168" spans="1:12" ht="18" customHeight="1">
      <c r="A168" s="43" t="s">
        <v>138</v>
      </c>
      <c r="B168" s="44" t="s">
        <v>179</v>
      </c>
      <c r="C168" s="44" t="s">
        <v>73</v>
      </c>
      <c r="D168" s="85">
        <v>10104911886</v>
      </c>
      <c r="E168" s="44" t="s">
        <v>889</v>
      </c>
      <c r="F168" s="44" t="s">
        <v>180</v>
      </c>
      <c r="G168" s="44" t="s">
        <v>209</v>
      </c>
      <c r="H168" s="44" t="s">
        <v>76</v>
      </c>
      <c r="I168" s="48" t="s">
        <v>482</v>
      </c>
      <c r="J168" s="45">
        <v>42777</v>
      </c>
      <c r="K168" s="45">
        <v>42788</v>
      </c>
      <c r="L168" s="45">
        <v>42788</v>
      </c>
    </row>
    <row r="169" spans="1:12" ht="18" customHeight="1">
      <c r="A169" s="43" t="s">
        <v>138</v>
      </c>
      <c r="B169" s="44" t="s">
        <v>179</v>
      </c>
      <c r="C169" s="44" t="s">
        <v>73</v>
      </c>
      <c r="D169" s="85">
        <v>10104939749</v>
      </c>
      <c r="E169" s="44" t="s">
        <v>538</v>
      </c>
      <c r="F169" s="44" t="s">
        <v>887</v>
      </c>
      <c r="G169" s="44" t="s">
        <v>209</v>
      </c>
      <c r="H169" s="44" t="s">
        <v>74</v>
      </c>
      <c r="I169" s="48" t="s">
        <v>481</v>
      </c>
      <c r="J169" s="45">
        <v>42777</v>
      </c>
      <c r="K169" s="45">
        <v>42777</v>
      </c>
      <c r="L169" s="45"/>
    </row>
    <row r="170" spans="1:12" ht="18" customHeight="1">
      <c r="A170" s="43" t="s">
        <v>138</v>
      </c>
      <c r="B170" s="44" t="s">
        <v>179</v>
      </c>
      <c r="C170" s="44" t="s">
        <v>73</v>
      </c>
      <c r="D170" s="85">
        <v>10104930975</v>
      </c>
      <c r="E170" s="44" t="s">
        <v>538</v>
      </c>
      <c r="F170" s="44" t="s">
        <v>887</v>
      </c>
      <c r="G170" s="44" t="s">
        <v>209</v>
      </c>
      <c r="H170" s="44" t="s">
        <v>74</v>
      </c>
      <c r="I170" s="48" t="s">
        <v>481</v>
      </c>
      <c r="J170" s="45">
        <v>42770</v>
      </c>
      <c r="K170" s="45">
        <v>42770</v>
      </c>
      <c r="L170" s="45"/>
    </row>
    <row r="171" spans="1:12" ht="18" customHeight="1">
      <c r="A171" s="43" t="s">
        <v>138</v>
      </c>
      <c r="B171" s="44" t="s">
        <v>179</v>
      </c>
      <c r="C171" s="44" t="s">
        <v>73</v>
      </c>
      <c r="D171" s="85">
        <v>10104956502</v>
      </c>
      <c r="E171" s="44" t="s">
        <v>538</v>
      </c>
      <c r="F171" s="44" t="s">
        <v>887</v>
      </c>
      <c r="G171" s="44" t="s">
        <v>209</v>
      </c>
      <c r="H171" s="44" t="s">
        <v>74</v>
      </c>
      <c r="I171" s="48" t="s">
        <v>481</v>
      </c>
      <c r="J171" s="45">
        <v>42791</v>
      </c>
      <c r="K171" s="45">
        <v>42791</v>
      </c>
      <c r="L171" s="45"/>
    </row>
    <row r="172" spans="1:12" ht="18" customHeight="1">
      <c r="A172" s="43" t="s">
        <v>138</v>
      </c>
      <c r="B172" s="44" t="s">
        <v>179</v>
      </c>
      <c r="C172" s="44" t="s">
        <v>73</v>
      </c>
      <c r="D172" s="85">
        <v>10104947904</v>
      </c>
      <c r="E172" s="44" t="s">
        <v>538</v>
      </c>
      <c r="F172" s="44" t="s">
        <v>887</v>
      </c>
      <c r="G172" s="44" t="s">
        <v>209</v>
      </c>
      <c r="H172" s="44" t="s">
        <v>74</v>
      </c>
      <c r="I172" s="48" t="s">
        <v>481</v>
      </c>
      <c r="J172" s="45">
        <v>42784</v>
      </c>
      <c r="K172" s="45">
        <v>42784</v>
      </c>
      <c r="L172" s="45"/>
    </row>
    <row r="173" spans="1:12" ht="18" customHeight="1">
      <c r="A173" s="43" t="s">
        <v>138</v>
      </c>
      <c r="B173" s="44" t="s">
        <v>179</v>
      </c>
      <c r="C173" s="44" t="s">
        <v>73</v>
      </c>
      <c r="D173" s="85">
        <v>10104938216</v>
      </c>
      <c r="E173" s="44" t="s">
        <v>210</v>
      </c>
      <c r="F173" s="44" t="s">
        <v>180</v>
      </c>
      <c r="G173" s="44" t="s">
        <v>211</v>
      </c>
      <c r="H173" s="44" t="s">
        <v>76</v>
      </c>
      <c r="I173" s="48" t="s">
        <v>482</v>
      </c>
      <c r="J173" s="45">
        <v>42784</v>
      </c>
      <c r="K173" s="45">
        <v>42786</v>
      </c>
      <c r="L173" s="45">
        <v>42786</v>
      </c>
    </row>
    <row r="174" spans="1:12" ht="18" customHeight="1">
      <c r="A174" s="43" t="s">
        <v>138</v>
      </c>
      <c r="B174" s="44" t="s">
        <v>179</v>
      </c>
      <c r="C174" s="44" t="s">
        <v>73</v>
      </c>
      <c r="D174" s="85">
        <v>10104930923</v>
      </c>
      <c r="E174" s="44" t="s">
        <v>539</v>
      </c>
      <c r="F174" s="44" t="s">
        <v>887</v>
      </c>
      <c r="G174" s="44" t="s">
        <v>211</v>
      </c>
      <c r="H174" s="44" t="s">
        <v>74</v>
      </c>
      <c r="I174" s="48" t="s">
        <v>481</v>
      </c>
      <c r="J174" s="45">
        <v>42767</v>
      </c>
      <c r="K174" s="45">
        <v>42767</v>
      </c>
      <c r="L174" s="45"/>
    </row>
    <row r="175" spans="1:12" ht="18" customHeight="1">
      <c r="A175" s="43" t="s">
        <v>138</v>
      </c>
      <c r="B175" s="44" t="s">
        <v>179</v>
      </c>
      <c r="C175" s="44" t="s">
        <v>73</v>
      </c>
      <c r="D175" s="85">
        <v>10104915067</v>
      </c>
      <c r="E175" s="44" t="s">
        <v>212</v>
      </c>
      <c r="F175" s="44" t="s">
        <v>596</v>
      </c>
      <c r="G175" s="44" t="s">
        <v>211</v>
      </c>
      <c r="H175" s="44" t="s">
        <v>74</v>
      </c>
      <c r="I175" s="48" t="s">
        <v>481</v>
      </c>
      <c r="J175" s="45">
        <v>42780</v>
      </c>
      <c r="K175" s="45">
        <v>42780</v>
      </c>
      <c r="L175" s="45"/>
    </row>
    <row r="176" spans="1:12" ht="18" customHeight="1">
      <c r="A176" s="43" t="s">
        <v>138</v>
      </c>
      <c r="B176" s="44" t="s">
        <v>139</v>
      </c>
      <c r="C176" s="44" t="s">
        <v>120</v>
      </c>
      <c r="D176" s="85">
        <v>10104875610</v>
      </c>
      <c r="E176" s="44" t="s">
        <v>1027</v>
      </c>
      <c r="F176" s="44" t="s">
        <v>1028</v>
      </c>
      <c r="G176" s="44" t="s">
        <v>140</v>
      </c>
      <c r="H176" s="44" t="s">
        <v>130</v>
      </c>
      <c r="I176" s="48" t="s">
        <v>482</v>
      </c>
      <c r="J176" s="45">
        <v>42794</v>
      </c>
      <c r="K176" s="45">
        <v>42796</v>
      </c>
      <c r="L176" s="45">
        <v>42796</v>
      </c>
    </row>
    <row r="177" spans="1:12" ht="18" customHeight="1">
      <c r="A177" s="43" t="s">
        <v>138</v>
      </c>
      <c r="B177" s="44" t="s">
        <v>148</v>
      </c>
      <c r="C177" s="44" t="s">
        <v>120</v>
      </c>
      <c r="D177" s="85">
        <v>10104913355</v>
      </c>
      <c r="E177" s="44" t="s">
        <v>1029</v>
      </c>
      <c r="F177" s="44" t="s">
        <v>1030</v>
      </c>
      <c r="G177" s="44" t="s">
        <v>149</v>
      </c>
      <c r="H177" s="44" t="s">
        <v>76</v>
      </c>
      <c r="I177" s="48" t="s">
        <v>482</v>
      </c>
      <c r="J177" s="45">
        <v>42794</v>
      </c>
      <c r="K177" s="45">
        <v>42767</v>
      </c>
      <c r="L177" s="45"/>
    </row>
    <row r="178" spans="1:12" ht="18" customHeight="1">
      <c r="A178" s="43" t="s">
        <v>138</v>
      </c>
      <c r="B178" s="44" t="s">
        <v>148</v>
      </c>
      <c r="C178" s="44" t="s">
        <v>120</v>
      </c>
      <c r="D178" s="85">
        <v>10104913308</v>
      </c>
      <c r="E178" s="44" t="s">
        <v>1031</v>
      </c>
      <c r="F178" s="44" t="s">
        <v>213</v>
      </c>
      <c r="G178" s="44" t="s">
        <v>149</v>
      </c>
      <c r="H178" s="44" t="s">
        <v>74</v>
      </c>
      <c r="I178" s="48" t="s">
        <v>481</v>
      </c>
      <c r="J178" s="45">
        <v>42794</v>
      </c>
      <c r="K178" s="45">
        <v>42796</v>
      </c>
      <c r="L178" s="45">
        <v>42796</v>
      </c>
    </row>
    <row r="179" spans="1:12" ht="18" customHeight="1">
      <c r="A179" s="43" t="s">
        <v>138</v>
      </c>
      <c r="B179" s="44" t="s">
        <v>148</v>
      </c>
      <c r="C179" s="44" t="s">
        <v>120</v>
      </c>
      <c r="D179" s="85">
        <v>10104910432</v>
      </c>
      <c r="E179" s="44" t="s">
        <v>1033</v>
      </c>
      <c r="F179" s="44" t="s">
        <v>1030</v>
      </c>
      <c r="G179" s="44" t="s">
        <v>150</v>
      </c>
      <c r="H179" s="44" t="s">
        <v>76</v>
      </c>
      <c r="I179" s="48" t="s">
        <v>482</v>
      </c>
      <c r="J179" s="45">
        <v>42776</v>
      </c>
      <c r="K179" s="45">
        <v>42776</v>
      </c>
      <c r="L179" s="45"/>
    </row>
    <row r="180" spans="1:12" ht="18" customHeight="1">
      <c r="A180" s="43" t="s">
        <v>138</v>
      </c>
      <c r="B180" s="44" t="s">
        <v>148</v>
      </c>
      <c r="C180" s="44" t="s">
        <v>120</v>
      </c>
      <c r="D180" s="85">
        <v>10104914357</v>
      </c>
      <c r="E180" s="44" t="s">
        <v>1032</v>
      </c>
      <c r="F180" s="44" t="s">
        <v>213</v>
      </c>
      <c r="G180" s="44" t="s">
        <v>150</v>
      </c>
      <c r="H180" s="44" t="s">
        <v>74</v>
      </c>
      <c r="I180" s="48" t="s">
        <v>481</v>
      </c>
      <c r="J180" s="45">
        <v>42794</v>
      </c>
      <c r="K180" s="45">
        <v>42796</v>
      </c>
      <c r="L180" s="45">
        <v>42796</v>
      </c>
    </row>
    <row r="181" spans="1:12" ht="18" customHeight="1">
      <c r="A181" s="43" t="s">
        <v>138</v>
      </c>
      <c r="B181" s="44" t="s">
        <v>148</v>
      </c>
      <c r="C181" s="44" t="s">
        <v>120</v>
      </c>
      <c r="D181" s="85">
        <v>10104910453</v>
      </c>
      <c r="E181" s="44" t="s">
        <v>1034</v>
      </c>
      <c r="F181" s="44" t="s">
        <v>1030</v>
      </c>
      <c r="G181" s="44" t="s">
        <v>154</v>
      </c>
      <c r="H181" s="44" t="s">
        <v>76</v>
      </c>
      <c r="I181" s="48" t="s">
        <v>482</v>
      </c>
      <c r="J181" s="45">
        <v>42776</v>
      </c>
      <c r="K181" s="45">
        <v>42776</v>
      </c>
      <c r="L181" s="45"/>
    </row>
    <row r="182" spans="1:12" ht="18" customHeight="1">
      <c r="A182" s="43" t="s">
        <v>138</v>
      </c>
      <c r="B182" s="44" t="s">
        <v>148</v>
      </c>
      <c r="C182" s="44" t="s">
        <v>120</v>
      </c>
      <c r="D182" s="85">
        <v>10104915074</v>
      </c>
      <c r="E182" s="44" t="s">
        <v>1035</v>
      </c>
      <c r="F182" s="44" t="s">
        <v>180</v>
      </c>
      <c r="G182" s="44" t="s">
        <v>156</v>
      </c>
      <c r="H182" s="44" t="s">
        <v>129</v>
      </c>
      <c r="I182" s="48" t="s">
        <v>481</v>
      </c>
      <c r="J182" s="45">
        <v>42794</v>
      </c>
      <c r="K182" s="45">
        <v>42796</v>
      </c>
      <c r="L182" s="45">
        <v>42796</v>
      </c>
    </row>
    <row r="183" spans="1:12" ht="18" customHeight="1">
      <c r="A183" s="43" t="s">
        <v>138</v>
      </c>
      <c r="B183" s="44" t="s">
        <v>139</v>
      </c>
      <c r="C183" s="44" t="s">
        <v>120</v>
      </c>
      <c r="D183" s="85">
        <v>10104913005</v>
      </c>
      <c r="E183" s="44" t="s">
        <v>1036</v>
      </c>
      <c r="F183" s="44" t="s">
        <v>213</v>
      </c>
      <c r="G183" s="44" t="s">
        <v>161</v>
      </c>
      <c r="H183" s="44" t="s">
        <v>130</v>
      </c>
      <c r="I183" s="48" t="s">
        <v>482</v>
      </c>
      <c r="J183" s="45">
        <v>42794</v>
      </c>
      <c r="K183" s="45">
        <v>42796</v>
      </c>
      <c r="L183" s="45">
        <v>42796</v>
      </c>
    </row>
    <row r="184" spans="1:12" ht="18" customHeight="1">
      <c r="A184" s="43" t="s">
        <v>138</v>
      </c>
      <c r="B184" s="44" t="s">
        <v>139</v>
      </c>
      <c r="C184" s="44" t="s">
        <v>120</v>
      </c>
      <c r="D184" s="85">
        <v>10104895509</v>
      </c>
      <c r="E184" s="44" t="s">
        <v>1037</v>
      </c>
      <c r="F184" s="44" t="s">
        <v>180</v>
      </c>
      <c r="G184" s="44" t="s">
        <v>1038</v>
      </c>
      <c r="H184" s="44" t="s">
        <v>332</v>
      </c>
      <c r="I184" s="48" t="s">
        <v>482</v>
      </c>
      <c r="J184" s="45">
        <v>42767</v>
      </c>
      <c r="K184" s="45">
        <v>42767</v>
      </c>
      <c r="L184" s="45">
        <v>42767</v>
      </c>
    </row>
    <row r="185" spans="1:12" ht="18" customHeight="1">
      <c r="A185" s="43" t="s">
        <v>138</v>
      </c>
      <c r="B185" s="44" t="s">
        <v>139</v>
      </c>
      <c r="C185" s="44" t="s">
        <v>120</v>
      </c>
      <c r="D185" s="85">
        <v>10104878702</v>
      </c>
      <c r="E185" s="44" t="s">
        <v>1039</v>
      </c>
      <c r="F185" s="44" t="s">
        <v>890</v>
      </c>
      <c r="G185" s="44" t="s">
        <v>1040</v>
      </c>
      <c r="H185" s="44" t="s">
        <v>223</v>
      </c>
      <c r="I185" s="48" t="s">
        <v>481</v>
      </c>
      <c r="J185" s="45">
        <v>42794</v>
      </c>
      <c r="K185" s="45">
        <v>42767</v>
      </c>
      <c r="L185" s="45"/>
    </row>
    <row r="186" spans="1:12" ht="18" customHeight="1">
      <c r="A186" s="43" t="s">
        <v>138</v>
      </c>
      <c r="B186" s="44" t="s">
        <v>139</v>
      </c>
      <c r="C186" s="44" t="s">
        <v>120</v>
      </c>
      <c r="D186" s="85">
        <v>10104878703</v>
      </c>
      <c r="E186" s="44" t="s">
        <v>1041</v>
      </c>
      <c r="F186" s="44" t="s">
        <v>216</v>
      </c>
      <c r="G186" s="44" t="s">
        <v>1042</v>
      </c>
      <c r="H186" s="44" t="s">
        <v>223</v>
      </c>
      <c r="I186" s="48" t="s">
        <v>481</v>
      </c>
      <c r="J186" s="45">
        <v>42791</v>
      </c>
      <c r="K186" s="45">
        <v>42767</v>
      </c>
      <c r="L186" s="45"/>
    </row>
    <row r="187" spans="1:12" ht="18" customHeight="1">
      <c r="A187" s="43" t="s">
        <v>138</v>
      </c>
      <c r="B187" s="44" t="s">
        <v>139</v>
      </c>
      <c r="C187" s="44" t="s">
        <v>120</v>
      </c>
      <c r="D187" s="85">
        <v>10104878704</v>
      </c>
      <c r="E187" s="44" t="s">
        <v>1041</v>
      </c>
      <c r="F187" s="44" t="s">
        <v>216</v>
      </c>
      <c r="G187" s="44" t="s">
        <v>1043</v>
      </c>
      <c r="H187" s="44" t="s">
        <v>223</v>
      </c>
      <c r="I187" s="48" t="s">
        <v>481</v>
      </c>
      <c r="J187" s="45">
        <v>42791</v>
      </c>
      <c r="K187" s="45">
        <v>42767</v>
      </c>
      <c r="L187" s="45"/>
    </row>
    <row r="188" spans="1:12" ht="18" customHeight="1">
      <c r="A188" s="43" t="s">
        <v>138</v>
      </c>
      <c r="B188" s="44" t="s">
        <v>144</v>
      </c>
      <c r="C188" s="44" t="s">
        <v>120</v>
      </c>
      <c r="D188" s="85">
        <v>10104916730</v>
      </c>
      <c r="E188" s="44" t="s">
        <v>915</v>
      </c>
      <c r="F188" s="44" t="s">
        <v>917</v>
      </c>
      <c r="G188" s="44" t="s">
        <v>165</v>
      </c>
      <c r="H188" s="44" t="s">
        <v>130</v>
      </c>
      <c r="I188" s="48" t="s">
        <v>482</v>
      </c>
      <c r="J188" s="45">
        <v>42794</v>
      </c>
      <c r="K188" s="45">
        <v>42797</v>
      </c>
      <c r="L188" s="45"/>
    </row>
    <row r="189" spans="1:12" ht="18" customHeight="1">
      <c r="A189" s="43" t="s">
        <v>138</v>
      </c>
      <c r="B189" s="44" t="s">
        <v>144</v>
      </c>
      <c r="C189" s="44" t="s">
        <v>120</v>
      </c>
      <c r="D189" s="85">
        <v>10104916731</v>
      </c>
      <c r="E189" s="44" t="s">
        <v>916</v>
      </c>
      <c r="F189" s="44" t="s">
        <v>917</v>
      </c>
      <c r="G189" s="44" t="s">
        <v>166</v>
      </c>
      <c r="H189" s="44" t="s">
        <v>130</v>
      </c>
      <c r="I189" s="48" t="s">
        <v>482</v>
      </c>
      <c r="J189" s="45">
        <v>42794</v>
      </c>
      <c r="K189" s="45">
        <v>42797</v>
      </c>
      <c r="L189" s="45"/>
    </row>
    <row r="190" spans="1:12" ht="18" customHeight="1">
      <c r="A190" s="43" t="s">
        <v>138</v>
      </c>
      <c r="B190" s="44" t="s">
        <v>144</v>
      </c>
      <c r="C190" s="44" t="s">
        <v>120</v>
      </c>
      <c r="D190" s="85">
        <v>10104916732</v>
      </c>
      <c r="E190" s="44" t="s">
        <v>1044</v>
      </c>
      <c r="F190" s="44" t="s">
        <v>213</v>
      </c>
      <c r="G190" s="44" t="s">
        <v>167</v>
      </c>
      <c r="H190" s="44" t="s">
        <v>76</v>
      </c>
      <c r="I190" s="48" t="s">
        <v>482</v>
      </c>
      <c r="J190" s="45">
        <v>42794</v>
      </c>
      <c r="K190" s="45">
        <v>42797</v>
      </c>
      <c r="L190" s="45">
        <v>42757</v>
      </c>
    </row>
    <row r="191" spans="1:12" ht="18" customHeight="1">
      <c r="A191" s="43" t="s">
        <v>138</v>
      </c>
      <c r="B191" s="44" t="s">
        <v>144</v>
      </c>
      <c r="C191" s="44" t="s">
        <v>120</v>
      </c>
      <c r="D191" s="85">
        <v>10104916733</v>
      </c>
      <c r="E191" s="44" t="s">
        <v>1045</v>
      </c>
      <c r="F191" s="44" t="s">
        <v>213</v>
      </c>
      <c r="G191" s="44" t="s">
        <v>168</v>
      </c>
      <c r="H191" s="44" t="s">
        <v>76</v>
      </c>
      <c r="I191" s="48" t="s">
        <v>482</v>
      </c>
      <c r="J191" s="45">
        <v>42794</v>
      </c>
      <c r="K191" s="45">
        <v>42797</v>
      </c>
      <c r="L191" s="45">
        <v>42795</v>
      </c>
    </row>
    <row r="192" spans="1:12" ht="18" customHeight="1">
      <c r="A192" s="43" t="s">
        <v>138</v>
      </c>
      <c r="B192" s="44" t="s">
        <v>144</v>
      </c>
      <c r="C192" s="44" t="s">
        <v>120</v>
      </c>
      <c r="D192" s="85">
        <v>10104722317</v>
      </c>
      <c r="E192" s="44" t="s">
        <v>1046</v>
      </c>
      <c r="F192" s="44" t="s">
        <v>146</v>
      </c>
      <c r="G192" s="44" t="s">
        <v>170</v>
      </c>
      <c r="H192" s="44" t="s">
        <v>129</v>
      </c>
      <c r="I192" s="48" t="s">
        <v>481</v>
      </c>
      <c r="J192" s="45">
        <v>42794</v>
      </c>
      <c r="K192" s="45">
        <v>42796</v>
      </c>
      <c r="L192" s="45"/>
    </row>
    <row r="193" spans="1:12" ht="18" customHeight="1">
      <c r="A193" s="43" t="s">
        <v>138</v>
      </c>
      <c r="B193" s="44" t="s">
        <v>144</v>
      </c>
      <c r="C193" s="44" t="s">
        <v>120</v>
      </c>
      <c r="D193" s="85">
        <v>10104722319</v>
      </c>
      <c r="E193" s="44" t="s">
        <v>1047</v>
      </c>
      <c r="F193" s="44" t="s">
        <v>146</v>
      </c>
      <c r="G193" s="44" t="s">
        <v>172</v>
      </c>
      <c r="H193" s="44" t="s">
        <v>129</v>
      </c>
      <c r="I193" s="48" t="s">
        <v>481</v>
      </c>
      <c r="J193" s="45">
        <v>42794</v>
      </c>
      <c r="K193" s="45">
        <v>42796</v>
      </c>
      <c r="L193" s="45"/>
    </row>
    <row r="194" spans="1:12" ht="18" customHeight="1">
      <c r="A194" s="43" t="s">
        <v>138</v>
      </c>
      <c r="B194" s="44" t="s">
        <v>144</v>
      </c>
      <c r="C194" s="44" t="s">
        <v>120</v>
      </c>
      <c r="D194" s="85">
        <v>10104722321</v>
      </c>
      <c r="E194" s="44" t="s">
        <v>1048</v>
      </c>
      <c r="F194" s="44" t="s">
        <v>146</v>
      </c>
      <c r="G194" s="44" t="s">
        <v>173</v>
      </c>
      <c r="H194" s="44" t="s">
        <v>129</v>
      </c>
      <c r="I194" s="48" t="s">
        <v>481</v>
      </c>
      <c r="J194" s="45">
        <v>42794</v>
      </c>
      <c r="K194" s="45">
        <v>42796</v>
      </c>
      <c r="L194" s="45"/>
    </row>
    <row r="195" spans="1:12" ht="18" customHeight="1">
      <c r="A195" s="43" t="s">
        <v>138</v>
      </c>
      <c r="B195" s="44" t="s">
        <v>144</v>
      </c>
      <c r="C195" s="44" t="s">
        <v>120</v>
      </c>
      <c r="D195" s="85">
        <v>10104878611</v>
      </c>
      <c r="E195" s="44" t="s">
        <v>1050</v>
      </c>
      <c r="F195" s="44" t="s">
        <v>1028</v>
      </c>
      <c r="G195" s="44" t="s">
        <v>175</v>
      </c>
      <c r="H195" s="44" t="s">
        <v>130</v>
      </c>
      <c r="I195" s="48" t="s">
        <v>482</v>
      </c>
      <c r="J195" s="45">
        <v>42794</v>
      </c>
      <c r="K195" s="45">
        <v>42796</v>
      </c>
      <c r="L195" s="45">
        <v>42795</v>
      </c>
    </row>
    <row r="196" spans="1:12" ht="18" customHeight="1">
      <c r="A196" s="43" t="s">
        <v>138</v>
      </c>
      <c r="B196" s="44" t="s">
        <v>144</v>
      </c>
      <c r="C196" s="44" t="s">
        <v>120</v>
      </c>
      <c r="D196" s="85">
        <v>10104722323</v>
      </c>
      <c r="E196" s="44" t="s">
        <v>1049</v>
      </c>
      <c r="F196" s="44" t="s">
        <v>146</v>
      </c>
      <c r="G196" s="44" t="s">
        <v>175</v>
      </c>
      <c r="H196" s="44" t="s">
        <v>129</v>
      </c>
      <c r="I196" s="48" t="s">
        <v>481</v>
      </c>
      <c r="J196" s="45">
        <v>42794</v>
      </c>
      <c r="K196" s="45">
        <v>42796</v>
      </c>
      <c r="L196" s="45"/>
    </row>
    <row r="197" spans="1:12" ht="18" customHeight="1">
      <c r="A197" s="43" t="s">
        <v>138</v>
      </c>
      <c r="B197" s="44" t="s">
        <v>144</v>
      </c>
      <c r="C197" s="44" t="s">
        <v>120</v>
      </c>
      <c r="D197" s="85">
        <v>10104722325</v>
      </c>
      <c r="E197" s="44" t="s">
        <v>1051</v>
      </c>
      <c r="F197" s="44" t="s">
        <v>146</v>
      </c>
      <c r="G197" s="44" t="s">
        <v>177</v>
      </c>
      <c r="H197" s="44" t="s">
        <v>129</v>
      </c>
      <c r="I197" s="48" t="s">
        <v>481</v>
      </c>
      <c r="J197" s="45">
        <v>42794</v>
      </c>
      <c r="K197" s="45">
        <v>42796</v>
      </c>
      <c r="L197" s="45"/>
    </row>
    <row r="198" spans="1:12" ht="18" customHeight="1">
      <c r="A198" s="43" t="s">
        <v>138</v>
      </c>
      <c r="B198" s="44" t="s">
        <v>163</v>
      </c>
      <c r="C198" s="44" t="s">
        <v>120</v>
      </c>
      <c r="D198" s="85">
        <v>10104377652</v>
      </c>
      <c r="E198" s="44" t="s">
        <v>1052</v>
      </c>
      <c r="F198" s="44" t="s">
        <v>917</v>
      </c>
      <c r="G198" s="44" t="s">
        <v>182</v>
      </c>
      <c r="H198" s="44" t="s">
        <v>74</v>
      </c>
      <c r="I198" s="48" t="s">
        <v>481</v>
      </c>
      <c r="J198" s="45">
        <v>42769</v>
      </c>
      <c r="K198" s="45">
        <v>42769</v>
      </c>
      <c r="L198" s="45"/>
    </row>
    <row r="199" spans="1:12" ht="18" customHeight="1">
      <c r="A199" s="43" t="s">
        <v>138</v>
      </c>
      <c r="B199" s="44" t="s">
        <v>163</v>
      </c>
      <c r="C199" s="44" t="s">
        <v>120</v>
      </c>
      <c r="D199" s="85">
        <v>10104914234</v>
      </c>
      <c r="E199" s="44" t="s">
        <v>522</v>
      </c>
      <c r="F199" s="44" t="s">
        <v>75</v>
      </c>
      <c r="G199" s="44" t="s">
        <v>182</v>
      </c>
      <c r="H199" s="44" t="s">
        <v>129</v>
      </c>
      <c r="I199" s="48" t="s">
        <v>481</v>
      </c>
      <c r="J199" s="45">
        <v>42779</v>
      </c>
      <c r="K199" s="45">
        <v>42796</v>
      </c>
      <c r="L199" s="45">
        <v>42796</v>
      </c>
    </row>
    <row r="200" spans="1:12" ht="18" customHeight="1">
      <c r="A200" s="43" t="s">
        <v>138</v>
      </c>
      <c r="B200" s="44" t="s">
        <v>163</v>
      </c>
      <c r="C200" s="44" t="s">
        <v>120</v>
      </c>
      <c r="D200" s="85">
        <v>10104907517</v>
      </c>
      <c r="E200" s="44" t="s">
        <v>1053</v>
      </c>
      <c r="F200" s="44" t="s">
        <v>213</v>
      </c>
      <c r="G200" s="44" t="s">
        <v>182</v>
      </c>
      <c r="H200" s="44" t="s">
        <v>868</v>
      </c>
      <c r="I200" s="48" t="s">
        <v>482</v>
      </c>
      <c r="J200" s="45">
        <v>42794</v>
      </c>
      <c r="K200" s="45">
        <v>42797</v>
      </c>
      <c r="L200" s="45">
        <v>42797</v>
      </c>
    </row>
    <row r="201" spans="1:12" ht="18" customHeight="1">
      <c r="A201" s="43" t="s">
        <v>138</v>
      </c>
      <c r="B201" s="44" t="s">
        <v>163</v>
      </c>
      <c r="C201" s="44" t="s">
        <v>120</v>
      </c>
      <c r="D201" s="85">
        <v>10104472279</v>
      </c>
      <c r="E201" s="44" t="s">
        <v>1054</v>
      </c>
      <c r="F201" s="44" t="s">
        <v>901</v>
      </c>
      <c r="G201" s="44" t="s">
        <v>182</v>
      </c>
      <c r="H201" s="44" t="s">
        <v>122</v>
      </c>
      <c r="I201" s="48" t="s">
        <v>483</v>
      </c>
      <c r="J201" s="45">
        <v>42769</v>
      </c>
      <c r="K201" s="45">
        <v>42769</v>
      </c>
      <c r="L201" s="45"/>
    </row>
    <row r="202" spans="1:12" ht="18" customHeight="1">
      <c r="A202" s="43" t="s">
        <v>138</v>
      </c>
      <c r="B202" s="44" t="s">
        <v>163</v>
      </c>
      <c r="C202" s="44" t="s">
        <v>120</v>
      </c>
      <c r="D202" s="85">
        <v>10104923793</v>
      </c>
      <c r="E202" s="44" t="s">
        <v>828</v>
      </c>
      <c r="F202" s="44" t="s">
        <v>1030</v>
      </c>
      <c r="G202" s="44" t="s">
        <v>509</v>
      </c>
      <c r="H202" s="44" t="s">
        <v>76</v>
      </c>
      <c r="I202" s="48" t="s">
        <v>482</v>
      </c>
      <c r="J202" s="45">
        <v>42794</v>
      </c>
      <c r="K202" s="45">
        <v>42767</v>
      </c>
      <c r="L202" s="45"/>
    </row>
    <row r="203" spans="1:12" ht="18" customHeight="1">
      <c r="A203" s="43" t="s">
        <v>138</v>
      </c>
      <c r="B203" s="44" t="s">
        <v>163</v>
      </c>
      <c r="C203" s="44" t="s">
        <v>120</v>
      </c>
      <c r="D203" s="85">
        <v>10104929810</v>
      </c>
      <c r="E203" s="44" t="s">
        <v>1055</v>
      </c>
      <c r="F203" s="44" t="s">
        <v>213</v>
      </c>
      <c r="G203" s="44" t="s">
        <v>187</v>
      </c>
      <c r="H203" s="44" t="s">
        <v>76</v>
      </c>
      <c r="I203" s="48" t="s">
        <v>482</v>
      </c>
      <c r="J203" s="45">
        <v>42794</v>
      </c>
      <c r="K203" s="45">
        <v>42797</v>
      </c>
      <c r="L203" s="45">
        <v>42797</v>
      </c>
    </row>
    <row r="204" spans="1:12" ht="18" customHeight="1">
      <c r="A204" s="43" t="s">
        <v>138</v>
      </c>
      <c r="B204" s="44" t="s">
        <v>163</v>
      </c>
      <c r="C204" s="44" t="s">
        <v>120</v>
      </c>
      <c r="D204" s="85">
        <v>10104896293</v>
      </c>
      <c r="E204" s="44" t="s">
        <v>566</v>
      </c>
      <c r="F204" s="44" t="s">
        <v>180</v>
      </c>
      <c r="G204" s="44" t="s">
        <v>203</v>
      </c>
      <c r="H204" s="44" t="s">
        <v>131</v>
      </c>
      <c r="I204" s="48" t="s">
        <v>481</v>
      </c>
      <c r="J204" s="45">
        <v>42787</v>
      </c>
      <c r="K204" s="45">
        <v>42787</v>
      </c>
      <c r="L204" s="45">
        <v>42787</v>
      </c>
    </row>
    <row r="205" spans="1:12" ht="18" customHeight="1">
      <c r="A205" s="43" t="s">
        <v>138</v>
      </c>
      <c r="B205" s="44" t="s">
        <v>163</v>
      </c>
      <c r="C205" s="44" t="s">
        <v>120</v>
      </c>
      <c r="D205" s="85">
        <v>10104914157</v>
      </c>
      <c r="E205" s="44" t="s">
        <v>524</v>
      </c>
      <c r="F205" s="44" t="s">
        <v>749</v>
      </c>
      <c r="G205" s="44" t="s">
        <v>203</v>
      </c>
      <c r="H205" s="44" t="s">
        <v>129</v>
      </c>
      <c r="I205" s="48" t="s">
        <v>481</v>
      </c>
      <c r="J205" s="45">
        <v>42779</v>
      </c>
      <c r="K205" s="45">
        <v>42796</v>
      </c>
      <c r="L205" s="45">
        <v>42796</v>
      </c>
    </row>
    <row r="206" spans="1:12" ht="18" customHeight="1">
      <c r="A206" s="43" t="s">
        <v>138</v>
      </c>
      <c r="B206" s="44" t="s">
        <v>163</v>
      </c>
      <c r="C206" s="44" t="s">
        <v>120</v>
      </c>
      <c r="D206" s="85">
        <v>10104925838</v>
      </c>
      <c r="E206" s="44" t="s">
        <v>1057</v>
      </c>
      <c r="F206" s="44" t="s">
        <v>180</v>
      </c>
      <c r="G206" s="44" t="s">
        <v>203</v>
      </c>
      <c r="H206" s="44" t="s">
        <v>221</v>
      </c>
      <c r="I206" s="48" t="s">
        <v>481</v>
      </c>
      <c r="J206" s="45">
        <v>42787</v>
      </c>
      <c r="K206" s="45">
        <v>42787</v>
      </c>
      <c r="L206" s="45">
        <v>42787</v>
      </c>
    </row>
    <row r="207" spans="1:12" ht="18" customHeight="1">
      <c r="A207" s="43" t="s">
        <v>138</v>
      </c>
      <c r="B207" s="44" t="s">
        <v>163</v>
      </c>
      <c r="C207" s="44" t="s">
        <v>120</v>
      </c>
      <c r="D207" s="85">
        <v>10104914156</v>
      </c>
      <c r="E207" s="44" t="s">
        <v>1056</v>
      </c>
      <c r="F207" s="44" t="s">
        <v>213</v>
      </c>
      <c r="G207" s="44" t="s">
        <v>203</v>
      </c>
      <c r="H207" s="44" t="s">
        <v>868</v>
      </c>
      <c r="I207" s="48" t="s">
        <v>482</v>
      </c>
      <c r="J207" s="45">
        <v>42794</v>
      </c>
      <c r="K207" s="45">
        <v>42797</v>
      </c>
      <c r="L207" s="45">
        <v>42797</v>
      </c>
    </row>
    <row r="208" spans="1:12" ht="18" customHeight="1">
      <c r="A208" s="43" t="s">
        <v>138</v>
      </c>
      <c r="B208" s="44" t="s">
        <v>179</v>
      </c>
      <c r="C208" s="44" t="s">
        <v>120</v>
      </c>
      <c r="D208" s="85">
        <v>10104927086</v>
      </c>
      <c r="E208" s="44" t="s">
        <v>1058</v>
      </c>
      <c r="F208" s="44" t="s">
        <v>180</v>
      </c>
      <c r="G208" s="44" t="s">
        <v>211</v>
      </c>
      <c r="H208" s="44" t="s">
        <v>332</v>
      </c>
      <c r="I208" s="48" t="s">
        <v>482</v>
      </c>
      <c r="J208" s="45">
        <v>42787</v>
      </c>
      <c r="K208" s="45">
        <v>42787</v>
      </c>
      <c r="L208" s="45">
        <v>42787</v>
      </c>
    </row>
    <row r="209" spans="1:12" ht="18" customHeight="1">
      <c r="A209" s="43" t="s">
        <v>138</v>
      </c>
      <c r="B209" s="44" t="s">
        <v>179</v>
      </c>
      <c r="C209" s="44" t="s">
        <v>120</v>
      </c>
      <c r="D209" s="85">
        <v>10104914159</v>
      </c>
      <c r="E209" s="44" t="s">
        <v>804</v>
      </c>
      <c r="F209" s="44" t="s">
        <v>213</v>
      </c>
      <c r="G209" s="44" t="s">
        <v>211</v>
      </c>
      <c r="H209" s="44" t="s">
        <v>74</v>
      </c>
      <c r="I209" s="48" t="s">
        <v>481</v>
      </c>
      <c r="J209" s="45">
        <v>42794</v>
      </c>
      <c r="K209" s="45">
        <v>42796</v>
      </c>
      <c r="L209" s="45">
        <v>42796</v>
      </c>
    </row>
    <row r="210" spans="1:12" ht="18" customHeight="1">
      <c r="A210" s="43" t="s">
        <v>232</v>
      </c>
      <c r="B210" s="44" t="s">
        <v>233</v>
      </c>
      <c r="C210" s="44" t="s">
        <v>73</v>
      </c>
      <c r="D210" s="85">
        <v>10104945329</v>
      </c>
      <c r="E210" s="44" t="s">
        <v>234</v>
      </c>
      <c r="F210" s="44" t="s">
        <v>596</v>
      </c>
      <c r="G210" s="44" t="s">
        <v>235</v>
      </c>
      <c r="H210" s="44" t="s">
        <v>74</v>
      </c>
      <c r="I210" s="48" t="s">
        <v>481</v>
      </c>
      <c r="J210" s="45">
        <v>42787</v>
      </c>
      <c r="K210" s="45">
        <v>42787</v>
      </c>
      <c r="L210" s="45"/>
    </row>
    <row r="211" spans="1:12" ht="18" customHeight="1">
      <c r="A211" s="43" t="s">
        <v>232</v>
      </c>
      <c r="B211" s="44" t="s">
        <v>233</v>
      </c>
      <c r="C211" s="44" t="s">
        <v>73</v>
      </c>
      <c r="D211" s="85">
        <v>10104900291</v>
      </c>
      <c r="E211" s="44" t="s">
        <v>236</v>
      </c>
      <c r="F211" s="44" t="s">
        <v>887</v>
      </c>
      <c r="G211" s="44" t="s">
        <v>237</v>
      </c>
      <c r="H211" s="44" t="s">
        <v>74</v>
      </c>
      <c r="I211" s="48" t="s">
        <v>481</v>
      </c>
      <c r="J211" s="45">
        <v>42771</v>
      </c>
      <c r="K211" s="45">
        <v>42771</v>
      </c>
      <c r="L211" s="45"/>
    </row>
    <row r="212" spans="1:12" ht="18" customHeight="1">
      <c r="A212" s="43" t="s">
        <v>232</v>
      </c>
      <c r="B212" s="44" t="s">
        <v>233</v>
      </c>
      <c r="C212" s="44" t="s">
        <v>73</v>
      </c>
      <c r="D212" s="85">
        <v>10104923332</v>
      </c>
      <c r="E212" s="44" t="s">
        <v>238</v>
      </c>
      <c r="F212" s="44" t="s">
        <v>596</v>
      </c>
      <c r="G212" s="44" t="s">
        <v>239</v>
      </c>
      <c r="H212" s="44" t="s">
        <v>74</v>
      </c>
      <c r="I212" s="48" t="s">
        <v>481</v>
      </c>
      <c r="J212" s="45">
        <v>42787</v>
      </c>
      <c r="K212" s="45">
        <v>42787</v>
      </c>
      <c r="L212" s="45"/>
    </row>
    <row r="213" spans="1:12" ht="18" customHeight="1">
      <c r="A213" s="43" t="s">
        <v>232</v>
      </c>
      <c r="B213" s="44" t="s">
        <v>233</v>
      </c>
      <c r="C213" s="44" t="s">
        <v>73</v>
      </c>
      <c r="D213" s="85">
        <v>10104930705</v>
      </c>
      <c r="E213" s="44" t="s">
        <v>242</v>
      </c>
      <c r="F213" s="44" t="s">
        <v>596</v>
      </c>
      <c r="G213" s="44" t="s">
        <v>241</v>
      </c>
      <c r="H213" s="44" t="s">
        <v>74</v>
      </c>
      <c r="I213" s="48" t="s">
        <v>481</v>
      </c>
      <c r="J213" s="45">
        <v>42793</v>
      </c>
      <c r="K213" s="45">
        <v>42793</v>
      </c>
      <c r="L213" s="45"/>
    </row>
    <row r="214" spans="1:12" ht="18" customHeight="1">
      <c r="A214" s="43" t="s">
        <v>232</v>
      </c>
      <c r="B214" s="44" t="s">
        <v>233</v>
      </c>
      <c r="C214" s="44" t="s">
        <v>73</v>
      </c>
      <c r="D214" s="85">
        <v>10104930704</v>
      </c>
      <c r="E214" s="44" t="s">
        <v>240</v>
      </c>
      <c r="F214" s="44" t="s">
        <v>596</v>
      </c>
      <c r="G214" s="44" t="s">
        <v>241</v>
      </c>
      <c r="H214" s="44" t="s">
        <v>76</v>
      </c>
      <c r="I214" s="48" t="s">
        <v>482</v>
      </c>
      <c r="J214" s="45">
        <v>42767</v>
      </c>
      <c r="K214" s="45">
        <v>42767</v>
      </c>
      <c r="L214" s="45"/>
    </row>
    <row r="215" spans="1:12" ht="18" customHeight="1">
      <c r="A215" s="43" t="s">
        <v>232</v>
      </c>
      <c r="B215" s="44" t="s">
        <v>233</v>
      </c>
      <c r="C215" s="44" t="s">
        <v>73</v>
      </c>
      <c r="D215" s="85">
        <v>10104949459</v>
      </c>
      <c r="E215" s="44" t="s">
        <v>243</v>
      </c>
      <c r="F215" s="44" t="s">
        <v>596</v>
      </c>
      <c r="G215" s="44" t="s">
        <v>244</v>
      </c>
      <c r="H215" s="44" t="s">
        <v>74</v>
      </c>
      <c r="I215" s="48" t="s">
        <v>481</v>
      </c>
      <c r="J215" s="45">
        <v>42793</v>
      </c>
      <c r="K215" s="45">
        <v>42793</v>
      </c>
      <c r="L215" s="45"/>
    </row>
    <row r="216" spans="1:12" ht="18" customHeight="1">
      <c r="A216" s="43" t="s">
        <v>232</v>
      </c>
      <c r="B216" s="44" t="s">
        <v>233</v>
      </c>
      <c r="C216" s="44" t="s">
        <v>73</v>
      </c>
      <c r="D216" s="85">
        <v>10104932620</v>
      </c>
      <c r="E216" s="44" t="s">
        <v>243</v>
      </c>
      <c r="F216" s="44" t="s">
        <v>596</v>
      </c>
      <c r="G216" s="44" t="s">
        <v>244</v>
      </c>
      <c r="H216" s="44" t="s">
        <v>74</v>
      </c>
      <c r="I216" s="48" t="s">
        <v>481</v>
      </c>
      <c r="J216" s="45">
        <v>42779</v>
      </c>
      <c r="K216" s="45">
        <v>42779</v>
      </c>
      <c r="L216" s="45"/>
    </row>
    <row r="217" spans="1:12" ht="18" customHeight="1">
      <c r="A217" s="43" t="s">
        <v>232</v>
      </c>
      <c r="B217" s="44" t="s">
        <v>233</v>
      </c>
      <c r="C217" s="44" t="s">
        <v>73</v>
      </c>
      <c r="D217" s="85">
        <v>10104931680</v>
      </c>
      <c r="E217" s="44" t="s">
        <v>245</v>
      </c>
      <c r="F217" s="44" t="s">
        <v>596</v>
      </c>
      <c r="G217" s="44" t="s">
        <v>246</v>
      </c>
      <c r="H217" s="44" t="s">
        <v>74</v>
      </c>
      <c r="I217" s="48" t="s">
        <v>481</v>
      </c>
      <c r="J217" s="45">
        <v>42794</v>
      </c>
      <c r="K217" s="45">
        <v>42794</v>
      </c>
      <c r="L217" s="45"/>
    </row>
    <row r="218" spans="1:12" ht="18" customHeight="1">
      <c r="A218" s="43" t="s">
        <v>232</v>
      </c>
      <c r="B218" s="44" t="s">
        <v>233</v>
      </c>
      <c r="C218" s="44" t="s">
        <v>73</v>
      </c>
      <c r="D218" s="85">
        <v>10104931677</v>
      </c>
      <c r="E218" s="44" t="s">
        <v>247</v>
      </c>
      <c r="F218" s="44" t="s">
        <v>596</v>
      </c>
      <c r="G218" s="44" t="s">
        <v>248</v>
      </c>
      <c r="H218" s="44" t="s">
        <v>74</v>
      </c>
      <c r="I218" s="48" t="s">
        <v>481</v>
      </c>
      <c r="J218" s="45">
        <v>42794</v>
      </c>
      <c r="K218" s="45">
        <v>42794</v>
      </c>
      <c r="L218" s="45"/>
    </row>
    <row r="219" spans="1:12" ht="18" customHeight="1">
      <c r="A219" s="43" t="s">
        <v>232</v>
      </c>
      <c r="B219" s="44" t="s">
        <v>233</v>
      </c>
      <c r="C219" s="44" t="s">
        <v>73</v>
      </c>
      <c r="D219" s="85">
        <v>10104930786</v>
      </c>
      <c r="E219" s="44" t="s">
        <v>601</v>
      </c>
      <c r="F219" s="44" t="s">
        <v>596</v>
      </c>
      <c r="G219" s="44" t="s">
        <v>249</v>
      </c>
      <c r="H219" s="44" t="s">
        <v>74</v>
      </c>
      <c r="I219" s="48" t="s">
        <v>481</v>
      </c>
      <c r="J219" s="45">
        <v>42793</v>
      </c>
      <c r="K219" s="45">
        <v>42793</v>
      </c>
      <c r="L219" s="45"/>
    </row>
    <row r="220" spans="1:12" ht="18" customHeight="1">
      <c r="A220" s="43" t="s">
        <v>232</v>
      </c>
      <c r="B220" s="44" t="s">
        <v>233</v>
      </c>
      <c r="C220" s="44" t="s">
        <v>73</v>
      </c>
      <c r="D220" s="85">
        <v>10104921314</v>
      </c>
      <c r="E220" s="44" t="s">
        <v>892</v>
      </c>
      <c r="F220" s="44" t="s">
        <v>596</v>
      </c>
      <c r="G220" s="44" t="s">
        <v>249</v>
      </c>
      <c r="H220" s="44" t="s">
        <v>250</v>
      </c>
      <c r="I220" s="48" t="s">
        <v>482</v>
      </c>
      <c r="J220" s="45">
        <v>42770</v>
      </c>
      <c r="K220" s="45">
        <v>42770</v>
      </c>
      <c r="L220" s="45"/>
    </row>
    <row r="221" spans="1:12" ht="18" customHeight="1">
      <c r="A221" s="43" t="s">
        <v>232</v>
      </c>
      <c r="B221" s="44" t="s">
        <v>233</v>
      </c>
      <c r="C221" s="44" t="s">
        <v>73</v>
      </c>
      <c r="D221" s="85">
        <v>10104930703</v>
      </c>
      <c r="E221" s="44" t="s">
        <v>251</v>
      </c>
      <c r="F221" s="44" t="s">
        <v>596</v>
      </c>
      <c r="G221" s="44" t="s">
        <v>252</v>
      </c>
      <c r="H221" s="44" t="s">
        <v>74</v>
      </c>
      <c r="I221" s="48" t="s">
        <v>481</v>
      </c>
      <c r="J221" s="45">
        <v>42793</v>
      </c>
      <c r="K221" s="45">
        <v>42793</v>
      </c>
      <c r="L221" s="45"/>
    </row>
    <row r="222" spans="1:12" ht="18" customHeight="1">
      <c r="A222" s="43" t="s">
        <v>232</v>
      </c>
      <c r="B222" s="44" t="s">
        <v>233</v>
      </c>
      <c r="C222" s="44" t="s">
        <v>73</v>
      </c>
      <c r="D222" s="85">
        <v>10104906808</v>
      </c>
      <c r="E222" s="44" t="s">
        <v>1059</v>
      </c>
      <c r="F222" s="44" t="s">
        <v>596</v>
      </c>
      <c r="G222" s="44" t="s">
        <v>1060</v>
      </c>
      <c r="H222" s="44" t="s">
        <v>74</v>
      </c>
      <c r="I222" s="48" t="s">
        <v>481</v>
      </c>
      <c r="J222" s="45">
        <v>42770</v>
      </c>
      <c r="K222" s="45">
        <v>42770</v>
      </c>
      <c r="L222" s="45"/>
    </row>
    <row r="223" spans="1:12" ht="18" customHeight="1">
      <c r="A223" s="43" t="s">
        <v>232</v>
      </c>
      <c r="B223" s="44" t="s">
        <v>233</v>
      </c>
      <c r="C223" s="44" t="s">
        <v>73</v>
      </c>
      <c r="D223" s="85">
        <v>10104923339</v>
      </c>
      <c r="E223" s="44" t="s">
        <v>499</v>
      </c>
      <c r="F223" s="44" t="s">
        <v>596</v>
      </c>
      <c r="G223" s="44" t="s">
        <v>253</v>
      </c>
      <c r="H223" s="44" t="s">
        <v>74</v>
      </c>
      <c r="I223" s="48" t="s">
        <v>481</v>
      </c>
      <c r="J223" s="45">
        <v>42787</v>
      </c>
      <c r="K223" s="45">
        <v>42787</v>
      </c>
      <c r="L223" s="45"/>
    </row>
    <row r="224" spans="1:12" ht="18" customHeight="1">
      <c r="A224" s="43" t="s">
        <v>232</v>
      </c>
      <c r="B224" s="44" t="s">
        <v>233</v>
      </c>
      <c r="C224" s="44" t="s">
        <v>73</v>
      </c>
      <c r="D224" s="85">
        <v>10104898955</v>
      </c>
      <c r="E224" s="44" t="s">
        <v>751</v>
      </c>
      <c r="F224" s="44" t="s">
        <v>887</v>
      </c>
      <c r="G224" s="44" t="s">
        <v>254</v>
      </c>
      <c r="H224" s="44" t="s">
        <v>74</v>
      </c>
      <c r="I224" s="48" t="s">
        <v>481</v>
      </c>
      <c r="J224" s="45">
        <v>42770</v>
      </c>
      <c r="K224" s="45">
        <v>42770</v>
      </c>
      <c r="L224" s="45"/>
    </row>
    <row r="225" spans="1:12" ht="18" customHeight="1">
      <c r="A225" s="43" t="s">
        <v>232</v>
      </c>
      <c r="B225" s="44" t="s">
        <v>233</v>
      </c>
      <c r="C225" s="44" t="s">
        <v>73</v>
      </c>
      <c r="D225" s="85">
        <v>10104916886</v>
      </c>
      <c r="E225" s="44" t="s">
        <v>512</v>
      </c>
      <c r="F225" s="44" t="s">
        <v>596</v>
      </c>
      <c r="G225" s="44" t="s">
        <v>255</v>
      </c>
      <c r="H225" s="44" t="s">
        <v>74</v>
      </c>
      <c r="I225" s="48" t="s">
        <v>481</v>
      </c>
      <c r="J225" s="45">
        <v>42782</v>
      </c>
      <c r="K225" s="45">
        <v>42782</v>
      </c>
      <c r="L225" s="45"/>
    </row>
    <row r="226" spans="1:12" ht="18" customHeight="1">
      <c r="A226" s="43" t="s">
        <v>232</v>
      </c>
      <c r="B226" s="44" t="s">
        <v>233</v>
      </c>
      <c r="C226" s="44" t="s">
        <v>73</v>
      </c>
      <c r="D226" s="85">
        <v>10104906257</v>
      </c>
      <c r="E226" s="44" t="s">
        <v>1061</v>
      </c>
      <c r="F226" s="44" t="s">
        <v>887</v>
      </c>
      <c r="G226" s="44" t="s">
        <v>1062</v>
      </c>
      <c r="H226" s="44" t="s">
        <v>74</v>
      </c>
      <c r="I226" s="48" t="s">
        <v>481</v>
      </c>
      <c r="J226" s="45">
        <v>42773</v>
      </c>
      <c r="K226" s="45">
        <v>42773</v>
      </c>
      <c r="L226" s="45"/>
    </row>
    <row r="227" spans="1:12" ht="18" customHeight="1">
      <c r="A227" s="43" t="s">
        <v>232</v>
      </c>
      <c r="B227" s="44" t="s">
        <v>233</v>
      </c>
      <c r="C227" s="44" t="s">
        <v>73</v>
      </c>
      <c r="D227" s="85">
        <v>10104897740</v>
      </c>
      <c r="E227" s="44" t="s">
        <v>1063</v>
      </c>
      <c r="F227" s="44" t="s">
        <v>887</v>
      </c>
      <c r="G227" s="44" t="s">
        <v>1064</v>
      </c>
      <c r="H227" s="44" t="s">
        <v>74</v>
      </c>
      <c r="I227" s="48" t="s">
        <v>481</v>
      </c>
      <c r="J227" s="45">
        <v>42770</v>
      </c>
      <c r="K227" s="45">
        <v>42770</v>
      </c>
      <c r="L227" s="45"/>
    </row>
    <row r="228" spans="1:12" ht="18" customHeight="1">
      <c r="A228" s="43" t="s">
        <v>232</v>
      </c>
      <c r="B228" s="44" t="s">
        <v>233</v>
      </c>
      <c r="C228" s="44" t="s">
        <v>73</v>
      </c>
      <c r="D228" s="85">
        <v>10104897742</v>
      </c>
      <c r="E228" s="44" t="s">
        <v>1065</v>
      </c>
      <c r="F228" s="44" t="s">
        <v>887</v>
      </c>
      <c r="G228" s="44" t="s">
        <v>1066</v>
      </c>
      <c r="H228" s="44" t="s">
        <v>74</v>
      </c>
      <c r="I228" s="48" t="s">
        <v>481</v>
      </c>
      <c r="J228" s="45">
        <v>42770</v>
      </c>
      <c r="K228" s="45">
        <v>42770</v>
      </c>
      <c r="L228" s="45"/>
    </row>
    <row r="229" spans="1:12" ht="18" customHeight="1">
      <c r="A229" s="43" t="s">
        <v>232</v>
      </c>
      <c r="B229" s="44" t="s">
        <v>233</v>
      </c>
      <c r="C229" s="44" t="s">
        <v>73</v>
      </c>
      <c r="D229" s="85">
        <v>10104915069</v>
      </c>
      <c r="E229" s="44" t="s">
        <v>256</v>
      </c>
      <c r="F229" s="44" t="s">
        <v>596</v>
      </c>
      <c r="G229" s="44" t="s">
        <v>257</v>
      </c>
      <c r="H229" s="44" t="s">
        <v>74</v>
      </c>
      <c r="I229" s="48" t="s">
        <v>481</v>
      </c>
      <c r="J229" s="45">
        <v>42780</v>
      </c>
      <c r="K229" s="45">
        <v>42780</v>
      </c>
      <c r="L229" s="45"/>
    </row>
    <row r="230" spans="1:12" ht="18" customHeight="1">
      <c r="A230" s="43" t="s">
        <v>232</v>
      </c>
      <c r="B230" s="44" t="s">
        <v>233</v>
      </c>
      <c r="C230" s="44" t="s">
        <v>73</v>
      </c>
      <c r="D230" s="85">
        <v>10104915068</v>
      </c>
      <c r="E230" s="44" t="s">
        <v>567</v>
      </c>
      <c r="F230" s="44" t="s">
        <v>596</v>
      </c>
      <c r="G230" s="44" t="s">
        <v>258</v>
      </c>
      <c r="H230" s="44" t="s">
        <v>74</v>
      </c>
      <c r="I230" s="48" t="s">
        <v>481</v>
      </c>
      <c r="J230" s="45">
        <v>42780</v>
      </c>
      <c r="K230" s="45">
        <v>42780</v>
      </c>
      <c r="L230" s="45"/>
    </row>
    <row r="231" spans="1:12" ht="18" customHeight="1">
      <c r="A231" s="43" t="s">
        <v>232</v>
      </c>
      <c r="B231" s="44" t="s">
        <v>233</v>
      </c>
      <c r="C231" s="44" t="s">
        <v>73</v>
      </c>
      <c r="D231" s="85">
        <v>10104923336</v>
      </c>
      <c r="E231" s="44" t="s">
        <v>259</v>
      </c>
      <c r="F231" s="44" t="s">
        <v>596</v>
      </c>
      <c r="G231" s="44" t="s">
        <v>260</v>
      </c>
      <c r="H231" s="44" t="s">
        <v>74</v>
      </c>
      <c r="I231" s="48" t="s">
        <v>481</v>
      </c>
      <c r="J231" s="45">
        <v>42787</v>
      </c>
      <c r="K231" s="45">
        <v>42787</v>
      </c>
      <c r="L231" s="45"/>
    </row>
    <row r="232" spans="1:12" ht="18" customHeight="1">
      <c r="A232" s="43" t="s">
        <v>232</v>
      </c>
      <c r="B232" s="44" t="s">
        <v>233</v>
      </c>
      <c r="C232" s="44" t="s">
        <v>73</v>
      </c>
      <c r="D232" s="85">
        <v>10104923337</v>
      </c>
      <c r="E232" s="44" t="s">
        <v>261</v>
      </c>
      <c r="F232" s="44" t="s">
        <v>596</v>
      </c>
      <c r="G232" s="44" t="s">
        <v>260</v>
      </c>
      <c r="H232" s="44" t="s">
        <v>74</v>
      </c>
      <c r="I232" s="48" t="s">
        <v>481</v>
      </c>
      <c r="J232" s="45">
        <v>42787</v>
      </c>
      <c r="K232" s="45">
        <v>42787</v>
      </c>
      <c r="L232" s="45"/>
    </row>
    <row r="233" spans="1:12" ht="18" customHeight="1">
      <c r="A233" s="43" t="s">
        <v>232</v>
      </c>
      <c r="B233" s="44" t="s">
        <v>233</v>
      </c>
      <c r="C233" s="44" t="s">
        <v>73</v>
      </c>
      <c r="D233" s="85">
        <v>10104923346</v>
      </c>
      <c r="E233" s="44" t="s">
        <v>1067</v>
      </c>
      <c r="F233" s="44" t="s">
        <v>596</v>
      </c>
      <c r="G233" s="44" t="s">
        <v>262</v>
      </c>
      <c r="H233" s="44" t="s">
        <v>76</v>
      </c>
      <c r="I233" s="48" t="s">
        <v>482</v>
      </c>
      <c r="J233" s="45">
        <v>42787</v>
      </c>
      <c r="K233" s="45">
        <v>42787</v>
      </c>
      <c r="L233" s="45"/>
    </row>
    <row r="234" spans="1:12" ht="18" customHeight="1">
      <c r="A234" s="43" t="s">
        <v>232</v>
      </c>
      <c r="B234" s="44" t="s">
        <v>233</v>
      </c>
      <c r="C234" s="44" t="s">
        <v>73</v>
      </c>
      <c r="D234" s="85">
        <v>10104930711</v>
      </c>
      <c r="E234" s="44" t="s">
        <v>736</v>
      </c>
      <c r="F234" s="44" t="s">
        <v>596</v>
      </c>
      <c r="G234" s="44" t="s">
        <v>262</v>
      </c>
      <c r="H234" s="44" t="s">
        <v>74</v>
      </c>
      <c r="I234" s="48" t="s">
        <v>481</v>
      </c>
      <c r="J234" s="45">
        <v>42793</v>
      </c>
      <c r="K234" s="45">
        <v>42793</v>
      </c>
      <c r="L234" s="45"/>
    </row>
    <row r="235" spans="1:12" ht="18" customHeight="1">
      <c r="A235" s="43" t="s">
        <v>232</v>
      </c>
      <c r="B235" s="44" t="s">
        <v>233</v>
      </c>
      <c r="C235" s="44" t="s">
        <v>73</v>
      </c>
      <c r="D235" s="85">
        <v>10104930765</v>
      </c>
      <c r="E235" s="44" t="s">
        <v>263</v>
      </c>
      <c r="F235" s="44" t="s">
        <v>596</v>
      </c>
      <c r="G235" s="44" t="s">
        <v>264</v>
      </c>
      <c r="H235" s="44" t="s">
        <v>74</v>
      </c>
      <c r="I235" s="48" t="s">
        <v>481</v>
      </c>
      <c r="J235" s="45">
        <v>42777</v>
      </c>
      <c r="K235" s="45">
        <v>42777</v>
      </c>
      <c r="L235" s="45"/>
    </row>
    <row r="236" spans="1:12" ht="18" customHeight="1">
      <c r="A236" s="43" t="s">
        <v>232</v>
      </c>
      <c r="B236" s="44" t="s">
        <v>233</v>
      </c>
      <c r="C236" s="44" t="s">
        <v>73</v>
      </c>
      <c r="D236" s="85">
        <v>10104926778</v>
      </c>
      <c r="E236" s="44" t="s">
        <v>1068</v>
      </c>
      <c r="F236" s="44" t="s">
        <v>596</v>
      </c>
      <c r="G236" s="44" t="s">
        <v>264</v>
      </c>
      <c r="H236" s="44" t="s">
        <v>76</v>
      </c>
      <c r="I236" s="48" t="s">
        <v>482</v>
      </c>
      <c r="J236" s="45">
        <v>42790</v>
      </c>
      <c r="K236" s="45">
        <v>42790</v>
      </c>
      <c r="L236" s="45"/>
    </row>
    <row r="237" spans="1:12" ht="18" customHeight="1">
      <c r="A237" s="43" t="s">
        <v>232</v>
      </c>
      <c r="B237" s="44" t="s">
        <v>233</v>
      </c>
      <c r="C237" s="44" t="s">
        <v>73</v>
      </c>
      <c r="D237" s="85">
        <v>10104947742</v>
      </c>
      <c r="E237" s="44" t="s">
        <v>263</v>
      </c>
      <c r="F237" s="44" t="s">
        <v>596</v>
      </c>
      <c r="G237" s="44" t="s">
        <v>264</v>
      </c>
      <c r="H237" s="44" t="s">
        <v>74</v>
      </c>
      <c r="I237" s="48" t="s">
        <v>481</v>
      </c>
      <c r="J237" s="45">
        <v>42791</v>
      </c>
      <c r="K237" s="45">
        <v>42791</v>
      </c>
      <c r="L237" s="45"/>
    </row>
    <row r="238" spans="1:12" ht="18" customHeight="1">
      <c r="A238" s="43" t="s">
        <v>232</v>
      </c>
      <c r="B238" s="44" t="s">
        <v>233</v>
      </c>
      <c r="C238" s="44" t="s">
        <v>73</v>
      </c>
      <c r="D238" s="85">
        <v>10104926773</v>
      </c>
      <c r="E238" s="44" t="s">
        <v>648</v>
      </c>
      <c r="F238" s="44" t="s">
        <v>596</v>
      </c>
      <c r="G238" s="44" t="s">
        <v>266</v>
      </c>
      <c r="H238" s="44" t="s">
        <v>76</v>
      </c>
      <c r="I238" s="48" t="s">
        <v>482</v>
      </c>
      <c r="J238" s="45">
        <v>42790</v>
      </c>
      <c r="K238" s="45">
        <v>42790</v>
      </c>
      <c r="L238" s="45"/>
    </row>
    <row r="239" spans="1:12" ht="18" customHeight="1">
      <c r="A239" s="43" t="s">
        <v>232</v>
      </c>
      <c r="B239" s="44" t="s">
        <v>233</v>
      </c>
      <c r="C239" s="44" t="s">
        <v>73</v>
      </c>
      <c r="D239" s="85">
        <v>10104931679</v>
      </c>
      <c r="E239" s="44" t="s">
        <v>265</v>
      </c>
      <c r="F239" s="44" t="s">
        <v>596</v>
      </c>
      <c r="G239" s="44" t="s">
        <v>266</v>
      </c>
      <c r="H239" s="44" t="s">
        <v>74</v>
      </c>
      <c r="I239" s="48" t="s">
        <v>481</v>
      </c>
      <c r="J239" s="45">
        <v>42794</v>
      </c>
      <c r="K239" s="45">
        <v>42794</v>
      </c>
      <c r="L239" s="45"/>
    </row>
    <row r="240" spans="1:12" ht="18" customHeight="1">
      <c r="A240" s="43" t="s">
        <v>232</v>
      </c>
      <c r="B240" s="44" t="s">
        <v>233</v>
      </c>
      <c r="C240" s="44" t="s">
        <v>73</v>
      </c>
      <c r="D240" s="85">
        <v>10104915070</v>
      </c>
      <c r="E240" s="44" t="s">
        <v>267</v>
      </c>
      <c r="F240" s="44" t="s">
        <v>596</v>
      </c>
      <c r="G240" s="44" t="s">
        <v>268</v>
      </c>
      <c r="H240" s="44" t="s">
        <v>74</v>
      </c>
      <c r="I240" s="48" t="s">
        <v>481</v>
      </c>
      <c r="J240" s="45">
        <v>42780</v>
      </c>
      <c r="K240" s="45">
        <v>42780</v>
      </c>
      <c r="L240" s="45"/>
    </row>
    <row r="241" spans="1:12" ht="18" customHeight="1">
      <c r="A241" s="43" t="s">
        <v>232</v>
      </c>
      <c r="B241" s="44" t="s">
        <v>233</v>
      </c>
      <c r="C241" s="44" t="s">
        <v>73</v>
      </c>
      <c r="D241" s="85">
        <v>10104900260</v>
      </c>
      <c r="E241" s="44" t="s">
        <v>269</v>
      </c>
      <c r="F241" s="44" t="s">
        <v>887</v>
      </c>
      <c r="G241" s="44" t="s">
        <v>270</v>
      </c>
      <c r="H241" s="44" t="s">
        <v>74</v>
      </c>
      <c r="I241" s="48" t="s">
        <v>481</v>
      </c>
      <c r="J241" s="45">
        <v>42771</v>
      </c>
      <c r="K241" s="45">
        <v>42771</v>
      </c>
      <c r="L241" s="45"/>
    </row>
    <row r="242" spans="1:12" ht="18" customHeight="1">
      <c r="A242" s="43" t="s">
        <v>232</v>
      </c>
      <c r="B242" s="44" t="s">
        <v>233</v>
      </c>
      <c r="C242" s="44" t="s">
        <v>73</v>
      </c>
      <c r="D242" s="85">
        <v>10104912921</v>
      </c>
      <c r="E242" s="44" t="s">
        <v>271</v>
      </c>
      <c r="F242" s="44" t="s">
        <v>596</v>
      </c>
      <c r="G242" s="44" t="s">
        <v>272</v>
      </c>
      <c r="H242" s="44" t="s">
        <v>74</v>
      </c>
      <c r="I242" s="48" t="s">
        <v>481</v>
      </c>
      <c r="J242" s="45">
        <v>42778</v>
      </c>
      <c r="K242" s="45">
        <v>42778</v>
      </c>
      <c r="L242" s="45"/>
    </row>
    <row r="243" spans="1:12" ht="18" customHeight="1">
      <c r="A243" s="43" t="s">
        <v>232</v>
      </c>
      <c r="B243" s="44" t="s">
        <v>233</v>
      </c>
      <c r="C243" s="44" t="s">
        <v>73</v>
      </c>
      <c r="D243" s="85">
        <v>10104931676</v>
      </c>
      <c r="E243" s="44" t="s">
        <v>273</v>
      </c>
      <c r="F243" s="44" t="s">
        <v>596</v>
      </c>
      <c r="G243" s="44" t="s">
        <v>274</v>
      </c>
      <c r="H243" s="44" t="s">
        <v>74</v>
      </c>
      <c r="I243" s="48" t="s">
        <v>481</v>
      </c>
      <c r="J243" s="45">
        <v>42794</v>
      </c>
      <c r="K243" s="45">
        <v>42794</v>
      </c>
      <c r="L243" s="45"/>
    </row>
    <row r="244" spans="1:12" ht="18" customHeight="1">
      <c r="A244" s="43" t="s">
        <v>232</v>
      </c>
      <c r="B244" s="44" t="s">
        <v>233</v>
      </c>
      <c r="C244" s="44" t="s">
        <v>73</v>
      </c>
      <c r="D244" s="85">
        <v>10104865399</v>
      </c>
      <c r="E244" s="44" t="s">
        <v>1069</v>
      </c>
      <c r="F244" s="44" t="s">
        <v>887</v>
      </c>
      <c r="G244" s="44" t="s">
        <v>276</v>
      </c>
      <c r="H244" s="44" t="s">
        <v>76</v>
      </c>
      <c r="I244" s="48" t="s">
        <v>482</v>
      </c>
      <c r="J244" s="45">
        <v>42768</v>
      </c>
      <c r="K244" s="45">
        <v>42768</v>
      </c>
      <c r="L244" s="45"/>
    </row>
    <row r="245" spans="1:12" ht="18" customHeight="1">
      <c r="A245" s="43" t="s">
        <v>232</v>
      </c>
      <c r="B245" s="44" t="s">
        <v>233</v>
      </c>
      <c r="C245" s="44" t="s">
        <v>73</v>
      </c>
      <c r="D245" s="85">
        <v>10104940458</v>
      </c>
      <c r="E245" s="44" t="s">
        <v>275</v>
      </c>
      <c r="F245" s="44" t="s">
        <v>596</v>
      </c>
      <c r="G245" s="44" t="s">
        <v>276</v>
      </c>
      <c r="H245" s="44" t="s">
        <v>74</v>
      </c>
      <c r="I245" s="48" t="s">
        <v>481</v>
      </c>
      <c r="J245" s="45">
        <v>42785</v>
      </c>
      <c r="K245" s="45">
        <v>42785</v>
      </c>
      <c r="L245" s="45"/>
    </row>
    <row r="246" spans="1:12" ht="18" customHeight="1">
      <c r="A246" s="43" t="s">
        <v>232</v>
      </c>
      <c r="B246" s="44" t="s">
        <v>233</v>
      </c>
      <c r="C246" s="44" t="s">
        <v>73</v>
      </c>
      <c r="D246" s="85">
        <v>10104923381</v>
      </c>
      <c r="E246" s="44" t="s">
        <v>275</v>
      </c>
      <c r="F246" s="44" t="s">
        <v>596</v>
      </c>
      <c r="G246" s="44" t="s">
        <v>276</v>
      </c>
      <c r="H246" s="44" t="s">
        <v>74</v>
      </c>
      <c r="I246" s="48" t="s">
        <v>481</v>
      </c>
      <c r="J246" s="45">
        <v>42771</v>
      </c>
      <c r="K246" s="45">
        <v>42771</v>
      </c>
      <c r="L246" s="45"/>
    </row>
    <row r="247" spans="1:12" ht="18" customHeight="1">
      <c r="A247" s="43" t="s">
        <v>232</v>
      </c>
      <c r="B247" s="44" t="s">
        <v>233</v>
      </c>
      <c r="C247" s="44" t="s">
        <v>73</v>
      </c>
      <c r="D247" s="85">
        <v>10104930971</v>
      </c>
      <c r="E247" s="44" t="s">
        <v>823</v>
      </c>
      <c r="F247" s="44" t="s">
        <v>596</v>
      </c>
      <c r="G247" s="44" t="s">
        <v>755</v>
      </c>
      <c r="H247" s="44" t="s">
        <v>74</v>
      </c>
      <c r="I247" s="48" t="s">
        <v>481</v>
      </c>
      <c r="J247" s="45">
        <v>42793</v>
      </c>
      <c r="K247" s="45">
        <v>42793</v>
      </c>
      <c r="L247" s="45"/>
    </row>
    <row r="248" spans="1:12" ht="18" customHeight="1">
      <c r="A248" s="43" t="s">
        <v>232</v>
      </c>
      <c r="B248" s="44" t="s">
        <v>233</v>
      </c>
      <c r="C248" s="44" t="s">
        <v>73</v>
      </c>
      <c r="D248" s="85">
        <v>10104923335</v>
      </c>
      <c r="E248" s="44" t="s">
        <v>576</v>
      </c>
      <c r="F248" s="44" t="s">
        <v>596</v>
      </c>
      <c r="G248" s="44" t="s">
        <v>277</v>
      </c>
      <c r="H248" s="44" t="s">
        <v>74</v>
      </c>
      <c r="I248" s="48" t="s">
        <v>481</v>
      </c>
      <c r="J248" s="45">
        <v>42787</v>
      </c>
      <c r="K248" s="45">
        <v>42787</v>
      </c>
      <c r="L248" s="45"/>
    </row>
    <row r="249" spans="1:12" ht="18" customHeight="1">
      <c r="A249" s="43" t="s">
        <v>232</v>
      </c>
      <c r="B249" s="44" t="s">
        <v>233</v>
      </c>
      <c r="C249" s="44" t="s">
        <v>73</v>
      </c>
      <c r="D249" s="85">
        <v>10104930771</v>
      </c>
      <c r="E249" s="44" t="s">
        <v>278</v>
      </c>
      <c r="F249" s="44" t="s">
        <v>596</v>
      </c>
      <c r="G249" s="44" t="s">
        <v>279</v>
      </c>
      <c r="H249" s="44" t="s">
        <v>74</v>
      </c>
      <c r="I249" s="48" t="s">
        <v>481</v>
      </c>
      <c r="J249" s="45">
        <v>42793</v>
      </c>
      <c r="K249" s="45">
        <v>42793</v>
      </c>
      <c r="L249" s="45"/>
    </row>
    <row r="250" spans="1:12" ht="18" customHeight="1">
      <c r="A250" s="43" t="s">
        <v>232</v>
      </c>
      <c r="B250" s="44" t="s">
        <v>233</v>
      </c>
      <c r="C250" s="44" t="s">
        <v>73</v>
      </c>
      <c r="D250" s="85">
        <v>10104930772</v>
      </c>
      <c r="E250" s="44" t="s">
        <v>752</v>
      </c>
      <c r="F250" s="44" t="s">
        <v>596</v>
      </c>
      <c r="G250" s="44" t="s">
        <v>279</v>
      </c>
      <c r="H250" s="44" t="s">
        <v>74</v>
      </c>
      <c r="I250" s="48" t="s">
        <v>481</v>
      </c>
      <c r="J250" s="45">
        <v>42793</v>
      </c>
      <c r="K250" s="45">
        <v>42793</v>
      </c>
      <c r="L250" s="45"/>
    </row>
    <row r="251" spans="1:12" ht="18" customHeight="1">
      <c r="A251" s="43" t="s">
        <v>232</v>
      </c>
      <c r="B251" s="44" t="s">
        <v>233</v>
      </c>
      <c r="C251" s="44" t="s">
        <v>73</v>
      </c>
      <c r="D251" s="85">
        <v>10104932618</v>
      </c>
      <c r="E251" s="44" t="s">
        <v>280</v>
      </c>
      <c r="F251" s="44" t="s">
        <v>596</v>
      </c>
      <c r="G251" s="44" t="s">
        <v>281</v>
      </c>
      <c r="H251" s="44" t="s">
        <v>250</v>
      </c>
      <c r="I251" s="48" t="s">
        <v>482</v>
      </c>
      <c r="J251" s="45">
        <v>42780</v>
      </c>
      <c r="K251" s="45">
        <v>42780</v>
      </c>
      <c r="L251" s="45"/>
    </row>
    <row r="252" spans="1:12" ht="18" customHeight="1">
      <c r="A252" s="43" t="s">
        <v>232</v>
      </c>
      <c r="B252" s="44" t="s">
        <v>233</v>
      </c>
      <c r="C252" s="44" t="s">
        <v>73</v>
      </c>
      <c r="D252" s="85">
        <v>10104931678</v>
      </c>
      <c r="E252" s="44" t="s">
        <v>282</v>
      </c>
      <c r="F252" s="44" t="s">
        <v>596</v>
      </c>
      <c r="G252" s="44" t="s">
        <v>281</v>
      </c>
      <c r="H252" s="44" t="s">
        <v>74</v>
      </c>
      <c r="I252" s="48" t="s">
        <v>481</v>
      </c>
      <c r="J252" s="45">
        <v>42794</v>
      </c>
      <c r="K252" s="45">
        <v>42794</v>
      </c>
      <c r="L252" s="45"/>
    </row>
    <row r="253" spans="1:12" ht="18" customHeight="1">
      <c r="A253" s="43" t="s">
        <v>232</v>
      </c>
      <c r="B253" s="44" t="s">
        <v>233</v>
      </c>
      <c r="C253" s="44" t="s">
        <v>73</v>
      </c>
      <c r="D253" s="85">
        <v>10104929804</v>
      </c>
      <c r="E253" s="44" t="s">
        <v>283</v>
      </c>
      <c r="F253" s="44" t="s">
        <v>596</v>
      </c>
      <c r="G253" s="44" t="s">
        <v>284</v>
      </c>
      <c r="H253" s="44" t="s">
        <v>74</v>
      </c>
      <c r="I253" s="48" t="s">
        <v>481</v>
      </c>
      <c r="J253" s="45">
        <v>42792</v>
      </c>
      <c r="K253" s="45">
        <v>42792</v>
      </c>
      <c r="L253" s="45"/>
    </row>
    <row r="254" spans="1:12" ht="18" customHeight="1">
      <c r="A254" s="43" t="s">
        <v>232</v>
      </c>
      <c r="B254" s="44" t="s">
        <v>233</v>
      </c>
      <c r="C254" s="44" t="s">
        <v>73</v>
      </c>
      <c r="D254" s="85">
        <v>10104960584</v>
      </c>
      <c r="E254" s="44" t="s">
        <v>525</v>
      </c>
      <c r="F254" s="44" t="s">
        <v>596</v>
      </c>
      <c r="G254" s="44" t="s">
        <v>526</v>
      </c>
      <c r="H254" s="44" t="s">
        <v>76</v>
      </c>
      <c r="I254" s="48" t="s">
        <v>482</v>
      </c>
      <c r="J254" s="45">
        <v>42792</v>
      </c>
      <c r="K254" s="45">
        <v>42792</v>
      </c>
      <c r="L254" s="45"/>
    </row>
    <row r="255" spans="1:12" ht="18" customHeight="1">
      <c r="A255" s="43" t="s">
        <v>232</v>
      </c>
      <c r="B255" s="44" t="s">
        <v>233</v>
      </c>
      <c r="C255" s="44" t="s">
        <v>73</v>
      </c>
      <c r="D255" s="85">
        <v>10104895025</v>
      </c>
      <c r="E255" s="44" t="s">
        <v>1070</v>
      </c>
      <c r="F255" s="44" t="s">
        <v>887</v>
      </c>
      <c r="G255" s="44" t="s">
        <v>286</v>
      </c>
      <c r="H255" s="44" t="s">
        <v>74</v>
      </c>
      <c r="I255" s="48" t="s">
        <v>481</v>
      </c>
      <c r="J255" s="45">
        <v>42767</v>
      </c>
      <c r="K255" s="45">
        <v>42767</v>
      </c>
      <c r="L255" s="45"/>
    </row>
    <row r="256" spans="1:12" ht="18" customHeight="1">
      <c r="A256" s="43" t="s">
        <v>232</v>
      </c>
      <c r="B256" s="44" t="s">
        <v>233</v>
      </c>
      <c r="C256" s="44" t="s">
        <v>73</v>
      </c>
      <c r="D256" s="85">
        <v>10104956186</v>
      </c>
      <c r="E256" s="44" t="s">
        <v>285</v>
      </c>
      <c r="F256" s="44" t="s">
        <v>596</v>
      </c>
      <c r="G256" s="44" t="s">
        <v>286</v>
      </c>
      <c r="H256" s="44" t="s">
        <v>250</v>
      </c>
      <c r="I256" s="48" t="s">
        <v>482</v>
      </c>
      <c r="J256" s="45">
        <v>42791</v>
      </c>
      <c r="K256" s="45">
        <v>42791</v>
      </c>
      <c r="L256" s="45"/>
    </row>
    <row r="257" spans="1:12" ht="18" customHeight="1">
      <c r="A257" s="43" t="s">
        <v>232</v>
      </c>
      <c r="B257" s="44" t="s">
        <v>233</v>
      </c>
      <c r="C257" s="44" t="s">
        <v>73</v>
      </c>
      <c r="D257" s="85">
        <v>10104939503</v>
      </c>
      <c r="E257" s="44" t="s">
        <v>285</v>
      </c>
      <c r="F257" s="44" t="s">
        <v>596</v>
      </c>
      <c r="G257" s="44" t="s">
        <v>286</v>
      </c>
      <c r="H257" s="44" t="s">
        <v>250</v>
      </c>
      <c r="I257" s="48" t="s">
        <v>482</v>
      </c>
      <c r="J257" s="45">
        <v>42777</v>
      </c>
      <c r="K257" s="45">
        <v>42777</v>
      </c>
      <c r="L257" s="45"/>
    </row>
    <row r="258" spans="1:12" ht="18" customHeight="1">
      <c r="A258" s="43" t="s">
        <v>232</v>
      </c>
      <c r="B258" s="44" t="s">
        <v>233</v>
      </c>
      <c r="C258" s="44" t="s">
        <v>73</v>
      </c>
      <c r="D258" s="85">
        <v>10104895026</v>
      </c>
      <c r="E258" s="44" t="s">
        <v>1071</v>
      </c>
      <c r="F258" s="44" t="s">
        <v>887</v>
      </c>
      <c r="G258" s="44" t="s">
        <v>288</v>
      </c>
      <c r="H258" s="44" t="s">
        <v>74</v>
      </c>
      <c r="I258" s="48" t="s">
        <v>481</v>
      </c>
      <c r="J258" s="45">
        <v>42767</v>
      </c>
      <c r="K258" s="45">
        <v>42767</v>
      </c>
      <c r="L258" s="45"/>
    </row>
    <row r="259" spans="1:12" ht="18" customHeight="1">
      <c r="A259" s="43" t="s">
        <v>232</v>
      </c>
      <c r="B259" s="44" t="s">
        <v>233</v>
      </c>
      <c r="C259" s="44" t="s">
        <v>73</v>
      </c>
      <c r="D259" s="85">
        <v>10104947710</v>
      </c>
      <c r="E259" s="44" t="s">
        <v>287</v>
      </c>
      <c r="F259" s="44" t="s">
        <v>596</v>
      </c>
      <c r="G259" s="44" t="s">
        <v>288</v>
      </c>
      <c r="H259" s="44" t="s">
        <v>250</v>
      </c>
      <c r="I259" s="48" t="s">
        <v>482</v>
      </c>
      <c r="J259" s="45">
        <v>42784</v>
      </c>
      <c r="K259" s="45">
        <v>42784</v>
      </c>
      <c r="L259" s="45"/>
    </row>
    <row r="260" spans="1:12" ht="18" customHeight="1">
      <c r="A260" s="43" t="s">
        <v>232</v>
      </c>
      <c r="B260" s="44" t="s">
        <v>233</v>
      </c>
      <c r="C260" s="44" t="s">
        <v>73</v>
      </c>
      <c r="D260" s="85">
        <v>10104930709</v>
      </c>
      <c r="E260" s="44" t="s">
        <v>287</v>
      </c>
      <c r="F260" s="44" t="s">
        <v>596</v>
      </c>
      <c r="G260" s="44" t="s">
        <v>288</v>
      </c>
      <c r="H260" s="44" t="s">
        <v>250</v>
      </c>
      <c r="I260" s="48" t="s">
        <v>482</v>
      </c>
      <c r="J260" s="45">
        <v>42770</v>
      </c>
      <c r="K260" s="45">
        <v>42770</v>
      </c>
      <c r="L260" s="45"/>
    </row>
    <row r="261" spans="1:12" ht="18" customHeight="1">
      <c r="A261" s="43" t="s">
        <v>232</v>
      </c>
      <c r="B261" s="44" t="s">
        <v>233</v>
      </c>
      <c r="C261" s="44" t="s">
        <v>73</v>
      </c>
      <c r="D261" s="85">
        <v>10104956187</v>
      </c>
      <c r="E261" s="44" t="s">
        <v>289</v>
      </c>
      <c r="F261" s="44" t="s">
        <v>596</v>
      </c>
      <c r="G261" s="44" t="s">
        <v>290</v>
      </c>
      <c r="H261" s="44" t="s">
        <v>250</v>
      </c>
      <c r="I261" s="48" t="s">
        <v>482</v>
      </c>
      <c r="J261" s="45">
        <v>42791</v>
      </c>
      <c r="K261" s="45">
        <v>42791</v>
      </c>
      <c r="L261" s="45"/>
    </row>
    <row r="262" spans="1:12" ht="18" customHeight="1">
      <c r="A262" s="43" t="s">
        <v>232</v>
      </c>
      <c r="B262" s="44" t="s">
        <v>233</v>
      </c>
      <c r="C262" s="44" t="s">
        <v>73</v>
      </c>
      <c r="D262" s="85">
        <v>10104906811</v>
      </c>
      <c r="E262" s="44" t="s">
        <v>1072</v>
      </c>
      <c r="F262" s="44" t="s">
        <v>596</v>
      </c>
      <c r="G262" s="44" t="s">
        <v>290</v>
      </c>
      <c r="H262" s="44" t="s">
        <v>74</v>
      </c>
      <c r="I262" s="48" t="s">
        <v>481</v>
      </c>
      <c r="J262" s="45">
        <v>42774</v>
      </c>
      <c r="K262" s="45">
        <v>42774</v>
      </c>
      <c r="L262" s="45"/>
    </row>
    <row r="263" spans="1:12" ht="18" customHeight="1">
      <c r="A263" s="43" t="s">
        <v>232</v>
      </c>
      <c r="B263" s="44" t="s">
        <v>233</v>
      </c>
      <c r="C263" s="44" t="s">
        <v>73</v>
      </c>
      <c r="D263" s="85">
        <v>10104939504</v>
      </c>
      <c r="E263" s="44" t="s">
        <v>289</v>
      </c>
      <c r="F263" s="44" t="s">
        <v>596</v>
      </c>
      <c r="G263" s="44" t="s">
        <v>290</v>
      </c>
      <c r="H263" s="44" t="s">
        <v>250</v>
      </c>
      <c r="I263" s="48" t="s">
        <v>482</v>
      </c>
      <c r="J263" s="45">
        <v>42777</v>
      </c>
      <c r="K263" s="45">
        <v>42777</v>
      </c>
      <c r="L263" s="45"/>
    </row>
    <row r="264" spans="1:12" ht="18" customHeight="1">
      <c r="A264" s="43" t="s">
        <v>232</v>
      </c>
      <c r="B264" s="44" t="s">
        <v>451</v>
      </c>
      <c r="C264" s="44" t="s">
        <v>73</v>
      </c>
      <c r="D264" s="85">
        <v>10104947880</v>
      </c>
      <c r="E264" s="44" t="s">
        <v>570</v>
      </c>
      <c r="F264" s="44" t="s">
        <v>887</v>
      </c>
      <c r="G264" s="44" t="s">
        <v>531</v>
      </c>
      <c r="H264" s="44" t="s">
        <v>74</v>
      </c>
      <c r="I264" s="48" t="s">
        <v>481</v>
      </c>
      <c r="J264" s="45">
        <v>42784</v>
      </c>
      <c r="K264" s="45">
        <v>42784</v>
      </c>
      <c r="L264" s="45"/>
    </row>
    <row r="265" spans="1:12" ht="18" customHeight="1">
      <c r="A265" s="43" t="s">
        <v>232</v>
      </c>
      <c r="B265" s="44" t="s">
        <v>451</v>
      </c>
      <c r="C265" s="44" t="s">
        <v>73</v>
      </c>
      <c r="D265" s="85">
        <v>10104906812</v>
      </c>
      <c r="E265" s="44" t="s">
        <v>1073</v>
      </c>
      <c r="F265" s="44" t="s">
        <v>887</v>
      </c>
      <c r="G265" s="44" t="s">
        <v>531</v>
      </c>
      <c r="H265" s="44" t="s">
        <v>74</v>
      </c>
      <c r="I265" s="48" t="s">
        <v>481</v>
      </c>
      <c r="J265" s="45">
        <v>42774</v>
      </c>
      <c r="K265" s="45">
        <v>42774</v>
      </c>
      <c r="L265" s="45"/>
    </row>
    <row r="266" spans="1:12" ht="18" customHeight="1">
      <c r="A266" s="43" t="s">
        <v>232</v>
      </c>
      <c r="B266" s="44" t="s">
        <v>451</v>
      </c>
      <c r="C266" s="44" t="s">
        <v>73</v>
      </c>
      <c r="D266" s="85">
        <v>10104930945</v>
      </c>
      <c r="E266" s="44" t="s">
        <v>570</v>
      </c>
      <c r="F266" s="44" t="s">
        <v>887</v>
      </c>
      <c r="G266" s="44" t="s">
        <v>531</v>
      </c>
      <c r="H266" s="44" t="s">
        <v>74</v>
      </c>
      <c r="I266" s="48" t="s">
        <v>481</v>
      </c>
      <c r="J266" s="45">
        <v>42770</v>
      </c>
      <c r="K266" s="45">
        <v>42770</v>
      </c>
      <c r="L266" s="45"/>
    </row>
    <row r="267" spans="1:12" ht="18" customHeight="1">
      <c r="A267" s="43" t="s">
        <v>232</v>
      </c>
      <c r="B267" s="44" t="s">
        <v>451</v>
      </c>
      <c r="C267" s="44" t="s">
        <v>73</v>
      </c>
      <c r="D267" s="85">
        <v>10104939722</v>
      </c>
      <c r="E267" s="44" t="s">
        <v>570</v>
      </c>
      <c r="F267" s="44" t="s">
        <v>887</v>
      </c>
      <c r="G267" s="44" t="s">
        <v>531</v>
      </c>
      <c r="H267" s="44" t="s">
        <v>74</v>
      </c>
      <c r="I267" s="48" t="s">
        <v>481</v>
      </c>
      <c r="J267" s="45">
        <v>42777</v>
      </c>
      <c r="K267" s="45">
        <v>42777</v>
      </c>
      <c r="L267" s="45"/>
    </row>
    <row r="268" spans="1:12" ht="18" customHeight="1">
      <c r="A268" s="43" t="s">
        <v>232</v>
      </c>
      <c r="B268" s="44" t="s">
        <v>451</v>
      </c>
      <c r="C268" s="44" t="s">
        <v>73</v>
      </c>
      <c r="D268" s="85">
        <v>10104956482</v>
      </c>
      <c r="E268" s="44" t="s">
        <v>570</v>
      </c>
      <c r="F268" s="44" t="s">
        <v>887</v>
      </c>
      <c r="G268" s="44" t="s">
        <v>531</v>
      </c>
      <c r="H268" s="44" t="s">
        <v>74</v>
      </c>
      <c r="I268" s="48" t="s">
        <v>481</v>
      </c>
      <c r="J268" s="45">
        <v>42791</v>
      </c>
      <c r="K268" s="45">
        <v>42791</v>
      </c>
      <c r="L268" s="45"/>
    </row>
    <row r="269" spans="1:12" ht="18" customHeight="1">
      <c r="A269" s="43" t="s">
        <v>232</v>
      </c>
      <c r="B269" s="44" t="s">
        <v>233</v>
      </c>
      <c r="C269" s="44" t="s">
        <v>73</v>
      </c>
      <c r="D269" s="85">
        <v>10104931675</v>
      </c>
      <c r="E269" s="44" t="s">
        <v>918</v>
      </c>
      <c r="F269" s="44" t="s">
        <v>596</v>
      </c>
      <c r="G269" s="44" t="s">
        <v>919</v>
      </c>
      <c r="H269" s="44" t="s">
        <v>74</v>
      </c>
      <c r="I269" s="48" t="s">
        <v>481</v>
      </c>
      <c r="J269" s="45">
        <v>42794</v>
      </c>
      <c r="K269" s="45">
        <v>42794</v>
      </c>
      <c r="L269" s="45"/>
    </row>
    <row r="270" spans="1:12" ht="18" customHeight="1">
      <c r="A270" s="43" t="s">
        <v>232</v>
      </c>
      <c r="B270" s="44" t="s">
        <v>233</v>
      </c>
      <c r="C270" s="44" t="s">
        <v>73</v>
      </c>
      <c r="D270" s="85">
        <v>10104945330</v>
      </c>
      <c r="E270" s="44" t="s">
        <v>291</v>
      </c>
      <c r="F270" s="44" t="s">
        <v>596</v>
      </c>
      <c r="G270" s="44" t="s">
        <v>292</v>
      </c>
      <c r="H270" s="44" t="s">
        <v>74</v>
      </c>
      <c r="I270" s="48" t="s">
        <v>481</v>
      </c>
      <c r="J270" s="45">
        <v>42787</v>
      </c>
      <c r="K270" s="45">
        <v>42787</v>
      </c>
      <c r="L270" s="45"/>
    </row>
    <row r="271" spans="1:12" ht="18" customHeight="1">
      <c r="A271" s="43" t="s">
        <v>232</v>
      </c>
      <c r="B271" s="44" t="s">
        <v>233</v>
      </c>
      <c r="C271" s="44" t="s">
        <v>73</v>
      </c>
      <c r="D271" s="85">
        <v>10104911840</v>
      </c>
      <c r="E271" s="44" t="s">
        <v>293</v>
      </c>
      <c r="F271" s="44" t="s">
        <v>596</v>
      </c>
      <c r="G271" s="44" t="s">
        <v>294</v>
      </c>
      <c r="H271" s="44" t="s">
        <v>74</v>
      </c>
      <c r="I271" s="48" t="s">
        <v>481</v>
      </c>
      <c r="J271" s="45">
        <v>42777</v>
      </c>
      <c r="K271" s="45">
        <v>42777</v>
      </c>
      <c r="L271" s="45"/>
    </row>
    <row r="272" spans="1:12" ht="18" customHeight="1">
      <c r="A272" s="43" t="s">
        <v>232</v>
      </c>
      <c r="B272" s="44" t="s">
        <v>233</v>
      </c>
      <c r="C272" s="44" t="s">
        <v>73</v>
      </c>
      <c r="D272" s="85">
        <v>10104930715</v>
      </c>
      <c r="E272" s="44" t="s">
        <v>295</v>
      </c>
      <c r="F272" s="44" t="s">
        <v>596</v>
      </c>
      <c r="G272" s="44" t="s">
        <v>296</v>
      </c>
      <c r="H272" s="44" t="s">
        <v>76</v>
      </c>
      <c r="I272" s="48" t="s">
        <v>482</v>
      </c>
      <c r="J272" s="45">
        <v>42793</v>
      </c>
      <c r="K272" s="45">
        <v>42793</v>
      </c>
      <c r="L272" s="45"/>
    </row>
    <row r="273" spans="1:12" ht="18" customHeight="1">
      <c r="A273" s="43" t="s">
        <v>232</v>
      </c>
      <c r="B273" s="44" t="s">
        <v>233</v>
      </c>
      <c r="C273" s="44" t="s">
        <v>73</v>
      </c>
      <c r="D273" s="85">
        <v>10104932054</v>
      </c>
      <c r="E273" s="44" t="s">
        <v>753</v>
      </c>
      <c r="F273" s="44" t="s">
        <v>596</v>
      </c>
      <c r="G273" s="44" t="s">
        <v>297</v>
      </c>
      <c r="H273" s="44" t="s">
        <v>74</v>
      </c>
      <c r="I273" s="48" t="s">
        <v>481</v>
      </c>
      <c r="J273" s="45">
        <v>42794</v>
      </c>
      <c r="K273" s="45">
        <v>42794</v>
      </c>
      <c r="L273" s="45"/>
    </row>
    <row r="274" spans="1:12" ht="18" customHeight="1">
      <c r="A274" s="43" t="s">
        <v>232</v>
      </c>
      <c r="B274" s="44" t="s">
        <v>233</v>
      </c>
      <c r="C274" s="44" t="s">
        <v>73</v>
      </c>
      <c r="D274" s="85">
        <v>10104911876</v>
      </c>
      <c r="E274" s="44" t="s">
        <v>1074</v>
      </c>
      <c r="F274" s="44" t="s">
        <v>596</v>
      </c>
      <c r="G274" s="44" t="s">
        <v>1075</v>
      </c>
      <c r="H274" s="44" t="s">
        <v>76</v>
      </c>
      <c r="I274" s="48" t="s">
        <v>482</v>
      </c>
      <c r="J274" s="45">
        <v>42777</v>
      </c>
      <c r="K274" s="45">
        <v>42777</v>
      </c>
      <c r="L274" s="45"/>
    </row>
    <row r="275" spans="1:12" ht="18" customHeight="1">
      <c r="A275" s="43" t="s">
        <v>232</v>
      </c>
      <c r="B275" s="44" t="s">
        <v>233</v>
      </c>
      <c r="C275" s="44" t="s">
        <v>73</v>
      </c>
      <c r="D275" s="85">
        <v>10104896295</v>
      </c>
      <c r="E275" s="44" t="s">
        <v>1076</v>
      </c>
      <c r="F275" s="44" t="s">
        <v>887</v>
      </c>
      <c r="G275" s="44" t="s">
        <v>830</v>
      </c>
      <c r="H275" s="44" t="s">
        <v>74</v>
      </c>
      <c r="I275" s="48" t="s">
        <v>481</v>
      </c>
      <c r="J275" s="45">
        <v>42767</v>
      </c>
      <c r="K275" s="45">
        <v>42767</v>
      </c>
      <c r="L275" s="45"/>
    </row>
    <row r="276" spans="1:12" ht="18" customHeight="1">
      <c r="A276" s="43" t="s">
        <v>232</v>
      </c>
      <c r="B276" s="44" t="s">
        <v>233</v>
      </c>
      <c r="C276" s="44" t="s">
        <v>73</v>
      </c>
      <c r="D276" s="85">
        <v>10104932053</v>
      </c>
      <c r="E276" s="44" t="s">
        <v>298</v>
      </c>
      <c r="F276" s="44" t="s">
        <v>596</v>
      </c>
      <c r="G276" s="44" t="s">
        <v>299</v>
      </c>
      <c r="H276" s="44" t="s">
        <v>74</v>
      </c>
      <c r="I276" s="48" t="s">
        <v>481</v>
      </c>
      <c r="J276" s="45">
        <v>42794</v>
      </c>
      <c r="K276" s="45">
        <v>42794</v>
      </c>
      <c r="L276" s="45"/>
    </row>
    <row r="277" spans="1:12" ht="18" customHeight="1">
      <c r="A277" s="43" t="s">
        <v>232</v>
      </c>
      <c r="B277" s="44" t="s">
        <v>233</v>
      </c>
      <c r="C277" s="44" t="s">
        <v>73</v>
      </c>
      <c r="D277" s="85">
        <v>10104896250</v>
      </c>
      <c r="E277" s="44" t="s">
        <v>1077</v>
      </c>
      <c r="F277" s="44" t="s">
        <v>887</v>
      </c>
      <c r="G277" s="44" t="s">
        <v>299</v>
      </c>
      <c r="H277" s="44" t="s">
        <v>76</v>
      </c>
      <c r="I277" s="48" t="s">
        <v>482</v>
      </c>
      <c r="J277" s="45">
        <v>42767</v>
      </c>
      <c r="K277" s="45">
        <v>42767</v>
      </c>
      <c r="L277" s="45"/>
    </row>
    <row r="278" spans="1:12" ht="18" customHeight="1">
      <c r="A278" s="43" t="s">
        <v>232</v>
      </c>
      <c r="B278" s="44" t="s">
        <v>233</v>
      </c>
      <c r="C278" s="44" t="s">
        <v>73</v>
      </c>
      <c r="D278" s="85">
        <v>10104932055</v>
      </c>
      <c r="E278" s="44" t="s">
        <v>300</v>
      </c>
      <c r="F278" s="44" t="s">
        <v>596</v>
      </c>
      <c r="G278" s="44" t="s">
        <v>301</v>
      </c>
      <c r="H278" s="44" t="s">
        <v>74</v>
      </c>
      <c r="I278" s="48" t="s">
        <v>481</v>
      </c>
      <c r="J278" s="45">
        <v>42794</v>
      </c>
      <c r="K278" s="45">
        <v>42794</v>
      </c>
      <c r="L278" s="45"/>
    </row>
    <row r="279" spans="1:12" ht="18" customHeight="1">
      <c r="A279" s="43" t="s">
        <v>232</v>
      </c>
      <c r="B279" s="44" t="s">
        <v>233</v>
      </c>
      <c r="C279" s="44" t="s">
        <v>73</v>
      </c>
      <c r="D279" s="85">
        <v>10104932056</v>
      </c>
      <c r="E279" s="44" t="s">
        <v>302</v>
      </c>
      <c r="F279" s="44" t="s">
        <v>596</v>
      </c>
      <c r="G279" s="44" t="s">
        <v>303</v>
      </c>
      <c r="H279" s="44" t="s">
        <v>74</v>
      </c>
      <c r="I279" s="48" t="s">
        <v>481</v>
      </c>
      <c r="J279" s="45">
        <v>42794</v>
      </c>
      <c r="K279" s="45">
        <v>42794</v>
      </c>
      <c r="L279" s="45"/>
    </row>
    <row r="280" spans="1:12" ht="18" customHeight="1">
      <c r="A280" s="43" t="s">
        <v>232</v>
      </c>
      <c r="B280" s="44" t="s">
        <v>233</v>
      </c>
      <c r="C280" s="44" t="s">
        <v>73</v>
      </c>
      <c r="D280" s="85">
        <v>10104932016</v>
      </c>
      <c r="E280" s="44" t="s">
        <v>513</v>
      </c>
      <c r="F280" s="44" t="s">
        <v>596</v>
      </c>
      <c r="G280" s="44" t="s">
        <v>304</v>
      </c>
      <c r="H280" s="44" t="s">
        <v>74</v>
      </c>
      <c r="I280" s="48" t="s">
        <v>481</v>
      </c>
      <c r="J280" s="45">
        <v>42794</v>
      </c>
      <c r="K280" s="45">
        <v>42794</v>
      </c>
      <c r="L280" s="45"/>
    </row>
    <row r="281" spans="1:12" ht="18" customHeight="1">
      <c r="A281" s="43" t="s">
        <v>232</v>
      </c>
      <c r="B281" s="44" t="s">
        <v>233</v>
      </c>
      <c r="C281" s="44" t="s">
        <v>73</v>
      </c>
      <c r="D281" s="85">
        <v>10104932017</v>
      </c>
      <c r="E281" s="44" t="s">
        <v>306</v>
      </c>
      <c r="F281" s="44" t="s">
        <v>596</v>
      </c>
      <c r="G281" s="44" t="s">
        <v>305</v>
      </c>
      <c r="H281" s="44" t="s">
        <v>74</v>
      </c>
      <c r="I281" s="48" t="s">
        <v>481</v>
      </c>
      <c r="J281" s="45">
        <v>42794</v>
      </c>
      <c r="K281" s="45">
        <v>42794</v>
      </c>
      <c r="L281" s="45"/>
    </row>
    <row r="282" spans="1:12" ht="18" customHeight="1">
      <c r="A282" s="43" t="s">
        <v>232</v>
      </c>
      <c r="B282" s="44" t="s">
        <v>233</v>
      </c>
      <c r="C282" s="44" t="s">
        <v>73</v>
      </c>
      <c r="D282" s="85">
        <v>10104932625</v>
      </c>
      <c r="E282" s="44" t="s">
        <v>309</v>
      </c>
      <c r="F282" s="44" t="s">
        <v>596</v>
      </c>
      <c r="G282" s="44" t="s">
        <v>308</v>
      </c>
      <c r="H282" s="44" t="s">
        <v>74</v>
      </c>
      <c r="I282" s="48" t="s">
        <v>481</v>
      </c>
      <c r="J282" s="45">
        <v>42770</v>
      </c>
      <c r="K282" s="45">
        <v>42770</v>
      </c>
      <c r="L282" s="45"/>
    </row>
    <row r="283" spans="1:12" ht="18" customHeight="1">
      <c r="A283" s="43" t="s">
        <v>232</v>
      </c>
      <c r="B283" s="44" t="s">
        <v>233</v>
      </c>
      <c r="C283" s="44" t="s">
        <v>73</v>
      </c>
      <c r="D283" s="85">
        <v>10104900289</v>
      </c>
      <c r="E283" s="44" t="s">
        <v>307</v>
      </c>
      <c r="F283" s="44" t="s">
        <v>887</v>
      </c>
      <c r="G283" s="44" t="s">
        <v>308</v>
      </c>
      <c r="H283" s="44" t="s">
        <v>74</v>
      </c>
      <c r="I283" s="48" t="s">
        <v>481</v>
      </c>
      <c r="J283" s="45">
        <v>42771</v>
      </c>
      <c r="K283" s="45">
        <v>42771</v>
      </c>
      <c r="L283" s="45"/>
    </row>
    <row r="284" spans="1:12" ht="18" customHeight="1">
      <c r="A284" s="43" t="s">
        <v>232</v>
      </c>
      <c r="B284" s="44" t="s">
        <v>233</v>
      </c>
      <c r="C284" s="44" t="s">
        <v>73</v>
      </c>
      <c r="D284" s="85">
        <v>10104911394</v>
      </c>
      <c r="E284" s="44" t="s">
        <v>1078</v>
      </c>
      <c r="F284" s="44" t="s">
        <v>596</v>
      </c>
      <c r="G284" s="44" t="s">
        <v>308</v>
      </c>
      <c r="H284" s="44" t="s">
        <v>76</v>
      </c>
      <c r="I284" s="48" t="s">
        <v>482</v>
      </c>
      <c r="J284" s="45">
        <v>42774</v>
      </c>
      <c r="K284" s="45">
        <v>42774</v>
      </c>
      <c r="L284" s="45"/>
    </row>
    <row r="285" spans="1:12" ht="18" customHeight="1">
      <c r="A285" s="43" t="s">
        <v>232</v>
      </c>
      <c r="B285" s="44" t="s">
        <v>233</v>
      </c>
      <c r="C285" s="44" t="s">
        <v>73</v>
      </c>
      <c r="D285" s="85">
        <v>10104949481</v>
      </c>
      <c r="E285" s="44" t="s">
        <v>309</v>
      </c>
      <c r="F285" s="44" t="s">
        <v>596</v>
      </c>
      <c r="G285" s="44" t="s">
        <v>308</v>
      </c>
      <c r="H285" s="44" t="s">
        <v>74</v>
      </c>
      <c r="I285" s="48" t="s">
        <v>481</v>
      </c>
      <c r="J285" s="45">
        <v>42784</v>
      </c>
      <c r="K285" s="45">
        <v>42784</v>
      </c>
      <c r="L285" s="45"/>
    </row>
    <row r="286" spans="1:12" ht="18" customHeight="1">
      <c r="A286" s="43" t="s">
        <v>232</v>
      </c>
      <c r="B286" s="44" t="s">
        <v>233</v>
      </c>
      <c r="C286" s="44" t="s">
        <v>73</v>
      </c>
      <c r="D286" s="85">
        <v>10104926780</v>
      </c>
      <c r="E286" s="44" t="s">
        <v>1079</v>
      </c>
      <c r="F286" s="44" t="s">
        <v>596</v>
      </c>
      <c r="G286" s="44" t="s">
        <v>1080</v>
      </c>
      <c r="H286" s="44" t="s">
        <v>76</v>
      </c>
      <c r="I286" s="48" t="s">
        <v>482</v>
      </c>
      <c r="J286" s="45">
        <v>42787</v>
      </c>
      <c r="K286" s="45">
        <v>42787</v>
      </c>
      <c r="L286" s="45"/>
    </row>
    <row r="287" spans="1:12" ht="18" customHeight="1">
      <c r="A287" s="43" t="s">
        <v>232</v>
      </c>
      <c r="B287" s="44" t="s">
        <v>233</v>
      </c>
      <c r="C287" s="44" t="s">
        <v>73</v>
      </c>
      <c r="D287" s="85">
        <v>10104953365</v>
      </c>
      <c r="E287" s="44" t="s">
        <v>310</v>
      </c>
      <c r="F287" s="44" t="s">
        <v>596</v>
      </c>
      <c r="G287" s="44" t="s">
        <v>311</v>
      </c>
      <c r="H287" s="44" t="s">
        <v>74</v>
      </c>
      <c r="I287" s="48" t="s">
        <v>481</v>
      </c>
      <c r="J287" s="45">
        <v>42786</v>
      </c>
      <c r="K287" s="45">
        <v>42786</v>
      </c>
      <c r="L287" s="45"/>
    </row>
    <row r="288" spans="1:12" ht="18" customHeight="1">
      <c r="A288" s="43" t="s">
        <v>232</v>
      </c>
      <c r="B288" s="44" t="s">
        <v>233</v>
      </c>
      <c r="C288" s="44" t="s">
        <v>73</v>
      </c>
      <c r="D288" s="85">
        <v>10104930713</v>
      </c>
      <c r="E288" s="44" t="s">
        <v>312</v>
      </c>
      <c r="F288" s="44" t="s">
        <v>596</v>
      </c>
      <c r="G288" s="44" t="s">
        <v>313</v>
      </c>
      <c r="H288" s="44" t="s">
        <v>74</v>
      </c>
      <c r="I288" s="48" t="s">
        <v>481</v>
      </c>
      <c r="J288" s="45">
        <v>42793</v>
      </c>
      <c r="K288" s="45">
        <v>42793</v>
      </c>
      <c r="L288" s="45"/>
    </row>
    <row r="289" spans="1:12" ht="18" customHeight="1">
      <c r="A289" s="43" t="s">
        <v>232</v>
      </c>
      <c r="B289" s="44" t="s">
        <v>233</v>
      </c>
      <c r="C289" s="44" t="s">
        <v>73</v>
      </c>
      <c r="D289" s="85">
        <v>10104928301</v>
      </c>
      <c r="E289" s="44" t="s">
        <v>314</v>
      </c>
      <c r="F289" s="44" t="s">
        <v>596</v>
      </c>
      <c r="G289" s="44" t="s">
        <v>315</v>
      </c>
      <c r="H289" s="44" t="s">
        <v>74</v>
      </c>
      <c r="I289" s="48" t="s">
        <v>481</v>
      </c>
      <c r="J289" s="45">
        <v>42769</v>
      </c>
      <c r="K289" s="45">
        <v>42769</v>
      </c>
      <c r="L289" s="45"/>
    </row>
    <row r="290" spans="1:12" ht="18" customHeight="1">
      <c r="A290" s="43" t="s">
        <v>232</v>
      </c>
      <c r="B290" s="44" t="s">
        <v>451</v>
      </c>
      <c r="C290" s="44" t="s">
        <v>73</v>
      </c>
      <c r="D290" s="85">
        <v>10104947747</v>
      </c>
      <c r="E290" s="44" t="s">
        <v>533</v>
      </c>
      <c r="F290" s="44" t="s">
        <v>596</v>
      </c>
      <c r="G290" s="44" t="s">
        <v>315</v>
      </c>
      <c r="H290" s="44" t="s">
        <v>74</v>
      </c>
      <c r="I290" s="48" t="s">
        <v>481</v>
      </c>
      <c r="J290" s="45">
        <v>42784</v>
      </c>
      <c r="K290" s="45">
        <v>42784</v>
      </c>
      <c r="L290" s="45"/>
    </row>
    <row r="291" spans="1:12" ht="18" customHeight="1">
      <c r="A291" s="43" t="s">
        <v>232</v>
      </c>
      <c r="B291" s="44" t="s">
        <v>451</v>
      </c>
      <c r="C291" s="44" t="s">
        <v>73</v>
      </c>
      <c r="D291" s="85">
        <v>10104932033</v>
      </c>
      <c r="E291" s="44" t="s">
        <v>533</v>
      </c>
      <c r="F291" s="44" t="s">
        <v>596</v>
      </c>
      <c r="G291" s="44" t="s">
        <v>315</v>
      </c>
      <c r="H291" s="44" t="s">
        <v>74</v>
      </c>
      <c r="I291" s="48" t="s">
        <v>481</v>
      </c>
      <c r="J291" s="45">
        <v>42770</v>
      </c>
      <c r="K291" s="45">
        <v>42770</v>
      </c>
      <c r="L291" s="45"/>
    </row>
    <row r="292" spans="1:12" ht="18" customHeight="1">
      <c r="A292" s="43" t="s">
        <v>232</v>
      </c>
      <c r="B292" s="44" t="s">
        <v>233</v>
      </c>
      <c r="C292" s="44" t="s">
        <v>73</v>
      </c>
      <c r="D292" s="85">
        <v>10104938562</v>
      </c>
      <c r="E292" s="44" t="s">
        <v>314</v>
      </c>
      <c r="F292" s="44" t="s">
        <v>596</v>
      </c>
      <c r="G292" s="44" t="s">
        <v>315</v>
      </c>
      <c r="H292" s="44" t="s">
        <v>74</v>
      </c>
      <c r="I292" s="48" t="s">
        <v>481</v>
      </c>
      <c r="J292" s="45">
        <v>42783</v>
      </c>
      <c r="K292" s="45">
        <v>42783</v>
      </c>
      <c r="L292" s="45"/>
    </row>
    <row r="293" spans="1:12" ht="18" customHeight="1">
      <c r="A293" s="43" t="s">
        <v>232</v>
      </c>
      <c r="B293" s="44" t="s">
        <v>451</v>
      </c>
      <c r="C293" s="44" t="s">
        <v>73</v>
      </c>
      <c r="D293" s="85">
        <v>10104939591</v>
      </c>
      <c r="E293" s="44" t="s">
        <v>533</v>
      </c>
      <c r="F293" s="44" t="s">
        <v>596</v>
      </c>
      <c r="G293" s="44" t="s">
        <v>315</v>
      </c>
      <c r="H293" s="44" t="s">
        <v>74</v>
      </c>
      <c r="I293" s="48" t="s">
        <v>481</v>
      </c>
      <c r="J293" s="45">
        <v>42777</v>
      </c>
      <c r="K293" s="45">
        <v>42777</v>
      </c>
      <c r="L293" s="45"/>
    </row>
    <row r="294" spans="1:12" ht="18" customHeight="1">
      <c r="A294" s="43" t="s">
        <v>232</v>
      </c>
      <c r="B294" s="44" t="s">
        <v>451</v>
      </c>
      <c r="C294" s="44" t="s">
        <v>73</v>
      </c>
      <c r="D294" s="85">
        <v>10104956296</v>
      </c>
      <c r="E294" s="44" t="s">
        <v>533</v>
      </c>
      <c r="F294" s="44" t="s">
        <v>596</v>
      </c>
      <c r="G294" s="44" t="s">
        <v>315</v>
      </c>
      <c r="H294" s="44" t="s">
        <v>74</v>
      </c>
      <c r="I294" s="48" t="s">
        <v>481</v>
      </c>
      <c r="J294" s="45">
        <v>42791</v>
      </c>
      <c r="K294" s="45">
        <v>42791</v>
      </c>
      <c r="L294" s="45"/>
    </row>
    <row r="295" spans="1:12" ht="18" customHeight="1">
      <c r="A295" s="43" t="s">
        <v>450</v>
      </c>
      <c r="B295" s="44" t="s">
        <v>451</v>
      </c>
      <c r="C295" s="44" t="s">
        <v>73</v>
      </c>
      <c r="D295" s="85">
        <v>10104930976</v>
      </c>
      <c r="E295" s="44" t="s">
        <v>541</v>
      </c>
      <c r="F295" s="44" t="s">
        <v>887</v>
      </c>
      <c r="G295" s="44" t="s">
        <v>347</v>
      </c>
      <c r="H295" s="44" t="s">
        <v>74</v>
      </c>
      <c r="I295" s="48" t="s">
        <v>481</v>
      </c>
      <c r="J295" s="45">
        <v>42770</v>
      </c>
      <c r="K295" s="45">
        <v>42770</v>
      </c>
      <c r="L295" s="45"/>
    </row>
    <row r="296" spans="1:12" ht="18" customHeight="1">
      <c r="A296" s="43" t="s">
        <v>450</v>
      </c>
      <c r="B296" s="44" t="s">
        <v>451</v>
      </c>
      <c r="C296" s="44" t="s">
        <v>73</v>
      </c>
      <c r="D296" s="85">
        <v>10104947905</v>
      </c>
      <c r="E296" s="44" t="s">
        <v>541</v>
      </c>
      <c r="F296" s="44" t="s">
        <v>887</v>
      </c>
      <c r="G296" s="44" t="s">
        <v>347</v>
      </c>
      <c r="H296" s="44" t="s">
        <v>74</v>
      </c>
      <c r="I296" s="48" t="s">
        <v>481</v>
      </c>
      <c r="J296" s="45">
        <v>42784</v>
      </c>
      <c r="K296" s="45">
        <v>42784</v>
      </c>
      <c r="L296" s="45"/>
    </row>
    <row r="297" spans="1:12" ht="18" customHeight="1">
      <c r="A297" s="43" t="s">
        <v>450</v>
      </c>
      <c r="B297" s="44" t="s">
        <v>451</v>
      </c>
      <c r="C297" s="44" t="s">
        <v>73</v>
      </c>
      <c r="D297" s="85">
        <v>10104939750</v>
      </c>
      <c r="E297" s="44" t="s">
        <v>541</v>
      </c>
      <c r="F297" s="44" t="s">
        <v>887</v>
      </c>
      <c r="G297" s="44" t="s">
        <v>347</v>
      </c>
      <c r="H297" s="44" t="s">
        <v>74</v>
      </c>
      <c r="I297" s="48" t="s">
        <v>481</v>
      </c>
      <c r="J297" s="45">
        <v>42777</v>
      </c>
      <c r="K297" s="45">
        <v>42777</v>
      </c>
      <c r="L297" s="45"/>
    </row>
    <row r="298" spans="1:12" ht="18" customHeight="1">
      <c r="A298" s="43" t="s">
        <v>450</v>
      </c>
      <c r="B298" s="44" t="s">
        <v>451</v>
      </c>
      <c r="C298" s="44" t="s">
        <v>73</v>
      </c>
      <c r="D298" s="85">
        <v>10104956503</v>
      </c>
      <c r="E298" s="44" t="s">
        <v>541</v>
      </c>
      <c r="F298" s="44" t="s">
        <v>887</v>
      </c>
      <c r="G298" s="44" t="s">
        <v>347</v>
      </c>
      <c r="H298" s="44" t="s">
        <v>74</v>
      </c>
      <c r="I298" s="48" t="s">
        <v>481</v>
      </c>
      <c r="J298" s="45">
        <v>42791</v>
      </c>
      <c r="K298" s="45">
        <v>42791</v>
      </c>
      <c r="L298" s="45"/>
    </row>
    <row r="299" spans="1:12" ht="18" customHeight="1">
      <c r="A299" s="43" t="s">
        <v>232</v>
      </c>
      <c r="B299" s="44" t="s">
        <v>233</v>
      </c>
      <c r="C299" s="44" t="s">
        <v>73</v>
      </c>
      <c r="D299" s="85">
        <v>10104914430</v>
      </c>
      <c r="E299" s="44" t="s">
        <v>316</v>
      </c>
      <c r="F299" s="44" t="s">
        <v>180</v>
      </c>
      <c r="G299" s="44" t="s">
        <v>317</v>
      </c>
      <c r="H299" s="44" t="s">
        <v>74</v>
      </c>
      <c r="I299" s="48" t="s">
        <v>481</v>
      </c>
      <c r="J299" s="45">
        <v>42779</v>
      </c>
      <c r="K299" s="45">
        <v>42789</v>
      </c>
      <c r="L299" s="45">
        <v>42787</v>
      </c>
    </row>
    <row r="300" spans="1:12" ht="18" customHeight="1">
      <c r="A300" s="43" t="s">
        <v>232</v>
      </c>
      <c r="B300" s="44" t="s">
        <v>233</v>
      </c>
      <c r="C300" s="44" t="s">
        <v>73</v>
      </c>
      <c r="D300" s="85">
        <v>10104899251</v>
      </c>
      <c r="E300" s="44" t="s">
        <v>318</v>
      </c>
      <c r="F300" s="44" t="s">
        <v>180</v>
      </c>
      <c r="G300" s="44" t="s">
        <v>319</v>
      </c>
      <c r="H300" s="44" t="s">
        <v>129</v>
      </c>
      <c r="I300" s="48" t="s">
        <v>481</v>
      </c>
      <c r="J300" s="45">
        <v>42770</v>
      </c>
      <c r="K300" s="45">
        <v>42789</v>
      </c>
      <c r="L300" s="45">
        <v>42787</v>
      </c>
    </row>
    <row r="301" spans="1:12" ht="18" customHeight="1">
      <c r="A301" s="43" t="s">
        <v>232</v>
      </c>
      <c r="B301" s="44" t="s">
        <v>233</v>
      </c>
      <c r="C301" s="44" t="s">
        <v>73</v>
      </c>
      <c r="D301" s="85">
        <v>10104947878</v>
      </c>
      <c r="E301" s="44" t="s">
        <v>893</v>
      </c>
      <c r="F301" s="44" t="s">
        <v>180</v>
      </c>
      <c r="G301" s="44" t="s">
        <v>894</v>
      </c>
      <c r="H301" s="44" t="s">
        <v>76</v>
      </c>
      <c r="I301" s="48" t="s">
        <v>482</v>
      </c>
      <c r="J301" s="45">
        <v>42789</v>
      </c>
      <c r="K301" s="45">
        <v>42789</v>
      </c>
      <c r="L301" s="45">
        <v>42787</v>
      </c>
    </row>
    <row r="302" spans="1:12" ht="18" customHeight="1">
      <c r="A302" s="43" t="s">
        <v>232</v>
      </c>
      <c r="B302" s="44" t="s">
        <v>233</v>
      </c>
      <c r="C302" s="44" t="s">
        <v>73</v>
      </c>
      <c r="D302" s="85">
        <v>10104930943</v>
      </c>
      <c r="E302" s="44" t="s">
        <v>893</v>
      </c>
      <c r="F302" s="44" t="s">
        <v>75</v>
      </c>
      <c r="G302" s="44" t="s">
        <v>894</v>
      </c>
      <c r="H302" s="44" t="s">
        <v>76</v>
      </c>
      <c r="I302" s="48" t="s">
        <v>482</v>
      </c>
      <c r="J302" s="45">
        <v>42777</v>
      </c>
      <c r="K302" s="45">
        <v>42789</v>
      </c>
      <c r="L302" s="45">
        <v>42789</v>
      </c>
    </row>
    <row r="303" spans="1:12" ht="18" customHeight="1">
      <c r="A303" s="43" t="s">
        <v>232</v>
      </c>
      <c r="B303" s="44" t="s">
        <v>233</v>
      </c>
      <c r="C303" s="44" t="s">
        <v>73</v>
      </c>
      <c r="D303" s="85">
        <v>10104947879</v>
      </c>
      <c r="E303" s="44" t="s">
        <v>895</v>
      </c>
      <c r="F303" s="44" t="s">
        <v>180</v>
      </c>
      <c r="G303" s="44" t="s">
        <v>896</v>
      </c>
      <c r="H303" s="44" t="s">
        <v>76</v>
      </c>
      <c r="I303" s="48" t="s">
        <v>482</v>
      </c>
      <c r="J303" s="45">
        <v>42789</v>
      </c>
      <c r="K303" s="45">
        <v>42789</v>
      </c>
      <c r="L303" s="45">
        <v>42787</v>
      </c>
    </row>
    <row r="304" spans="1:12" ht="18" customHeight="1">
      <c r="A304" s="43" t="s">
        <v>232</v>
      </c>
      <c r="B304" s="44" t="s">
        <v>233</v>
      </c>
      <c r="C304" s="44" t="s">
        <v>73</v>
      </c>
      <c r="D304" s="85">
        <v>10104930944</v>
      </c>
      <c r="E304" s="44" t="s">
        <v>895</v>
      </c>
      <c r="F304" s="44" t="s">
        <v>75</v>
      </c>
      <c r="G304" s="44" t="s">
        <v>896</v>
      </c>
      <c r="H304" s="44" t="s">
        <v>76</v>
      </c>
      <c r="I304" s="48" t="s">
        <v>482</v>
      </c>
      <c r="J304" s="45">
        <v>42777</v>
      </c>
      <c r="K304" s="45">
        <v>42789</v>
      </c>
      <c r="L304" s="45">
        <v>42789</v>
      </c>
    </row>
    <row r="305" spans="1:12" ht="18" customHeight="1">
      <c r="A305" s="43" t="s">
        <v>232</v>
      </c>
      <c r="B305" s="44" t="s">
        <v>233</v>
      </c>
      <c r="C305" s="44" t="s">
        <v>73</v>
      </c>
      <c r="D305" s="85">
        <v>10104899264</v>
      </c>
      <c r="E305" s="44" t="s">
        <v>320</v>
      </c>
      <c r="F305" s="44" t="s">
        <v>180</v>
      </c>
      <c r="G305" s="44" t="s">
        <v>321</v>
      </c>
      <c r="H305" s="44" t="s">
        <v>129</v>
      </c>
      <c r="I305" s="48" t="s">
        <v>481</v>
      </c>
      <c r="J305" s="45">
        <v>42770</v>
      </c>
      <c r="K305" s="45">
        <v>42789</v>
      </c>
      <c r="L305" s="45">
        <v>42787</v>
      </c>
    </row>
    <row r="306" spans="1:12" ht="18" customHeight="1">
      <c r="A306" s="43" t="s">
        <v>232</v>
      </c>
      <c r="B306" s="44" t="s">
        <v>233</v>
      </c>
      <c r="C306" s="44" t="s">
        <v>73</v>
      </c>
      <c r="D306" s="85">
        <v>10104930961</v>
      </c>
      <c r="E306" s="44" t="s">
        <v>897</v>
      </c>
      <c r="F306" s="44" t="s">
        <v>75</v>
      </c>
      <c r="G306" s="44" t="s">
        <v>321</v>
      </c>
      <c r="H306" s="44" t="s">
        <v>76</v>
      </c>
      <c r="I306" s="48" t="s">
        <v>482</v>
      </c>
      <c r="J306" s="45">
        <v>42777</v>
      </c>
      <c r="K306" s="45">
        <v>42789</v>
      </c>
      <c r="L306" s="45">
        <v>42789</v>
      </c>
    </row>
    <row r="307" spans="1:12" ht="18" customHeight="1">
      <c r="A307" s="43" t="s">
        <v>232</v>
      </c>
      <c r="B307" s="44" t="s">
        <v>233</v>
      </c>
      <c r="C307" s="44" t="s">
        <v>73</v>
      </c>
      <c r="D307" s="85">
        <v>10104947894</v>
      </c>
      <c r="E307" s="44" t="s">
        <v>897</v>
      </c>
      <c r="F307" s="44" t="s">
        <v>180</v>
      </c>
      <c r="G307" s="44" t="s">
        <v>321</v>
      </c>
      <c r="H307" s="44" t="s">
        <v>76</v>
      </c>
      <c r="I307" s="48" t="s">
        <v>482</v>
      </c>
      <c r="J307" s="45">
        <v>42789</v>
      </c>
      <c r="K307" s="45">
        <v>42789</v>
      </c>
      <c r="L307" s="45">
        <v>42787</v>
      </c>
    </row>
    <row r="308" spans="1:12" ht="18" customHeight="1">
      <c r="A308" s="43" t="s">
        <v>232</v>
      </c>
      <c r="B308" s="44" t="s">
        <v>233</v>
      </c>
      <c r="C308" s="44" t="s">
        <v>73</v>
      </c>
      <c r="D308" s="85">
        <v>10104947877</v>
      </c>
      <c r="E308" s="44" t="s">
        <v>898</v>
      </c>
      <c r="F308" s="44" t="s">
        <v>180</v>
      </c>
      <c r="G308" s="44" t="s">
        <v>323</v>
      </c>
      <c r="H308" s="44" t="s">
        <v>76</v>
      </c>
      <c r="I308" s="48" t="s">
        <v>482</v>
      </c>
      <c r="J308" s="45">
        <v>42789</v>
      </c>
      <c r="K308" s="45">
        <v>42789</v>
      </c>
      <c r="L308" s="45">
        <v>42789</v>
      </c>
    </row>
    <row r="309" spans="1:12" ht="18" customHeight="1">
      <c r="A309" s="43" t="s">
        <v>232</v>
      </c>
      <c r="B309" s="44" t="s">
        <v>233</v>
      </c>
      <c r="C309" s="44" t="s">
        <v>73</v>
      </c>
      <c r="D309" s="85">
        <v>10104930942</v>
      </c>
      <c r="E309" s="44" t="s">
        <v>898</v>
      </c>
      <c r="F309" s="44" t="s">
        <v>75</v>
      </c>
      <c r="G309" s="44" t="s">
        <v>323</v>
      </c>
      <c r="H309" s="44" t="s">
        <v>76</v>
      </c>
      <c r="I309" s="48" t="s">
        <v>482</v>
      </c>
      <c r="J309" s="45">
        <v>42777</v>
      </c>
      <c r="K309" s="45">
        <v>42789</v>
      </c>
      <c r="L309" s="45">
        <v>42789</v>
      </c>
    </row>
    <row r="310" spans="1:12" ht="18" customHeight="1">
      <c r="A310" s="43" t="s">
        <v>232</v>
      </c>
      <c r="B310" s="44" t="s">
        <v>233</v>
      </c>
      <c r="C310" s="44" t="s">
        <v>73</v>
      </c>
      <c r="D310" s="85">
        <v>10104899216</v>
      </c>
      <c r="E310" s="44" t="s">
        <v>322</v>
      </c>
      <c r="F310" s="44" t="s">
        <v>180</v>
      </c>
      <c r="G310" s="44" t="s">
        <v>323</v>
      </c>
      <c r="H310" s="44" t="s">
        <v>129</v>
      </c>
      <c r="I310" s="48" t="s">
        <v>481</v>
      </c>
      <c r="J310" s="45">
        <v>42770</v>
      </c>
      <c r="K310" s="45">
        <v>42789</v>
      </c>
      <c r="L310" s="45">
        <v>42787</v>
      </c>
    </row>
    <row r="311" spans="1:12" ht="18" customHeight="1">
      <c r="A311" s="43" t="s">
        <v>232</v>
      </c>
      <c r="B311" s="44" t="s">
        <v>233</v>
      </c>
      <c r="C311" s="44" t="s">
        <v>120</v>
      </c>
      <c r="D311" s="85">
        <v>10104914250</v>
      </c>
      <c r="E311" s="44" t="s">
        <v>326</v>
      </c>
      <c r="F311" s="44" t="s">
        <v>890</v>
      </c>
      <c r="G311" s="44" t="s">
        <v>325</v>
      </c>
      <c r="H311" s="44" t="s">
        <v>122</v>
      </c>
      <c r="I311" s="48" t="s">
        <v>483</v>
      </c>
      <c r="J311" s="45">
        <v>42777</v>
      </c>
      <c r="K311" s="45">
        <v>42777</v>
      </c>
      <c r="L311" s="45"/>
    </row>
    <row r="312" spans="1:12" ht="18" customHeight="1">
      <c r="A312" s="43" t="s">
        <v>232</v>
      </c>
      <c r="B312" s="44" t="s">
        <v>233</v>
      </c>
      <c r="C312" s="44" t="s">
        <v>120</v>
      </c>
      <c r="D312" s="85">
        <v>10104930734</v>
      </c>
      <c r="E312" s="44" t="s">
        <v>327</v>
      </c>
      <c r="F312" s="44" t="s">
        <v>890</v>
      </c>
      <c r="G312" s="44" t="s">
        <v>325</v>
      </c>
      <c r="H312" s="44" t="s">
        <v>122</v>
      </c>
      <c r="I312" s="48" t="s">
        <v>483</v>
      </c>
      <c r="J312" s="45">
        <v>42785</v>
      </c>
      <c r="K312" s="45">
        <v>42785</v>
      </c>
      <c r="L312" s="45"/>
    </row>
    <row r="313" spans="1:12" ht="18" customHeight="1">
      <c r="A313" s="43" t="s">
        <v>232</v>
      </c>
      <c r="B313" s="44" t="s">
        <v>233</v>
      </c>
      <c r="C313" s="44" t="s">
        <v>120</v>
      </c>
      <c r="D313" s="85">
        <v>10104957237</v>
      </c>
      <c r="E313" s="44" t="s">
        <v>327</v>
      </c>
      <c r="F313" s="44" t="s">
        <v>216</v>
      </c>
      <c r="G313" s="44" t="s">
        <v>325</v>
      </c>
      <c r="H313" s="44" t="s">
        <v>122</v>
      </c>
      <c r="I313" s="48" t="s">
        <v>483</v>
      </c>
      <c r="J313" s="45">
        <v>42791</v>
      </c>
      <c r="K313" s="45">
        <v>42791</v>
      </c>
      <c r="L313" s="45"/>
    </row>
    <row r="314" spans="1:12" ht="18" customHeight="1">
      <c r="A314" s="43" t="s">
        <v>232</v>
      </c>
      <c r="B314" s="44" t="s">
        <v>233</v>
      </c>
      <c r="C314" s="44" t="s">
        <v>120</v>
      </c>
      <c r="D314" s="85">
        <v>10104922367</v>
      </c>
      <c r="E314" s="44" t="s">
        <v>328</v>
      </c>
      <c r="F314" s="44" t="s">
        <v>890</v>
      </c>
      <c r="G314" s="44" t="s">
        <v>325</v>
      </c>
      <c r="H314" s="44" t="s">
        <v>122</v>
      </c>
      <c r="I314" s="48" t="s">
        <v>483</v>
      </c>
      <c r="J314" s="45">
        <v>42784</v>
      </c>
      <c r="K314" s="45">
        <v>42784</v>
      </c>
      <c r="L314" s="45"/>
    </row>
    <row r="315" spans="1:12" ht="18" customHeight="1">
      <c r="A315" s="43" t="s">
        <v>232</v>
      </c>
      <c r="B315" s="44" t="s">
        <v>233</v>
      </c>
      <c r="C315" s="44" t="s">
        <v>120</v>
      </c>
      <c r="D315" s="85">
        <v>10104906271</v>
      </c>
      <c r="E315" s="44" t="s">
        <v>324</v>
      </c>
      <c r="F315" s="44" t="s">
        <v>891</v>
      </c>
      <c r="G315" s="44" t="s">
        <v>325</v>
      </c>
      <c r="H315" s="44" t="s">
        <v>122</v>
      </c>
      <c r="I315" s="48" t="s">
        <v>483</v>
      </c>
      <c r="J315" s="45">
        <v>42770</v>
      </c>
      <c r="K315" s="45">
        <v>42770</v>
      </c>
      <c r="L315" s="45"/>
    </row>
    <row r="316" spans="1:12" ht="18" customHeight="1">
      <c r="A316" s="43" t="s">
        <v>232</v>
      </c>
      <c r="B316" s="44" t="s">
        <v>899</v>
      </c>
      <c r="C316" s="44" t="s">
        <v>120</v>
      </c>
      <c r="D316" s="85">
        <v>10104906894</v>
      </c>
      <c r="E316" s="44" t="s">
        <v>1081</v>
      </c>
      <c r="F316" s="44" t="s">
        <v>596</v>
      </c>
      <c r="G316" s="44" t="s">
        <v>235</v>
      </c>
      <c r="H316" s="44" t="s">
        <v>131</v>
      </c>
      <c r="I316" s="48" t="s">
        <v>481</v>
      </c>
      <c r="J316" s="45">
        <v>42794</v>
      </c>
      <c r="K316" s="45">
        <v>42794</v>
      </c>
      <c r="L316" s="45"/>
    </row>
    <row r="317" spans="1:12" ht="18" customHeight="1">
      <c r="A317" s="43" t="s">
        <v>232</v>
      </c>
      <c r="B317" s="44" t="s">
        <v>233</v>
      </c>
      <c r="C317" s="44" t="s">
        <v>120</v>
      </c>
      <c r="D317" s="85">
        <v>10104895027</v>
      </c>
      <c r="E317" s="44" t="s">
        <v>1082</v>
      </c>
      <c r="F317" s="44" t="s">
        <v>891</v>
      </c>
      <c r="G317" s="44" t="s">
        <v>244</v>
      </c>
      <c r="H317" s="44" t="s">
        <v>703</v>
      </c>
      <c r="I317" s="48" t="s">
        <v>481</v>
      </c>
      <c r="J317" s="45">
        <v>42791</v>
      </c>
      <c r="K317" s="45">
        <v>42791</v>
      </c>
      <c r="L317" s="45"/>
    </row>
    <row r="318" spans="1:12" ht="18" customHeight="1">
      <c r="A318" s="43" t="s">
        <v>232</v>
      </c>
      <c r="B318" s="44" t="s">
        <v>233</v>
      </c>
      <c r="C318" s="44" t="s">
        <v>120</v>
      </c>
      <c r="D318" s="85">
        <v>10104931681</v>
      </c>
      <c r="E318" s="44" t="s">
        <v>329</v>
      </c>
      <c r="F318" s="44" t="s">
        <v>216</v>
      </c>
      <c r="G318" s="44" t="s">
        <v>246</v>
      </c>
      <c r="H318" s="44" t="s">
        <v>129</v>
      </c>
      <c r="I318" s="48" t="s">
        <v>481</v>
      </c>
      <c r="J318" s="45">
        <v>42794</v>
      </c>
      <c r="K318" s="45">
        <v>42794</v>
      </c>
      <c r="L318" s="45"/>
    </row>
    <row r="319" spans="1:12" ht="18" customHeight="1">
      <c r="A319" s="43" t="s">
        <v>232</v>
      </c>
      <c r="B319" s="44" t="s">
        <v>899</v>
      </c>
      <c r="C319" s="44" t="s">
        <v>120</v>
      </c>
      <c r="D319" s="85">
        <v>10104906892</v>
      </c>
      <c r="E319" s="44" t="s">
        <v>1083</v>
      </c>
      <c r="F319" s="44" t="s">
        <v>596</v>
      </c>
      <c r="G319" s="44" t="s">
        <v>246</v>
      </c>
      <c r="H319" s="44" t="s">
        <v>131</v>
      </c>
      <c r="I319" s="48" t="s">
        <v>481</v>
      </c>
      <c r="J319" s="45">
        <v>42794</v>
      </c>
      <c r="K319" s="45">
        <v>42794</v>
      </c>
      <c r="L319" s="45"/>
    </row>
    <row r="320" spans="1:12" ht="18" customHeight="1">
      <c r="A320" s="43" t="s">
        <v>232</v>
      </c>
      <c r="B320" s="44" t="s">
        <v>233</v>
      </c>
      <c r="C320" s="44" t="s">
        <v>120</v>
      </c>
      <c r="D320" s="85">
        <v>10104946491</v>
      </c>
      <c r="E320" s="44" t="s">
        <v>1084</v>
      </c>
      <c r="F320" s="44" t="s">
        <v>216</v>
      </c>
      <c r="G320" s="44" t="s">
        <v>246</v>
      </c>
      <c r="H320" s="44" t="s">
        <v>130</v>
      </c>
      <c r="I320" s="48" t="s">
        <v>482</v>
      </c>
      <c r="J320" s="45">
        <v>42783</v>
      </c>
      <c r="K320" s="45">
        <v>42783</v>
      </c>
      <c r="L320" s="45"/>
    </row>
    <row r="321" spans="1:12" ht="18" customHeight="1">
      <c r="A321" s="43" t="s">
        <v>232</v>
      </c>
      <c r="B321" s="44" t="s">
        <v>233</v>
      </c>
      <c r="C321" s="44" t="s">
        <v>120</v>
      </c>
      <c r="D321" s="85">
        <v>10104892269</v>
      </c>
      <c r="E321" s="44" t="s">
        <v>1085</v>
      </c>
      <c r="F321" s="44" t="s">
        <v>890</v>
      </c>
      <c r="G321" s="44" t="s">
        <v>249</v>
      </c>
      <c r="H321" s="44" t="s">
        <v>74</v>
      </c>
      <c r="I321" s="48" t="s">
        <v>481</v>
      </c>
      <c r="J321" s="45">
        <v>42793</v>
      </c>
      <c r="K321" s="45">
        <v>42793</v>
      </c>
      <c r="L321" s="45"/>
    </row>
    <row r="322" spans="1:12" ht="18" customHeight="1">
      <c r="A322" s="43" t="s">
        <v>232</v>
      </c>
      <c r="B322" s="44" t="s">
        <v>899</v>
      </c>
      <c r="C322" s="44" t="s">
        <v>120</v>
      </c>
      <c r="D322" s="85">
        <v>10104906891</v>
      </c>
      <c r="E322" s="44" t="s">
        <v>1086</v>
      </c>
      <c r="F322" s="44" t="s">
        <v>596</v>
      </c>
      <c r="G322" s="44" t="s">
        <v>252</v>
      </c>
      <c r="H322" s="44" t="s">
        <v>131</v>
      </c>
      <c r="I322" s="48" t="s">
        <v>481</v>
      </c>
      <c r="J322" s="45">
        <v>42794</v>
      </c>
      <c r="K322" s="45">
        <v>42794</v>
      </c>
      <c r="L322" s="45"/>
    </row>
    <row r="323" spans="1:12" ht="18" customHeight="1">
      <c r="A323" s="43" t="s">
        <v>232</v>
      </c>
      <c r="B323" s="44" t="s">
        <v>233</v>
      </c>
      <c r="C323" s="44" t="s">
        <v>120</v>
      </c>
      <c r="D323" s="85">
        <v>10104900239</v>
      </c>
      <c r="E323" s="44" t="s">
        <v>560</v>
      </c>
      <c r="F323" s="44" t="s">
        <v>890</v>
      </c>
      <c r="G323" s="44" t="s">
        <v>252</v>
      </c>
      <c r="H323" s="44" t="s">
        <v>129</v>
      </c>
      <c r="I323" s="48" t="s">
        <v>481</v>
      </c>
      <c r="J323" s="45">
        <v>42771</v>
      </c>
      <c r="K323" s="45">
        <v>42771</v>
      </c>
      <c r="L323" s="45"/>
    </row>
    <row r="324" spans="1:12" ht="18" customHeight="1">
      <c r="A324" s="43" t="s">
        <v>232</v>
      </c>
      <c r="B324" s="44" t="s">
        <v>233</v>
      </c>
      <c r="C324" s="44" t="s">
        <v>120</v>
      </c>
      <c r="D324" s="85">
        <v>10104928007</v>
      </c>
      <c r="E324" s="44" t="s">
        <v>1087</v>
      </c>
      <c r="F324" s="44" t="s">
        <v>890</v>
      </c>
      <c r="G324" s="44" t="s">
        <v>252</v>
      </c>
      <c r="H324" s="44" t="s">
        <v>129</v>
      </c>
      <c r="I324" s="48" t="s">
        <v>481</v>
      </c>
      <c r="J324" s="45">
        <v>42788</v>
      </c>
      <c r="K324" s="45">
        <v>42788</v>
      </c>
      <c r="L324" s="45"/>
    </row>
    <row r="325" spans="1:12" ht="18" customHeight="1">
      <c r="A325" s="43" t="s">
        <v>232</v>
      </c>
      <c r="B325" s="44" t="s">
        <v>233</v>
      </c>
      <c r="C325" s="44" t="s">
        <v>120</v>
      </c>
      <c r="D325" s="85">
        <v>10104923345</v>
      </c>
      <c r="E325" s="44" t="s">
        <v>639</v>
      </c>
      <c r="F325" s="44" t="s">
        <v>890</v>
      </c>
      <c r="G325" s="44" t="s">
        <v>266</v>
      </c>
      <c r="H325" s="44" t="s">
        <v>129</v>
      </c>
      <c r="I325" s="48" t="s">
        <v>481</v>
      </c>
      <c r="J325" s="45">
        <v>42787</v>
      </c>
      <c r="K325" s="45">
        <v>42787</v>
      </c>
      <c r="L325" s="45"/>
    </row>
    <row r="326" spans="1:12" ht="18" customHeight="1">
      <c r="A326" s="43" t="s">
        <v>232</v>
      </c>
      <c r="B326" s="44" t="s">
        <v>899</v>
      </c>
      <c r="C326" s="44" t="s">
        <v>120</v>
      </c>
      <c r="D326" s="85">
        <v>10104897032</v>
      </c>
      <c r="E326" s="44" t="s">
        <v>330</v>
      </c>
      <c r="F326" s="44" t="s">
        <v>596</v>
      </c>
      <c r="G326" s="44" t="s">
        <v>331</v>
      </c>
      <c r="H326" s="44" t="s">
        <v>332</v>
      </c>
      <c r="I326" s="48" t="s">
        <v>482</v>
      </c>
      <c r="J326" s="45">
        <v>42794</v>
      </c>
      <c r="K326" s="45">
        <v>42794</v>
      </c>
      <c r="L326" s="45"/>
    </row>
    <row r="327" spans="1:12" ht="18" customHeight="1">
      <c r="A327" s="43" t="s">
        <v>232</v>
      </c>
      <c r="B327" s="44" t="s">
        <v>233</v>
      </c>
      <c r="C327" s="44" t="s">
        <v>120</v>
      </c>
      <c r="D327" s="85">
        <v>10104915888</v>
      </c>
      <c r="E327" s="44" t="s">
        <v>1088</v>
      </c>
      <c r="F327" s="44" t="s">
        <v>890</v>
      </c>
      <c r="G327" s="44" t="s">
        <v>276</v>
      </c>
      <c r="H327" s="44" t="s">
        <v>129</v>
      </c>
      <c r="I327" s="48" t="s">
        <v>481</v>
      </c>
      <c r="J327" s="45">
        <v>42778</v>
      </c>
      <c r="K327" s="45">
        <v>42778</v>
      </c>
      <c r="L327" s="45"/>
    </row>
    <row r="328" spans="1:12" ht="18" customHeight="1">
      <c r="A328" s="43" t="s">
        <v>232</v>
      </c>
      <c r="B328" s="44" t="s">
        <v>233</v>
      </c>
      <c r="C328" s="44" t="s">
        <v>120</v>
      </c>
      <c r="D328" s="85">
        <v>10104869728</v>
      </c>
      <c r="E328" s="44" t="s">
        <v>1091</v>
      </c>
      <c r="F328" s="44" t="s">
        <v>519</v>
      </c>
      <c r="G328" s="44" t="s">
        <v>1090</v>
      </c>
      <c r="H328" s="44" t="s">
        <v>76</v>
      </c>
      <c r="I328" s="48" t="s">
        <v>482</v>
      </c>
      <c r="J328" s="45">
        <v>42772</v>
      </c>
      <c r="K328" s="45">
        <v>42772</v>
      </c>
      <c r="L328" s="45"/>
    </row>
    <row r="329" spans="1:12" ht="18" customHeight="1">
      <c r="A329" s="43" t="s">
        <v>232</v>
      </c>
      <c r="B329" s="44" t="s">
        <v>233</v>
      </c>
      <c r="C329" s="44" t="s">
        <v>120</v>
      </c>
      <c r="D329" s="85">
        <v>10104887553</v>
      </c>
      <c r="E329" s="44" t="s">
        <v>1089</v>
      </c>
      <c r="F329" s="44" t="s">
        <v>216</v>
      </c>
      <c r="G329" s="44" t="s">
        <v>1090</v>
      </c>
      <c r="H329" s="44" t="s">
        <v>76</v>
      </c>
      <c r="I329" s="48" t="s">
        <v>482</v>
      </c>
      <c r="J329" s="45">
        <v>42794</v>
      </c>
      <c r="K329" s="45">
        <v>42794</v>
      </c>
      <c r="L329" s="45"/>
    </row>
    <row r="330" spans="1:12" ht="18" customHeight="1">
      <c r="A330" s="43" t="s">
        <v>232</v>
      </c>
      <c r="B330" s="44" t="s">
        <v>233</v>
      </c>
      <c r="C330" s="44" t="s">
        <v>120</v>
      </c>
      <c r="D330" s="85">
        <v>10104873346</v>
      </c>
      <c r="E330" s="44" t="s">
        <v>1092</v>
      </c>
      <c r="F330" s="44" t="s">
        <v>519</v>
      </c>
      <c r="G330" s="44" t="s">
        <v>281</v>
      </c>
      <c r="H330" s="44" t="s">
        <v>868</v>
      </c>
      <c r="I330" s="48" t="s">
        <v>482</v>
      </c>
      <c r="J330" s="45">
        <v>42779</v>
      </c>
      <c r="K330" s="45">
        <v>42779</v>
      </c>
      <c r="L330" s="45"/>
    </row>
    <row r="331" spans="1:12" ht="18" customHeight="1">
      <c r="A331" s="43" t="s">
        <v>232</v>
      </c>
      <c r="B331" s="44" t="s">
        <v>899</v>
      </c>
      <c r="C331" s="44" t="s">
        <v>120</v>
      </c>
      <c r="D331" s="85">
        <v>10104866258</v>
      </c>
      <c r="E331" s="44" t="s">
        <v>1096</v>
      </c>
      <c r="F331" s="44" t="s">
        <v>890</v>
      </c>
      <c r="G331" s="44" t="s">
        <v>281</v>
      </c>
      <c r="H331" s="44" t="s">
        <v>130</v>
      </c>
      <c r="I331" s="48" t="s">
        <v>482</v>
      </c>
      <c r="J331" s="45">
        <v>42787</v>
      </c>
      <c r="K331" s="45">
        <v>42787</v>
      </c>
      <c r="L331" s="45"/>
    </row>
    <row r="332" spans="1:12" ht="18" customHeight="1">
      <c r="A332" s="43" t="s">
        <v>232</v>
      </c>
      <c r="B332" s="44" t="s">
        <v>233</v>
      </c>
      <c r="C332" s="44" t="s">
        <v>120</v>
      </c>
      <c r="D332" s="85">
        <v>10104883634</v>
      </c>
      <c r="E332" s="44" t="s">
        <v>1093</v>
      </c>
      <c r="F332" s="44" t="s">
        <v>216</v>
      </c>
      <c r="G332" s="44" t="s">
        <v>281</v>
      </c>
      <c r="H332" s="44" t="s">
        <v>868</v>
      </c>
      <c r="I332" s="48" t="s">
        <v>482</v>
      </c>
      <c r="J332" s="45">
        <v>42848</v>
      </c>
      <c r="K332" s="45">
        <v>42789</v>
      </c>
      <c r="L332" s="45"/>
    </row>
    <row r="333" spans="1:12" ht="18" customHeight="1">
      <c r="A333" s="43" t="s">
        <v>232</v>
      </c>
      <c r="B333" s="44" t="s">
        <v>233</v>
      </c>
      <c r="C333" s="44" t="s">
        <v>120</v>
      </c>
      <c r="D333" s="85">
        <v>10104895023</v>
      </c>
      <c r="E333" s="44" t="s">
        <v>1093</v>
      </c>
      <c r="F333" s="44" t="s">
        <v>891</v>
      </c>
      <c r="G333" s="44" t="s">
        <v>281</v>
      </c>
      <c r="H333" s="44" t="s">
        <v>1094</v>
      </c>
      <c r="I333" s="48" t="s">
        <v>482</v>
      </c>
      <c r="J333" s="45">
        <v>42791</v>
      </c>
      <c r="K333" s="45">
        <v>42791</v>
      </c>
      <c r="L333" s="45"/>
    </row>
    <row r="334" spans="1:12" ht="18" customHeight="1">
      <c r="A334" s="43" t="s">
        <v>232</v>
      </c>
      <c r="B334" s="44" t="s">
        <v>233</v>
      </c>
      <c r="C334" s="44" t="s">
        <v>120</v>
      </c>
      <c r="D334" s="85">
        <v>10104947709</v>
      </c>
      <c r="E334" s="44" t="s">
        <v>333</v>
      </c>
      <c r="F334" s="44" t="s">
        <v>216</v>
      </c>
      <c r="G334" s="44" t="s">
        <v>281</v>
      </c>
      <c r="H334" s="44" t="s">
        <v>130</v>
      </c>
      <c r="I334" s="48" t="s">
        <v>482</v>
      </c>
      <c r="J334" s="45">
        <v>42791</v>
      </c>
      <c r="K334" s="45">
        <v>42791</v>
      </c>
      <c r="L334" s="45"/>
    </row>
    <row r="335" spans="1:12" ht="18" customHeight="1">
      <c r="A335" s="43" t="s">
        <v>232</v>
      </c>
      <c r="B335" s="44" t="s">
        <v>233</v>
      </c>
      <c r="C335" s="44" t="s">
        <v>120</v>
      </c>
      <c r="D335" s="85">
        <v>10104930707</v>
      </c>
      <c r="E335" s="44" t="s">
        <v>333</v>
      </c>
      <c r="F335" s="44" t="s">
        <v>216</v>
      </c>
      <c r="G335" s="44" t="s">
        <v>281</v>
      </c>
      <c r="H335" s="44" t="s">
        <v>130</v>
      </c>
      <c r="I335" s="48" t="s">
        <v>482</v>
      </c>
      <c r="J335" s="45">
        <v>42777</v>
      </c>
      <c r="K335" s="45">
        <v>42777</v>
      </c>
      <c r="L335" s="45"/>
    </row>
    <row r="336" spans="1:12" ht="18" customHeight="1">
      <c r="A336" s="43" t="s">
        <v>232</v>
      </c>
      <c r="B336" s="44" t="s">
        <v>233</v>
      </c>
      <c r="C336" s="44" t="s">
        <v>120</v>
      </c>
      <c r="D336" s="85">
        <v>10104930708</v>
      </c>
      <c r="E336" s="44" t="s">
        <v>1095</v>
      </c>
      <c r="F336" s="44" t="s">
        <v>216</v>
      </c>
      <c r="G336" s="44" t="s">
        <v>281</v>
      </c>
      <c r="H336" s="44" t="s">
        <v>129</v>
      </c>
      <c r="I336" s="48" t="s">
        <v>481</v>
      </c>
      <c r="J336" s="45">
        <v>42793</v>
      </c>
      <c r="K336" s="45">
        <v>42793</v>
      </c>
      <c r="L336" s="45"/>
    </row>
    <row r="337" spans="1:12" ht="18" customHeight="1">
      <c r="A337" s="43" t="s">
        <v>232</v>
      </c>
      <c r="B337" s="44" t="s">
        <v>233</v>
      </c>
      <c r="C337" s="44" t="s">
        <v>120</v>
      </c>
      <c r="D337" s="85">
        <v>10104938268</v>
      </c>
      <c r="E337" s="44" t="s">
        <v>1097</v>
      </c>
      <c r="F337" s="44" t="s">
        <v>216</v>
      </c>
      <c r="G337" s="44" t="s">
        <v>1098</v>
      </c>
      <c r="H337" s="44" t="s">
        <v>129</v>
      </c>
      <c r="I337" s="48" t="s">
        <v>481</v>
      </c>
      <c r="J337" s="45">
        <v>42787</v>
      </c>
      <c r="K337" s="45">
        <v>42787</v>
      </c>
      <c r="L337" s="45"/>
    </row>
    <row r="338" spans="1:12" ht="18" customHeight="1">
      <c r="A338" s="43" t="s">
        <v>232</v>
      </c>
      <c r="B338" s="44" t="s">
        <v>233</v>
      </c>
      <c r="C338" s="44" t="s">
        <v>120</v>
      </c>
      <c r="D338" s="85">
        <v>10104930777</v>
      </c>
      <c r="E338" s="44" t="s">
        <v>334</v>
      </c>
      <c r="F338" s="44" t="s">
        <v>596</v>
      </c>
      <c r="G338" s="44" t="s">
        <v>284</v>
      </c>
      <c r="H338" s="44" t="s">
        <v>76</v>
      </c>
      <c r="I338" s="48" t="s">
        <v>482</v>
      </c>
      <c r="J338" s="45">
        <v>42793</v>
      </c>
      <c r="K338" s="45">
        <v>42793</v>
      </c>
      <c r="L338" s="45"/>
    </row>
    <row r="339" spans="1:12" ht="18" customHeight="1">
      <c r="A339" s="43" t="s">
        <v>232</v>
      </c>
      <c r="B339" s="44" t="s">
        <v>233</v>
      </c>
      <c r="C339" s="44" t="s">
        <v>120</v>
      </c>
      <c r="D339" s="85">
        <v>10104895021</v>
      </c>
      <c r="E339" s="44" t="s">
        <v>1099</v>
      </c>
      <c r="F339" s="44" t="s">
        <v>890</v>
      </c>
      <c r="G339" s="44" t="s">
        <v>526</v>
      </c>
      <c r="H339" s="44" t="s">
        <v>703</v>
      </c>
      <c r="I339" s="48" t="s">
        <v>481</v>
      </c>
      <c r="J339" s="45">
        <v>42791</v>
      </c>
      <c r="K339" s="45">
        <v>42791</v>
      </c>
      <c r="L339" s="45"/>
    </row>
    <row r="340" spans="1:12" ht="18" customHeight="1">
      <c r="A340" s="43" t="s">
        <v>232</v>
      </c>
      <c r="B340" s="44" t="s">
        <v>233</v>
      </c>
      <c r="C340" s="44" t="s">
        <v>120</v>
      </c>
      <c r="D340" s="85">
        <v>10104923342</v>
      </c>
      <c r="E340" s="44" t="s">
        <v>335</v>
      </c>
      <c r="F340" s="44" t="s">
        <v>890</v>
      </c>
      <c r="G340" s="44" t="s">
        <v>286</v>
      </c>
      <c r="H340" s="44" t="s">
        <v>129</v>
      </c>
      <c r="I340" s="48" t="s">
        <v>481</v>
      </c>
      <c r="J340" s="45">
        <v>42787</v>
      </c>
      <c r="K340" s="45">
        <v>42787</v>
      </c>
      <c r="L340" s="45"/>
    </row>
    <row r="341" spans="1:12" ht="18" customHeight="1">
      <c r="A341" s="43" t="s">
        <v>232</v>
      </c>
      <c r="B341" s="44" t="s">
        <v>899</v>
      </c>
      <c r="C341" s="44" t="s">
        <v>120</v>
      </c>
      <c r="D341" s="85">
        <v>10104906890</v>
      </c>
      <c r="E341" s="44" t="s">
        <v>1100</v>
      </c>
      <c r="F341" s="44" t="s">
        <v>596</v>
      </c>
      <c r="G341" s="44" t="s">
        <v>286</v>
      </c>
      <c r="H341" s="44" t="s">
        <v>1101</v>
      </c>
      <c r="I341" s="48" t="s">
        <v>482</v>
      </c>
      <c r="J341" s="45">
        <v>42794</v>
      </c>
      <c r="K341" s="45">
        <v>42794</v>
      </c>
      <c r="L341" s="45"/>
    </row>
    <row r="342" spans="1:12" ht="18" customHeight="1">
      <c r="A342" s="43" t="s">
        <v>232</v>
      </c>
      <c r="B342" s="44" t="s">
        <v>233</v>
      </c>
      <c r="C342" s="44" t="s">
        <v>120</v>
      </c>
      <c r="D342" s="85">
        <v>10104780040</v>
      </c>
      <c r="E342" s="44" t="s">
        <v>1102</v>
      </c>
      <c r="F342" s="44" t="s">
        <v>216</v>
      </c>
      <c r="G342" s="44" t="s">
        <v>286</v>
      </c>
      <c r="H342" s="44" t="s">
        <v>868</v>
      </c>
      <c r="I342" s="48" t="s">
        <v>482</v>
      </c>
      <c r="J342" s="45">
        <v>42847</v>
      </c>
      <c r="K342" s="45">
        <v>42788</v>
      </c>
      <c r="L342" s="45"/>
    </row>
    <row r="343" spans="1:12" ht="18" customHeight="1">
      <c r="A343" s="43" t="s">
        <v>232</v>
      </c>
      <c r="B343" s="44" t="s">
        <v>233</v>
      </c>
      <c r="C343" s="44" t="s">
        <v>120</v>
      </c>
      <c r="D343" s="85">
        <v>10104847432</v>
      </c>
      <c r="E343" s="44" t="s">
        <v>1103</v>
      </c>
      <c r="F343" s="44" t="s">
        <v>216</v>
      </c>
      <c r="G343" s="44" t="s">
        <v>288</v>
      </c>
      <c r="H343" s="44" t="s">
        <v>1104</v>
      </c>
      <c r="I343" s="48" t="s">
        <v>482</v>
      </c>
      <c r="J343" s="45">
        <v>42777</v>
      </c>
      <c r="K343" s="45">
        <v>42777</v>
      </c>
      <c r="L343" s="45"/>
    </row>
    <row r="344" spans="1:12" ht="18" customHeight="1">
      <c r="A344" s="43" t="s">
        <v>232</v>
      </c>
      <c r="B344" s="44" t="s">
        <v>233</v>
      </c>
      <c r="C344" s="44" t="s">
        <v>120</v>
      </c>
      <c r="D344" s="85">
        <v>10104787069</v>
      </c>
      <c r="E344" s="44" t="s">
        <v>1105</v>
      </c>
      <c r="F344" s="44" t="s">
        <v>216</v>
      </c>
      <c r="G344" s="44" t="s">
        <v>288</v>
      </c>
      <c r="H344" s="44" t="s">
        <v>868</v>
      </c>
      <c r="I344" s="48" t="s">
        <v>482</v>
      </c>
      <c r="J344" s="45">
        <v>42834</v>
      </c>
      <c r="K344" s="45">
        <v>42775</v>
      </c>
      <c r="L344" s="45"/>
    </row>
    <row r="345" spans="1:12" ht="18" customHeight="1">
      <c r="A345" s="43" t="s">
        <v>232</v>
      </c>
      <c r="B345" s="44" t="s">
        <v>233</v>
      </c>
      <c r="C345" s="44" t="s">
        <v>120</v>
      </c>
      <c r="D345" s="85">
        <v>10104877050</v>
      </c>
      <c r="E345" s="44" t="s">
        <v>1106</v>
      </c>
      <c r="F345" s="44" t="s">
        <v>216</v>
      </c>
      <c r="G345" s="44" t="s">
        <v>290</v>
      </c>
      <c r="H345" s="44" t="s">
        <v>868</v>
      </c>
      <c r="I345" s="48" t="s">
        <v>482</v>
      </c>
      <c r="J345" s="45">
        <v>42794</v>
      </c>
      <c r="K345" s="45">
        <v>42794</v>
      </c>
      <c r="L345" s="45"/>
    </row>
    <row r="346" spans="1:12" ht="18" customHeight="1">
      <c r="A346" s="43" t="s">
        <v>232</v>
      </c>
      <c r="B346" s="44" t="s">
        <v>233</v>
      </c>
      <c r="C346" s="44" t="s">
        <v>120</v>
      </c>
      <c r="D346" s="85">
        <v>10104923343</v>
      </c>
      <c r="E346" s="44" t="s">
        <v>336</v>
      </c>
      <c r="F346" s="44" t="s">
        <v>890</v>
      </c>
      <c r="G346" s="44" t="s">
        <v>290</v>
      </c>
      <c r="H346" s="44" t="s">
        <v>129</v>
      </c>
      <c r="I346" s="48" t="s">
        <v>481</v>
      </c>
      <c r="J346" s="45">
        <v>42787</v>
      </c>
      <c r="K346" s="45">
        <v>42787</v>
      </c>
      <c r="L346" s="45"/>
    </row>
    <row r="347" spans="1:12" ht="18" customHeight="1">
      <c r="A347" s="43" t="s">
        <v>232</v>
      </c>
      <c r="B347" s="44" t="s">
        <v>899</v>
      </c>
      <c r="C347" s="44" t="s">
        <v>120</v>
      </c>
      <c r="D347" s="85">
        <v>10104906895</v>
      </c>
      <c r="E347" s="44" t="s">
        <v>1107</v>
      </c>
      <c r="F347" s="44" t="s">
        <v>596</v>
      </c>
      <c r="G347" s="44" t="s">
        <v>292</v>
      </c>
      <c r="H347" s="44" t="s">
        <v>131</v>
      </c>
      <c r="I347" s="48" t="s">
        <v>481</v>
      </c>
      <c r="J347" s="45">
        <v>42794</v>
      </c>
      <c r="K347" s="45">
        <v>42794</v>
      </c>
      <c r="L347" s="45"/>
    </row>
    <row r="348" spans="1:12" ht="18" customHeight="1">
      <c r="A348" s="43" t="s">
        <v>232</v>
      </c>
      <c r="B348" s="44" t="s">
        <v>233</v>
      </c>
      <c r="C348" s="44" t="s">
        <v>120</v>
      </c>
      <c r="D348" s="85">
        <v>10104911891</v>
      </c>
      <c r="E348" s="44" t="s">
        <v>337</v>
      </c>
      <c r="F348" s="44" t="s">
        <v>890</v>
      </c>
      <c r="G348" s="44" t="s">
        <v>294</v>
      </c>
      <c r="H348" s="44" t="s">
        <v>74</v>
      </c>
      <c r="I348" s="48" t="s">
        <v>481</v>
      </c>
      <c r="J348" s="45">
        <v>42777</v>
      </c>
      <c r="K348" s="45">
        <v>42777</v>
      </c>
      <c r="L348" s="45"/>
    </row>
    <row r="349" spans="1:12" ht="18" customHeight="1">
      <c r="A349" s="43" t="s">
        <v>232</v>
      </c>
      <c r="B349" s="44" t="s">
        <v>899</v>
      </c>
      <c r="C349" s="44" t="s">
        <v>120</v>
      </c>
      <c r="D349" s="85">
        <v>10104937022</v>
      </c>
      <c r="E349" s="44" t="s">
        <v>1110</v>
      </c>
      <c r="F349" s="44" t="s">
        <v>180</v>
      </c>
      <c r="G349" s="44" t="s">
        <v>297</v>
      </c>
      <c r="H349" s="44" t="s">
        <v>76</v>
      </c>
      <c r="I349" s="48" t="s">
        <v>482</v>
      </c>
      <c r="J349" s="45">
        <v>42789</v>
      </c>
      <c r="K349" s="45">
        <v>42789</v>
      </c>
      <c r="L349" s="45">
        <v>42782</v>
      </c>
    </row>
    <row r="350" spans="1:12" ht="18" customHeight="1">
      <c r="A350" s="43" t="s">
        <v>232</v>
      </c>
      <c r="B350" s="44" t="s">
        <v>899</v>
      </c>
      <c r="C350" s="44" t="s">
        <v>120</v>
      </c>
      <c r="D350" s="85">
        <v>10104878756</v>
      </c>
      <c r="E350" s="44" t="s">
        <v>1108</v>
      </c>
      <c r="F350" s="44" t="s">
        <v>180</v>
      </c>
      <c r="G350" s="44" t="s">
        <v>297</v>
      </c>
      <c r="H350" s="44" t="s">
        <v>76</v>
      </c>
      <c r="I350" s="48" t="s">
        <v>482</v>
      </c>
      <c r="J350" s="45">
        <v>42781</v>
      </c>
      <c r="K350" s="45">
        <v>42789</v>
      </c>
      <c r="L350" s="45">
        <v>42772</v>
      </c>
    </row>
    <row r="351" spans="1:12" ht="18" customHeight="1">
      <c r="A351" s="43" t="s">
        <v>232</v>
      </c>
      <c r="B351" s="44" t="s">
        <v>233</v>
      </c>
      <c r="C351" s="44" t="s">
        <v>120</v>
      </c>
      <c r="D351" s="85">
        <v>10104896296</v>
      </c>
      <c r="E351" s="44" t="s">
        <v>1109</v>
      </c>
      <c r="F351" s="44" t="s">
        <v>596</v>
      </c>
      <c r="G351" s="44" t="s">
        <v>297</v>
      </c>
      <c r="H351" s="44" t="s">
        <v>332</v>
      </c>
      <c r="I351" s="48" t="s">
        <v>482</v>
      </c>
      <c r="J351" s="45">
        <v>42794</v>
      </c>
      <c r="K351" s="45">
        <v>42794</v>
      </c>
      <c r="L351" s="45"/>
    </row>
    <row r="352" spans="1:12" ht="18" customHeight="1">
      <c r="A352" s="43" t="s">
        <v>232</v>
      </c>
      <c r="B352" s="44" t="s">
        <v>899</v>
      </c>
      <c r="C352" s="44" t="s">
        <v>120</v>
      </c>
      <c r="D352" s="85">
        <v>10104831825</v>
      </c>
      <c r="E352" s="44" t="s">
        <v>1111</v>
      </c>
      <c r="F352" s="44" t="s">
        <v>213</v>
      </c>
      <c r="G352" s="44" t="s">
        <v>1112</v>
      </c>
      <c r="H352" s="44" t="s">
        <v>250</v>
      </c>
      <c r="I352" s="48" t="s">
        <v>482</v>
      </c>
      <c r="J352" s="45">
        <v>42789</v>
      </c>
      <c r="K352" s="45">
        <v>42789</v>
      </c>
      <c r="L352" s="45">
        <v>42782</v>
      </c>
    </row>
    <row r="353" spans="1:12" ht="18" customHeight="1">
      <c r="A353" s="43" t="s">
        <v>232</v>
      </c>
      <c r="B353" s="44" t="s">
        <v>233</v>
      </c>
      <c r="C353" s="44" t="s">
        <v>120</v>
      </c>
      <c r="D353" s="85">
        <v>10104896290</v>
      </c>
      <c r="E353" s="44" t="s">
        <v>1113</v>
      </c>
      <c r="F353" s="44" t="s">
        <v>890</v>
      </c>
      <c r="G353" s="44" t="s">
        <v>301</v>
      </c>
      <c r="H353" s="44" t="s">
        <v>74</v>
      </c>
      <c r="I353" s="48" t="s">
        <v>481</v>
      </c>
      <c r="J353" s="45">
        <v>42767</v>
      </c>
      <c r="K353" s="45">
        <v>42767</v>
      </c>
      <c r="L353" s="45"/>
    </row>
    <row r="354" spans="1:12" ht="18" customHeight="1">
      <c r="A354" s="43" t="s">
        <v>232</v>
      </c>
      <c r="B354" s="44" t="s">
        <v>899</v>
      </c>
      <c r="C354" s="44" t="s">
        <v>120</v>
      </c>
      <c r="D354" s="85">
        <v>10104906893</v>
      </c>
      <c r="E354" s="44" t="s">
        <v>1114</v>
      </c>
      <c r="F354" s="44" t="s">
        <v>596</v>
      </c>
      <c r="G354" s="44" t="s">
        <v>308</v>
      </c>
      <c r="H354" s="44" t="s">
        <v>131</v>
      </c>
      <c r="I354" s="48" t="s">
        <v>481</v>
      </c>
      <c r="J354" s="45">
        <v>42794</v>
      </c>
      <c r="K354" s="45">
        <v>42794</v>
      </c>
      <c r="L354" s="45"/>
    </row>
    <row r="355" spans="1:12" ht="18" customHeight="1">
      <c r="A355" s="43" t="s">
        <v>232</v>
      </c>
      <c r="B355" s="44" t="s">
        <v>233</v>
      </c>
      <c r="C355" s="44" t="s">
        <v>120</v>
      </c>
      <c r="D355" s="85">
        <v>10104923349</v>
      </c>
      <c r="E355" s="44" t="s">
        <v>338</v>
      </c>
      <c r="F355" s="44" t="s">
        <v>890</v>
      </c>
      <c r="G355" s="44" t="s">
        <v>308</v>
      </c>
      <c r="H355" s="44" t="s">
        <v>129</v>
      </c>
      <c r="I355" s="48" t="s">
        <v>481</v>
      </c>
      <c r="J355" s="45">
        <v>42787</v>
      </c>
      <c r="K355" s="45">
        <v>42787</v>
      </c>
      <c r="L355" s="45"/>
    </row>
    <row r="356" spans="1:12" ht="18" customHeight="1">
      <c r="A356" s="43" t="s">
        <v>232</v>
      </c>
      <c r="B356" s="44" t="s">
        <v>233</v>
      </c>
      <c r="C356" s="44" t="s">
        <v>120</v>
      </c>
      <c r="D356" s="85">
        <v>10104871869</v>
      </c>
      <c r="E356" s="44" t="s">
        <v>1116</v>
      </c>
      <c r="F356" s="44" t="s">
        <v>890</v>
      </c>
      <c r="G356" s="44" t="s">
        <v>311</v>
      </c>
      <c r="H356" s="44" t="s">
        <v>703</v>
      </c>
      <c r="I356" s="48" t="s">
        <v>481</v>
      </c>
      <c r="J356" s="45">
        <v>42768</v>
      </c>
      <c r="K356" s="45">
        <v>42768</v>
      </c>
      <c r="L356" s="45"/>
    </row>
    <row r="357" spans="1:12" ht="18" customHeight="1">
      <c r="A357" s="43" t="s">
        <v>232</v>
      </c>
      <c r="B357" s="44" t="s">
        <v>899</v>
      </c>
      <c r="C357" s="44" t="s">
        <v>120</v>
      </c>
      <c r="D357" s="85">
        <v>10104906896</v>
      </c>
      <c r="E357" s="44" t="s">
        <v>339</v>
      </c>
      <c r="F357" s="44" t="s">
        <v>596</v>
      </c>
      <c r="G357" s="44" t="s">
        <v>311</v>
      </c>
      <c r="H357" s="44" t="s">
        <v>131</v>
      </c>
      <c r="I357" s="48" t="s">
        <v>481</v>
      </c>
      <c r="J357" s="45">
        <v>42794</v>
      </c>
      <c r="K357" s="45">
        <v>42794</v>
      </c>
      <c r="L357" s="45"/>
    </row>
    <row r="358" spans="1:12" ht="18" customHeight="1">
      <c r="A358" s="43" t="s">
        <v>232</v>
      </c>
      <c r="B358" s="44" t="s">
        <v>233</v>
      </c>
      <c r="C358" s="44" t="s">
        <v>120</v>
      </c>
      <c r="D358" s="85">
        <v>10104895030</v>
      </c>
      <c r="E358" s="44" t="s">
        <v>1118</v>
      </c>
      <c r="F358" s="44" t="s">
        <v>519</v>
      </c>
      <c r="G358" s="44" t="s">
        <v>311</v>
      </c>
      <c r="H358" s="44" t="s">
        <v>1094</v>
      </c>
      <c r="I358" s="48" t="s">
        <v>482</v>
      </c>
      <c r="J358" s="45">
        <v>42850</v>
      </c>
      <c r="K358" s="45">
        <v>42791</v>
      </c>
      <c r="L358" s="45"/>
    </row>
    <row r="359" spans="1:12" ht="18" customHeight="1">
      <c r="A359" s="43" t="s">
        <v>232</v>
      </c>
      <c r="B359" s="44" t="s">
        <v>233</v>
      </c>
      <c r="C359" s="44" t="s">
        <v>120</v>
      </c>
      <c r="D359" s="85">
        <v>10104915896</v>
      </c>
      <c r="E359" s="44" t="s">
        <v>1115</v>
      </c>
      <c r="F359" s="44" t="s">
        <v>890</v>
      </c>
      <c r="G359" s="44" t="s">
        <v>311</v>
      </c>
      <c r="H359" s="44" t="s">
        <v>129</v>
      </c>
      <c r="I359" s="48" t="s">
        <v>481</v>
      </c>
      <c r="J359" s="45">
        <v>42778</v>
      </c>
      <c r="K359" s="45">
        <v>42778</v>
      </c>
      <c r="L359" s="45"/>
    </row>
    <row r="360" spans="1:12" ht="18" customHeight="1">
      <c r="A360" s="43" t="s">
        <v>232</v>
      </c>
      <c r="B360" s="44" t="s">
        <v>233</v>
      </c>
      <c r="C360" s="44" t="s">
        <v>120</v>
      </c>
      <c r="D360" s="85">
        <v>10104906816</v>
      </c>
      <c r="E360" s="44" t="s">
        <v>1117</v>
      </c>
      <c r="F360" s="44" t="s">
        <v>890</v>
      </c>
      <c r="G360" s="44" t="s">
        <v>311</v>
      </c>
      <c r="H360" s="44" t="s">
        <v>129</v>
      </c>
      <c r="I360" s="48" t="s">
        <v>481</v>
      </c>
      <c r="J360" s="45">
        <v>42770</v>
      </c>
      <c r="K360" s="45">
        <v>42770</v>
      </c>
      <c r="L360" s="45"/>
    </row>
    <row r="361" spans="1:12" ht="18" customHeight="1">
      <c r="A361" s="43" t="s">
        <v>232</v>
      </c>
      <c r="B361" s="44" t="s">
        <v>233</v>
      </c>
      <c r="C361" s="44" t="s">
        <v>120</v>
      </c>
      <c r="D361" s="85">
        <v>10104906815</v>
      </c>
      <c r="E361" s="44" t="s">
        <v>1119</v>
      </c>
      <c r="F361" s="44" t="s">
        <v>890</v>
      </c>
      <c r="G361" s="44" t="s">
        <v>311</v>
      </c>
      <c r="H361" s="44" t="s">
        <v>129</v>
      </c>
      <c r="I361" s="48" t="s">
        <v>481</v>
      </c>
      <c r="J361" s="45">
        <v>42770</v>
      </c>
      <c r="K361" s="45">
        <v>42770</v>
      </c>
      <c r="L361" s="45"/>
    </row>
    <row r="362" spans="1:12" ht="18" customHeight="1">
      <c r="A362" s="43" t="s">
        <v>232</v>
      </c>
      <c r="B362" s="44" t="s">
        <v>233</v>
      </c>
      <c r="C362" s="44" t="s">
        <v>120</v>
      </c>
      <c r="D362" s="85">
        <v>10104753274</v>
      </c>
      <c r="E362" s="44" t="s">
        <v>1121</v>
      </c>
      <c r="F362" s="44" t="s">
        <v>891</v>
      </c>
      <c r="G362" s="44" t="s">
        <v>313</v>
      </c>
      <c r="H362" s="44" t="s">
        <v>129</v>
      </c>
      <c r="I362" s="48" t="s">
        <v>481</v>
      </c>
      <c r="J362" s="45">
        <v>42794</v>
      </c>
      <c r="K362" s="45">
        <v>42767</v>
      </c>
      <c r="L362" s="45"/>
    </row>
    <row r="363" spans="1:12" ht="18" customHeight="1">
      <c r="A363" s="43" t="s">
        <v>232</v>
      </c>
      <c r="B363" s="44" t="s">
        <v>233</v>
      </c>
      <c r="C363" s="44" t="s">
        <v>120</v>
      </c>
      <c r="D363" s="85">
        <v>10104895031</v>
      </c>
      <c r="E363" s="44" t="s">
        <v>1120</v>
      </c>
      <c r="F363" s="44" t="s">
        <v>519</v>
      </c>
      <c r="G363" s="44" t="s">
        <v>313</v>
      </c>
      <c r="H363" s="44" t="s">
        <v>1094</v>
      </c>
      <c r="I363" s="48" t="s">
        <v>482</v>
      </c>
      <c r="J363" s="45">
        <v>42850</v>
      </c>
      <c r="K363" s="45">
        <v>42791</v>
      </c>
      <c r="L363" s="45"/>
    </row>
    <row r="364" spans="1:12" ht="18" customHeight="1">
      <c r="A364" s="43" t="s">
        <v>232</v>
      </c>
      <c r="B364" s="44" t="s">
        <v>899</v>
      </c>
      <c r="C364" s="44" t="s">
        <v>120</v>
      </c>
      <c r="D364" s="85">
        <v>10104904658</v>
      </c>
      <c r="E364" s="44" t="s">
        <v>340</v>
      </c>
      <c r="F364" s="44" t="s">
        <v>596</v>
      </c>
      <c r="G364" s="44" t="s">
        <v>313</v>
      </c>
      <c r="H364" s="44" t="s">
        <v>332</v>
      </c>
      <c r="I364" s="48" t="s">
        <v>482</v>
      </c>
      <c r="J364" s="45">
        <v>42794</v>
      </c>
      <c r="K364" s="45">
        <v>42794</v>
      </c>
      <c r="L364" s="45"/>
    </row>
    <row r="365" spans="1:12" ht="18" customHeight="1">
      <c r="A365" s="43" t="s">
        <v>232</v>
      </c>
      <c r="B365" s="44" t="s">
        <v>899</v>
      </c>
      <c r="C365" s="44" t="s">
        <v>120</v>
      </c>
      <c r="D365" s="85">
        <v>10104930714</v>
      </c>
      <c r="E365" s="44" t="s">
        <v>1122</v>
      </c>
      <c r="F365" s="44" t="s">
        <v>890</v>
      </c>
      <c r="G365" s="44" t="s">
        <v>1123</v>
      </c>
      <c r="H365" s="44" t="s">
        <v>868</v>
      </c>
      <c r="I365" s="48" t="s">
        <v>482</v>
      </c>
      <c r="J365" s="45">
        <v>42790</v>
      </c>
      <c r="K365" s="45">
        <v>42790</v>
      </c>
      <c r="L365" s="45"/>
    </row>
    <row r="366" spans="1:12" ht="18" customHeight="1">
      <c r="A366" s="43" t="s">
        <v>232</v>
      </c>
      <c r="B366" s="44" t="s">
        <v>899</v>
      </c>
      <c r="C366" s="44" t="s">
        <v>120</v>
      </c>
      <c r="D366" s="85">
        <v>10104873729</v>
      </c>
      <c r="E366" s="44" t="s">
        <v>1124</v>
      </c>
      <c r="F366" s="44" t="s">
        <v>500</v>
      </c>
      <c r="G366" s="44" t="s">
        <v>433</v>
      </c>
      <c r="H366" s="44" t="s">
        <v>76</v>
      </c>
      <c r="I366" s="48" t="s">
        <v>482</v>
      </c>
      <c r="J366" s="45">
        <v>42785</v>
      </c>
      <c r="K366" s="45">
        <v>42785</v>
      </c>
      <c r="L366" s="45"/>
    </row>
    <row r="367" spans="1:12" ht="18" customHeight="1">
      <c r="A367" s="43" t="s">
        <v>232</v>
      </c>
      <c r="B367" s="44" t="s">
        <v>233</v>
      </c>
      <c r="C367" s="44" t="s">
        <v>120</v>
      </c>
      <c r="D367" s="85">
        <v>10104930816</v>
      </c>
      <c r="E367" s="44" t="s">
        <v>1125</v>
      </c>
      <c r="F367" s="44" t="s">
        <v>890</v>
      </c>
      <c r="G367" s="44" t="s">
        <v>1126</v>
      </c>
      <c r="H367" s="44" t="s">
        <v>250</v>
      </c>
      <c r="I367" s="48" t="s">
        <v>482</v>
      </c>
      <c r="J367" s="45">
        <v>42792</v>
      </c>
      <c r="K367" s="45">
        <v>42792</v>
      </c>
      <c r="L367" s="45"/>
    </row>
    <row r="368" spans="1:12" ht="18" customHeight="1">
      <c r="A368" s="43" t="s">
        <v>232</v>
      </c>
      <c r="B368" s="44" t="s">
        <v>233</v>
      </c>
      <c r="C368" s="44" t="s">
        <v>120</v>
      </c>
      <c r="D368" s="85">
        <v>10104936190</v>
      </c>
      <c r="E368" s="44" t="s">
        <v>1130</v>
      </c>
      <c r="F368" s="44" t="s">
        <v>216</v>
      </c>
      <c r="G368" s="44" t="s">
        <v>1128</v>
      </c>
      <c r="H368" s="44" t="s">
        <v>129</v>
      </c>
      <c r="I368" s="48" t="s">
        <v>481</v>
      </c>
      <c r="J368" s="45">
        <v>42792</v>
      </c>
      <c r="K368" s="45">
        <v>42792</v>
      </c>
      <c r="L368" s="45"/>
    </row>
    <row r="369" spans="1:12" ht="18" customHeight="1">
      <c r="A369" s="43" t="s">
        <v>232</v>
      </c>
      <c r="B369" s="44" t="s">
        <v>233</v>
      </c>
      <c r="C369" s="44" t="s">
        <v>120</v>
      </c>
      <c r="D369" s="85">
        <v>10104557660</v>
      </c>
      <c r="E369" s="44" t="s">
        <v>1129</v>
      </c>
      <c r="F369" s="44" t="s">
        <v>890</v>
      </c>
      <c r="G369" s="44" t="s">
        <v>1128</v>
      </c>
      <c r="H369" s="44" t="s">
        <v>703</v>
      </c>
      <c r="I369" s="48" t="s">
        <v>481</v>
      </c>
      <c r="J369" s="45">
        <v>42788</v>
      </c>
      <c r="K369" s="45">
        <v>42788</v>
      </c>
      <c r="L369" s="45"/>
    </row>
    <row r="370" spans="1:12" ht="18" customHeight="1">
      <c r="A370" s="43" t="s">
        <v>232</v>
      </c>
      <c r="B370" s="44" t="s">
        <v>233</v>
      </c>
      <c r="C370" s="44" t="s">
        <v>120</v>
      </c>
      <c r="D370" s="85">
        <v>10104936168</v>
      </c>
      <c r="E370" s="44" t="s">
        <v>1127</v>
      </c>
      <c r="F370" s="44" t="s">
        <v>180</v>
      </c>
      <c r="G370" s="44" t="s">
        <v>1128</v>
      </c>
      <c r="H370" s="44" t="s">
        <v>76</v>
      </c>
      <c r="I370" s="48" t="s">
        <v>482</v>
      </c>
      <c r="J370" s="45">
        <v>42794</v>
      </c>
      <c r="K370" s="45">
        <v>42795</v>
      </c>
      <c r="L370" s="45">
        <v>42795</v>
      </c>
    </row>
    <row r="371" spans="1:12" ht="18" customHeight="1">
      <c r="A371" s="43" t="s">
        <v>232</v>
      </c>
      <c r="B371" s="44" t="s">
        <v>233</v>
      </c>
      <c r="C371" s="44" t="s">
        <v>120</v>
      </c>
      <c r="D371" s="85">
        <v>10104936135</v>
      </c>
      <c r="E371" s="44" t="s">
        <v>1131</v>
      </c>
      <c r="F371" s="44" t="s">
        <v>180</v>
      </c>
      <c r="G371" s="44" t="s">
        <v>1128</v>
      </c>
      <c r="H371" s="44" t="s">
        <v>1132</v>
      </c>
      <c r="I371" s="48" t="s">
        <v>482</v>
      </c>
      <c r="J371" s="45">
        <v>42793</v>
      </c>
      <c r="K371" s="45">
        <v>42795</v>
      </c>
      <c r="L371" s="45">
        <v>42795</v>
      </c>
    </row>
    <row r="372" spans="1:12" ht="18" customHeight="1">
      <c r="A372" s="43" t="s">
        <v>232</v>
      </c>
      <c r="B372" s="44" t="s">
        <v>233</v>
      </c>
      <c r="C372" s="44" t="s">
        <v>120</v>
      </c>
      <c r="D372" s="85">
        <v>10104936177</v>
      </c>
      <c r="E372" s="44" t="s">
        <v>1133</v>
      </c>
      <c r="F372" s="44" t="s">
        <v>216</v>
      </c>
      <c r="G372" s="44" t="s">
        <v>1134</v>
      </c>
      <c r="H372" s="44" t="s">
        <v>74</v>
      </c>
      <c r="I372" s="48" t="s">
        <v>481</v>
      </c>
      <c r="J372" s="45">
        <v>42794</v>
      </c>
      <c r="K372" s="45">
        <v>42794</v>
      </c>
      <c r="L372" s="45"/>
    </row>
    <row r="373" spans="1:12" ht="18" customHeight="1">
      <c r="A373" s="43" t="s">
        <v>232</v>
      </c>
      <c r="B373" s="44" t="s">
        <v>233</v>
      </c>
      <c r="C373" s="44" t="s">
        <v>120</v>
      </c>
      <c r="D373" s="85">
        <v>10104936171</v>
      </c>
      <c r="E373" s="44" t="s">
        <v>1135</v>
      </c>
      <c r="F373" s="44" t="s">
        <v>216</v>
      </c>
      <c r="G373" s="44" t="s">
        <v>1136</v>
      </c>
      <c r="H373" s="44" t="s">
        <v>74</v>
      </c>
      <c r="I373" s="48" t="s">
        <v>481</v>
      </c>
      <c r="J373" s="45">
        <v>42794</v>
      </c>
      <c r="K373" s="45">
        <v>42794</v>
      </c>
      <c r="L373" s="45"/>
    </row>
    <row r="374" spans="1:12" ht="18" customHeight="1">
      <c r="A374" s="43" t="s">
        <v>232</v>
      </c>
      <c r="B374" s="44" t="s">
        <v>233</v>
      </c>
      <c r="C374" s="44" t="s">
        <v>120</v>
      </c>
      <c r="D374" s="85">
        <v>10104936178</v>
      </c>
      <c r="E374" s="44" t="s">
        <v>1137</v>
      </c>
      <c r="F374" s="44" t="s">
        <v>216</v>
      </c>
      <c r="G374" s="44" t="s">
        <v>1138</v>
      </c>
      <c r="H374" s="44" t="s">
        <v>74</v>
      </c>
      <c r="I374" s="48" t="s">
        <v>481</v>
      </c>
      <c r="J374" s="45">
        <v>42794</v>
      </c>
      <c r="K374" s="45">
        <v>42794</v>
      </c>
      <c r="L374" s="45"/>
    </row>
    <row r="375" spans="1:12" ht="18" customHeight="1">
      <c r="A375" s="43" t="s">
        <v>232</v>
      </c>
      <c r="B375" s="44" t="s">
        <v>233</v>
      </c>
      <c r="C375" s="44" t="s">
        <v>120</v>
      </c>
      <c r="D375" s="85">
        <v>10104936161</v>
      </c>
      <c r="E375" s="44" t="s">
        <v>1139</v>
      </c>
      <c r="F375" s="44" t="s">
        <v>180</v>
      </c>
      <c r="G375" s="44" t="s">
        <v>1140</v>
      </c>
      <c r="H375" s="44" t="s">
        <v>76</v>
      </c>
      <c r="I375" s="48" t="s">
        <v>482</v>
      </c>
      <c r="J375" s="45">
        <v>42794</v>
      </c>
      <c r="K375" s="45">
        <v>42795</v>
      </c>
      <c r="L375" s="45">
        <v>42795</v>
      </c>
    </row>
    <row r="376" spans="1:12" ht="18" customHeight="1">
      <c r="A376" s="43" t="s">
        <v>232</v>
      </c>
      <c r="B376" s="44" t="s">
        <v>233</v>
      </c>
      <c r="C376" s="44" t="s">
        <v>120</v>
      </c>
      <c r="D376" s="85">
        <v>10104936179</v>
      </c>
      <c r="E376" s="44" t="s">
        <v>1141</v>
      </c>
      <c r="F376" s="44" t="s">
        <v>216</v>
      </c>
      <c r="G376" s="44" t="s">
        <v>1140</v>
      </c>
      <c r="H376" s="44" t="s">
        <v>74</v>
      </c>
      <c r="I376" s="48" t="s">
        <v>481</v>
      </c>
      <c r="J376" s="45">
        <v>42794</v>
      </c>
      <c r="K376" s="45">
        <v>42794</v>
      </c>
      <c r="L376" s="45"/>
    </row>
    <row r="377" spans="1:12" ht="18" customHeight="1">
      <c r="A377" s="43" t="s">
        <v>232</v>
      </c>
      <c r="B377" s="44" t="s">
        <v>233</v>
      </c>
      <c r="C377" s="44" t="s">
        <v>120</v>
      </c>
      <c r="D377" s="85">
        <v>10104936137</v>
      </c>
      <c r="E377" s="44" t="s">
        <v>1142</v>
      </c>
      <c r="F377" s="44" t="s">
        <v>213</v>
      </c>
      <c r="G377" s="44" t="s">
        <v>1143</v>
      </c>
      <c r="H377" s="44" t="s">
        <v>76</v>
      </c>
      <c r="I377" s="48" t="s">
        <v>482</v>
      </c>
      <c r="J377" s="45">
        <v>42794</v>
      </c>
      <c r="K377" s="45">
        <v>42795</v>
      </c>
      <c r="L377" s="45">
        <v>42795</v>
      </c>
    </row>
    <row r="378" spans="1:12" ht="18" customHeight="1">
      <c r="A378" s="43" t="s">
        <v>232</v>
      </c>
      <c r="B378" s="44" t="s">
        <v>233</v>
      </c>
      <c r="C378" s="44" t="s">
        <v>120</v>
      </c>
      <c r="D378" s="85">
        <v>10104936193</v>
      </c>
      <c r="E378" s="44" t="s">
        <v>1144</v>
      </c>
      <c r="F378" s="44" t="s">
        <v>216</v>
      </c>
      <c r="G378" s="44" t="s">
        <v>1143</v>
      </c>
      <c r="H378" s="44" t="s">
        <v>74</v>
      </c>
      <c r="I378" s="48" t="s">
        <v>481</v>
      </c>
      <c r="J378" s="45">
        <v>42794</v>
      </c>
      <c r="K378" s="45">
        <v>42794</v>
      </c>
      <c r="L378" s="45"/>
    </row>
    <row r="379" spans="1:12" ht="18" customHeight="1">
      <c r="A379" s="43" t="s">
        <v>232</v>
      </c>
      <c r="B379" s="44" t="s">
        <v>233</v>
      </c>
      <c r="C379" s="44" t="s">
        <v>120</v>
      </c>
      <c r="D379" s="85">
        <v>10104936181</v>
      </c>
      <c r="E379" s="44" t="s">
        <v>1145</v>
      </c>
      <c r="F379" s="44" t="s">
        <v>216</v>
      </c>
      <c r="G379" s="44" t="s">
        <v>1146</v>
      </c>
      <c r="H379" s="44" t="s">
        <v>74</v>
      </c>
      <c r="I379" s="48" t="s">
        <v>481</v>
      </c>
      <c r="J379" s="45">
        <v>42794</v>
      </c>
      <c r="K379" s="45">
        <v>42794</v>
      </c>
      <c r="L379" s="45"/>
    </row>
    <row r="380" spans="1:12" ht="18" customHeight="1">
      <c r="A380" s="43" t="s">
        <v>232</v>
      </c>
      <c r="B380" s="44" t="s">
        <v>233</v>
      </c>
      <c r="C380" s="44" t="s">
        <v>120</v>
      </c>
      <c r="D380" s="85">
        <v>10104936174</v>
      </c>
      <c r="E380" s="44" t="s">
        <v>1147</v>
      </c>
      <c r="F380" s="44" t="s">
        <v>216</v>
      </c>
      <c r="G380" s="44" t="s">
        <v>1148</v>
      </c>
      <c r="H380" s="44" t="s">
        <v>74</v>
      </c>
      <c r="I380" s="48" t="s">
        <v>481</v>
      </c>
      <c r="J380" s="45">
        <v>42794</v>
      </c>
      <c r="K380" s="45">
        <v>42794</v>
      </c>
      <c r="L380" s="45"/>
    </row>
    <row r="381" spans="1:12" ht="18" customHeight="1">
      <c r="A381" s="43" t="s">
        <v>232</v>
      </c>
      <c r="B381" s="44" t="s">
        <v>233</v>
      </c>
      <c r="C381" s="44" t="s">
        <v>120</v>
      </c>
      <c r="D381" s="85">
        <v>10104936182</v>
      </c>
      <c r="E381" s="44" t="s">
        <v>1149</v>
      </c>
      <c r="F381" s="44" t="s">
        <v>216</v>
      </c>
      <c r="G381" s="44" t="s">
        <v>1150</v>
      </c>
      <c r="H381" s="44" t="s">
        <v>74</v>
      </c>
      <c r="I381" s="48" t="s">
        <v>481</v>
      </c>
      <c r="J381" s="45">
        <v>42794</v>
      </c>
      <c r="K381" s="45">
        <v>42794</v>
      </c>
      <c r="L381" s="45"/>
    </row>
    <row r="382" spans="1:12" ht="18" customHeight="1">
      <c r="A382" s="43" t="s">
        <v>232</v>
      </c>
      <c r="B382" s="44" t="s">
        <v>233</v>
      </c>
      <c r="C382" s="44" t="s">
        <v>120</v>
      </c>
      <c r="D382" s="85">
        <v>10104936163</v>
      </c>
      <c r="E382" s="44" t="s">
        <v>1153</v>
      </c>
      <c r="F382" s="44" t="s">
        <v>180</v>
      </c>
      <c r="G382" s="44" t="s">
        <v>1152</v>
      </c>
      <c r="H382" s="44" t="s">
        <v>76</v>
      </c>
      <c r="I382" s="48" t="s">
        <v>482</v>
      </c>
      <c r="J382" s="45">
        <v>42794</v>
      </c>
      <c r="K382" s="45">
        <v>42795</v>
      </c>
      <c r="L382" s="45">
        <v>42795</v>
      </c>
    </row>
    <row r="383" spans="1:12" ht="18" customHeight="1">
      <c r="A383" s="43" t="s">
        <v>232</v>
      </c>
      <c r="B383" s="44" t="s">
        <v>233</v>
      </c>
      <c r="C383" s="44" t="s">
        <v>120</v>
      </c>
      <c r="D383" s="85">
        <v>10104936183</v>
      </c>
      <c r="E383" s="44" t="s">
        <v>1151</v>
      </c>
      <c r="F383" s="44" t="s">
        <v>216</v>
      </c>
      <c r="G383" s="44" t="s">
        <v>1152</v>
      </c>
      <c r="H383" s="44" t="s">
        <v>74</v>
      </c>
      <c r="I383" s="48" t="s">
        <v>481</v>
      </c>
      <c r="J383" s="45">
        <v>42794</v>
      </c>
      <c r="K383" s="45">
        <v>42794</v>
      </c>
      <c r="L383" s="45"/>
    </row>
    <row r="384" spans="1:12" ht="18" customHeight="1">
      <c r="A384" s="43" t="s">
        <v>232</v>
      </c>
      <c r="B384" s="44" t="s">
        <v>233</v>
      </c>
      <c r="C384" s="44" t="s">
        <v>120</v>
      </c>
      <c r="D384" s="85">
        <v>10104936192</v>
      </c>
      <c r="E384" s="44" t="s">
        <v>1154</v>
      </c>
      <c r="F384" s="44" t="s">
        <v>216</v>
      </c>
      <c r="G384" s="44" t="s">
        <v>1155</v>
      </c>
      <c r="H384" s="44" t="s">
        <v>74</v>
      </c>
      <c r="I384" s="48" t="s">
        <v>481</v>
      </c>
      <c r="J384" s="45">
        <v>42794</v>
      </c>
      <c r="K384" s="45">
        <v>42794</v>
      </c>
      <c r="L384" s="45"/>
    </row>
    <row r="385" spans="1:12" ht="18" customHeight="1">
      <c r="A385" s="43" t="s">
        <v>232</v>
      </c>
      <c r="B385" s="44" t="s">
        <v>233</v>
      </c>
      <c r="C385" s="44" t="s">
        <v>120</v>
      </c>
      <c r="D385" s="85">
        <v>10104936184</v>
      </c>
      <c r="E385" s="44" t="s">
        <v>1156</v>
      </c>
      <c r="F385" s="44" t="s">
        <v>216</v>
      </c>
      <c r="G385" s="44" t="s">
        <v>1157</v>
      </c>
      <c r="H385" s="44" t="s">
        <v>74</v>
      </c>
      <c r="I385" s="48" t="s">
        <v>481</v>
      </c>
      <c r="J385" s="45">
        <v>42794</v>
      </c>
      <c r="K385" s="45">
        <v>42794</v>
      </c>
      <c r="L385" s="45"/>
    </row>
    <row r="386" spans="1:12" ht="18" customHeight="1">
      <c r="A386" s="43" t="s">
        <v>232</v>
      </c>
      <c r="B386" s="44" t="s">
        <v>233</v>
      </c>
      <c r="C386" s="44" t="s">
        <v>120</v>
      </c>
      <c r="D386" s="85">
        <v>10104936195</v>
      </c>
      <c r="E386" s="44" t="s">
        <v>1158</v>
      </c>
      <c r="F386" s="44" t="s">
        <v>216</v>
      </c>
      <c r="G386" s="44" t="s">
        <v>1159</v>
      </c>
      <c r="H386" s="44" t="s">
        <v>74</v>
      </c>
      <c r="I386" s="48" t="s">
        <v>481</v>
      </c>
      <c r="J386" s="45">
        <v>42794</v>
      </c>
      <c r="K386" s="45">
        <v>42794</v>
      </c>
      <c r="L386" s="45"/>
    </row>
    <row r="387" spans="1:12" ht="18" customHeight="1">
      <c r="A387" s="43" t="s">
        <v>232</v>
      </c>
      <c r="B387" s="44" t="s">
        <v>233</v>
      </c>
      <c r="C387" s="44" t="s">
        <v>120</v>
      </c>
      <c r="D387" s="85">
        <v>10104936196</v>
      </c>
      <c r="E387" s="44" t="s">
        <v>1160</v>
      </c>
      <c r="F387" s="44" t="s">
        <v>216</v>
      </c>
      <c r="G387" s="44" t="s">
        <v>1161</v>
      </c>
      <c r="H387" s="44" t="s">
        <v>74</v>
      </c>
      <c r="I387" s="48" t="s">
        <v>481</v>
      </c>
      <c r="J387" s="45">
        <v>42794</v>
      </c>
      <c r="K387" s="45">
        <v>42794</v>
      </c>
      <c r="L387" s="45"/>
    </row>
    <row r="388" spans="1:12" ht="18" customHeight="1">
      <c r="A388" s="43" t="s">
        <v>232</v>
      </c>
      <c r="B388" s="44" t="s">
        <v>233</v>
      </c>
      <c r="C388" s="44" t="s">
        <v>120</v>
      </c>
      <c r="D388" s="85">
        <v>10104936185</v>
      </c>
      <c r="E388" s="44" t="s">
        <v>1162</v>
      </c>
      <c r="F388" s="44" t="s">
        <v>216</v>
      </c>
      <c r="G388" s="44" t="s">
        <v>1163</v>
      </c>
      <c r="H388" s="44" t="s">
        <v>74</v>
      </c>
      <c r="I388" s="48" t="s">
        <v>481</v>
      </c>
      <c r="J388" s="45">
        <v>42794</v>
      </c>
      <c r="K388" s="45">
        <v>42794</v>
      </c>
      <c r="L388" s="45"/>
    </row>
    <row r="389" spans="1:12" ht="18" customHeight="1">
      <c r="A389" s="43" t="s">
        <v>232</v>
      </c>
      <c r="B389" s="44" t="s">
        <v>233</v>
      </c>
      <c r="C389" s="44" t="s">
        <v>120</v>
      </c>
      <c r="D389" s="85">
        <v>10104936187</v>
      </c>
      <c r="E389" s="44" t="s">
        <v>1166</v>
      </c>
      <c r="F389" s="44" t="s">
        <v>216</v>
      </c>
      <c r="G389" s="44" t="s">
        <v>1165</v>
      </c>
      <c r="H389" s="44" t="s">
        <v>74</v>
      </c>
      <c r="I389" s="48" t="s">
        <v>481</v>
      </c>
      <c r="J389" s="45">
        <v>42794</v>
      </c>
      <c r="K389" s="45">
        <v>42794</v>
      </c>
      <c r="L389" s="45"/>
    </row>
    <row r="390" spans="1:12" ht="18" customHeight="1">
      <c r="A390" s="43" t="s">
        <v>232</v>
      </c>
      <c r="B390" s="44" t="s">
        <v>233</v>
      </c>
      <c r="C390" s="44" t="s">
        <v>120</v>
      </c>
      <c r="D390" s="85">
        <v>10104936160</v>
      </c>
      <c r="E390" s="44" t="s">
        <v>1164</v>
      </c>
      <c r="F390" s="44" t="s">
        <v>213</v>
      </c>
      <c r="G390" s="44" t="s">
        <v>1165</v>
      </c>
      <c r="H390" s="44" t="s">
        <v>130</v>
      </c>
      <c r="I390" s="48" t="s">
        <v>482</v>
      </c>
      <c r="J390" s="45">
        <v>42794</v>
      </c>
      <c r="K390" s="45">
        <v>42795</v>
      </c>
      <c r="L390" s="45">
        <v>42795</v>
      </c>
    </row>
    <row r="391" spans="1:12" ht="18" customHeight="1">
      <c r="A391" s="43" t="s">
        <v>232</v>
      </c>
      <c r="B391" s="44" t="s">
        <v>233</v>
      </c>
      <c r="C391" s="44" t="s">
        <v>120</v>
      </c>
      <c r="D391" s="85">
        <v>10104936164</v>
      </c>
      <c r="E391" s="44" t="s">
        <v>1169</v>
      </c>
      <c r="F391" s="44" t="s">
        <v>213</v>
      </c>
      <c r="G391" s="44" t="s">
        <v>1168</v>
      </c>
      <c r="H391" s="44" t="s">
        <v>76</v>
      </c>
      <c r="I391" s="48" t="s">
        <v>482</v>
      </c>
      <c r="J391" s="45">
        <v>42794</v>
      </c>
      <c r="K391" s="45">
        <v>42795</v>
      </c>
      <c r="L391" s="45">
        <v>42795</v>
      </c>
    </row>
    <row r="392" spans="1:12" ht="18" customHeight="1">
      <c r="A392" s="43" t="s">
        <v>232</v>
      </c>
      <c r="B392" s="44" t="s">
        <v>233</v>
      </c>
      <c r="C392" s="44" t="s">
        <v>120</v>
      </c>
      <c r="D392" s="85">
        <v>10104936173</v>
      </c>
      <c r="E392" s="44" t="s">
        <v>1167</v>
      </c>
      <c r="F392" s="44" t="s">
        <v>216</v>
      </c>
      <c r="G392" s="44" t="s">
        <v>1168</v>
      </c>
      <c r="H392" s="44" t="s">
        <v>74</v>
      </c>
      <c r="I392" s="48" t="s">
        <v>481</v>
      </c>
      <c r="J392" s="45">
        <v>42794</v>
      </c>
      <c r="K392" s="45">
        <v>42794</v>
      </c>
      <c r="L392" s="45"/>
    </row>
    <row r="393" spans="1:12" ht="18" customHeight="1">
      <c r="A393" s="43" t="s">
        <v>232</v>
      </c>
      <c r="B393" s="44" t="s">
        <v>233</v>
      </c>
      <c r="C393" s="44" t="s">
        <v>120</v>
      </c>
      <c r="D393" s="85">
        <v>10104936186</v>
      </c>
      <c r="E393" s="44" t="s">
        <v>1170</v>
      </c>
      <c r="F393" s="44" t="s">
        <v>216</v>
      </c>
      <c r="G393" s="44" t="s">
        <v>1171</v>
      </c>
      <c r="H393" s="44" t="s">
        <v>74</v>
      </c>
      <c r="I393" s="48" t="s">
        <v>481</v>
      </c>
      <c r="J393" s="45">
        <v>42794</v>
      </c>
      <c r="K393" s="45">
        <v>42794</v>
      </c>
      <c r="L393" s="45"/>
    </row>
    <row r="394" spans="1:12" ht="18" customHeight="1">
      <c r="A394" s="43" t="s">
        <v>232</v>
      </c>
      <c r="B394" s="44" t="s">
        <v>233</v>
      </c>
      <c r="C394" s="44" t="s">
        <v>120</v>
      </c>
      <c r="D394" s="85">
        <v>10104936191</v>
      </c>
      <c r="E394" s="44" t="s">
        <v>1172</v>
      </c>
      <c r="F394" s="44" t="s">
        <v>216</v>
      </c>
      <c r="G394" s="44" t="s">
        <v>452</v>
      </c>
      <c r="H394" s="44" t="s">
        <v>74</v>
      </c>
      <c r="I394" s="48" t="s">
        <v>481</v>
      </c>
      <c r="J394" s="45">
        <v>42794</v>
      </c>
      <c r="K394" s="45">
        <v>42794</v>
      </c>
      <c r="L394" s="45"/>
    </row>
    <row r="395" spans="1:12" ht="18" customHeight="1">
      <c r="A395" s="43" t="s">
        <v>232</v>
      </c>
      <c r="B395" s="44" t="s">
        <v>233</v>
      </c>
      <c r="C395" s="44" t="s">
        <v>120</v>
      </c>
      <c r="D395" s="85">
        <v>10104506098</v>
      </c>
      <c r="E395" s="44" t="s">
        <v>1175</v>
      </c>
      <c r="F395" s="44" t="s">
        <v>890</v>
      </c>
      <c r="G395" s="44" t="s">
        <v>1174</v>
      </c>
      <c r="H395" s="44" t="s">
        <v>703</v>
      </c>
      <c r="I395" s="48" t="s">
        <v>481</v>
      </c>
      <c r="J395" s="45">
        <v>42788</v>
      </c>
      <c r="K395" s="45">
        <v>42788</v>
      </c>
      <c r="L395" s="45"/>
    </row>
    <row r="396" spans="1:12" ht="18" customHeight="1">
      <c r="A396" s="43" t="s">
        <v>232</v>
      </c>
      <c r="B396" s="44" t="s">
        <v>233</v>
      </c>
      <c r="C396" s="44" t="s">
        <v>120</v>
      </c>
      <c r="D396" s="85">
        <v>10104936189</v>
      </c>
      <c r="E396" s="44" t="s">
        <v>1173</v>
      </c>
      <c r="F396" s="44" t="s">
        <v>216</v>
      </c>
      <c r="G396" s="44" t="s">
        <v>1174</v>
      </c>
      <c r="H396" s="44" t="s">
        <v>129</v>
      </c>
      <c r="I396" s="48" t="s">
        <v>481</v>
      </c>
      <c r="J396" s="45">
        <v>42793</v>
      </c>
      <c r="K396" s="45">
        <v>42793</v>
      </c>
      <c r="L396" s="45"/>
    </row>
    <row r="397" spans="1:12" ht="18" customHeight="1">
      <c r="A397" s="43" t="s">
        <v>232</v>
      </c>
      <c r="B397" s="44" t="s">
        <v>233</v>
      </c>
      <c r="C397" s="44" t="s">
        <v>120</v>
      </c>
      <c r="D397" s="85">
        <v>10104506100</v>
      </c>
      <c r="E397" s="44" t="s">
        <v>1176</v>
      </c>
      <c r="F397" s="44" t="s">
        <v>216</v>
      </c>
      <c r="G397" s="44" t="s">
        <v>1177</v>
      </c>
      <c r="H397" s="44" t="s">
        <v>129</v>
      </c>
      <c r="I397" s="48" t="s">
        <v>481</v>
      </c>
      <c r="J397" s="45">
        <v>42788</v>
      </c>
      <c r="K397" s="45">
        <v>42788</v>
      </c>
      <c r="L397" s="45"/>
    </row>
    <row r="398" spans="1:12" ht="18" customHeight="1">
      <c r="A398" s="43" t="s">
        <v>232</v>
      </c>
      <c r="B398" s="44" t="s">
        <v>233</v>
      </c>
      <c r="C398" s="44" t="s">
        <v>120</v>
      </c>
      <c r="D398" s="85">
        <v>10104936188</v>
      </c>
      <c r="E398" s="44" t="s">
        <v>1178</v>
      </c>
      <c r="F398" s="44" t="s">
        <v>216</v>
      </c>
      <c r="G398" s="44" t="s">
        <v>1177</v>
      </c>
      <c r="H398" s="44" t="s">
        <v>130</v>
      </c>
      <c r="I398" s="48" t="s">
        <v>482</v>
      </c>
      <c r="J398" s="45">
        <v>42793</v>
      </c>
      <c r="K398" s="45">
        <v>42793</v>
      </c>
      <c r="L398" s="45"/>
    </row>
    <row r="399" spans="1:12" ht="18" customHeight="1">
      <c r="A399" s="43" t="s">
        <v>232</v>
      </c>
      <c r="B399" s="44" t="s">
        <v>233</v>
      </c>
      <c r="C399" s="44" t="s">
        <v>120</v>
      </c>
      <c r="D399" s="85">
        <v>10104936165</v>
      </c>
      <c r="E399" s="44" t="s">
        <v>1179</v>
      </c>
      <c r="F399" s="44" t="s">
        <v>890</v>
      </c>
      <c r="G399" s="44" t="s">
        <v>1180</v>
      </c>
      <c r="H399" s="44" t="s">
        <v>76</v>
      </c>
      <c r="I399" s="48" t="s">
        <v>482</v>
      </c>
      <c r="J399" s="45">
        <v>42793</v>
      </c>
      <c r="K399" s="45">
        <v>42793</v>
      </c>
      <c r="L399" s="45"/>
    </row>
    <row r="400" spans="1:12" ht="18" customHeight="1">
      <c r="A400" s="43" t="s">
        <v>232</v>
      </c>
      <c r="B400" s="44" t="s">
        <v>899</v>
      </c>
      <c r="C400" s="44" t="s">
        <v>120</v>
      </c>
      <c r="D400" s="85">
        <v>10104904607</v>
      </c>
      <c r="E400" s="44" t="s">
        <v>1181</v>
      </c>
      <c r="F400" s="44" t="s">
        <v>216</v>
      </c>
      <c r="G400" s="44" t="s">
        <v>705</v>
      </c>
      <c r="H400" s="44" t="s">
        <v>332</v>
      </c>
      <c r="I400" s="48" t="s">
        <v>482</v>
      </c>
      <c r="J400" s="45">
        <v>42794</v>
      </c>
      <c r="K400" s="45">
        <v>42794</v>
      </c>
      <c r="L400" s="45"/>
    </row>
    <row r="401" spans="1:12" ht="18" customHeight="1">
      <c r="A401" s="43" t="s">
        <v>232</v>
      </c>
      <c r="B401" s="44" t="s">
        <v>233</v>
      </c>
      <c r="C401" s="44" t="s">
        <v>120</v>
      </c>
      <c r="D401" s="85">
        <v>10104918684</v>
      </c>
      <c r="E401" s="44" t="s">
        <v>704</v>
      </c>
      <c r="F401" s="44" t="s">
        <v>890</v>
      </c>
      <c r="G401" s="44" t="s">
        <v>705</v>
      </c>
      <c r="H401" s="44" t="s">
        <v>122</v>
      </c>
      <c r="I401" s="48" t="s">
        <v>483</v>
      </c>
      <c r="J401" s="45">
        <v>42794</v>
      </c>
      <c r="K401" s="45">
        <v>42767</v>
      </c>
      <c r="L401" s="45"/>
    </row>
    <row r="402" spans="1:12" ht="18" customHeight="1">
      <c r="A402" s="43" t="s">
        <v>232</v>
      </c>
      <c r="B402" s="44" t="s">
        <v>899</v>
      </c>
      <c r="C402" s="44" t="s">
        <v>120</v>
      </c>
      <c r="D402" s="85">
        <v>10104866414</v>
      </c>
      <c r="E402" s="44" t="s">
        <v>1182</v>
      </c>
      <c r="F402" s="44" t="s">
        <v>213</v>
      </c>
      <c r="G402" s="44" t="s">
        <v>317</v>
      </c>
      <c r="H402" s="44" t="s">
        <v>130</v>
      </c>
      <c r="I402" s="48" t="s">
        <v>482</v>
      </c>
      <c r="J402" s="45">
        <v>42775</v>
      </c>
      <c r="K402" s="45">
        <v>42775</v>
      </c>
      <c r="L402" s="45">
        <v>42767</v>
      </c>
    </row>
    <row r="403" spans="1:12" ht="18" customHeight="1">
      <c r="A403" s="43" t="s">
        <v>232</v>
      </c>
      <c r="B403" s="44" t="s">
        <v>233</v>
      </c>
      <c r="C403" s="44" t="s">
        <v>120</v>
      </c>
      <c r="D403" s="85">
        <v>10104899217</v>
      </c>
      <c r="E403" s="44" t="s">
        <v>706</v>
      </c>
      <c r="F403" s="44" t="s">
        <v>1183</v>
      </c>
      <c r="G403" s="44" t="s">
        <v>319</v>
      </c>
      <c r="H403" s="44" t="s">
        <v>129</v>
      </c>
      <c r="I403" s="48" t="s">
        <v>481</v>
      </c>
      <c r="J403" s="45">
        <v>42775</v>
      </c>
      <c r="K403" s="45">
        <v>42767</v>
      </c>
      <c r="L403" s="45">
        <v>42767</v>
      </c>
    </row>
    <row r="404" spans="1:12" ht="18" customHeight="1">
      <c r="A404" s="43" t="s">
        <v>232</v>
      </c>
      <c r="B404" s="44" t="s">
        <v>899</v>
      </c>
      <c r="C404" s="44" t="s">
        <v>120</v>
      </c>
      <c r="D404" s="85">
        <v>10104921309</v>
      </c>
      <c r="E404" s="44" t="s">
        <v>1184</v>
      </c>
      <c r="F404" s="44" t="s">
        <v>213</v>
      </c>
      <c r="G404" s="44" t="s">
        <v>1185</v>
      </c>
      <c r="H404" s="44" t="s">
        <v>130</v>
      </c>
      <c r="I404" s="48" t="s">
        <v>482</v>
      </c>
      <c r="J404" s="45">
        <v>42775</v>
      </c>
      <c r="K404" s="45">
        <v>42775</v>
      </c>
      <c r="L404" s="45">
        <v>42767</v>
      </c>
    </row>
    <row r="405" spans="1:12" ht="18" customHeight="1">
      <c r="A405" s="43" t="s">
        <v>232</v>
      </c>
      <c r="B405" s="44" t="s">
        <v>233</v>
      </c>
      <c r="C405" s="44" t="s">
        <v>120</v>
      </c>
      <c r="D405" s="85">
        <v>10104904608</v>
      </c>
      <c r="E405" s="44" t="s">
        <v>1186</v>
      </c>
      <c r="F405" s="44" t="s">
        <v>519</v>
      </c>
      <c r="G405" s="44" t="s">
        <v>894</v>
      </c>
      <c r="H405" s="44" t="s">
        <v>76</v>
      </c>
      <c r="I405" s="48" t="s">
        <v>482</v>
      </c>
      <c r="J405" s="45">
        <v>42772</v>
      </c>
      <c r="K405" s="45">
        <v>42772</v>
      </c>
      <c r="L405" s="45"/>
    </row>
    <row r="406" spans="1:12" ht="18" customHeight="1">
      <c r="A406" s="43" t="s">
        <v>232</v>
      </c>
      <c r="B406" s="44" t="s">
        <v>233</v>
      </c>
      <c r="C406" s="44" t="s">
        <v>120</v>
      </c>
      <c r="D406" s="85">
        <v>10104899218</v>
      </c>
      <c r="E406" s="44" t="s">
        <v>341</v>
      </c>
      <c r="F406" s="44" t="s">
        <v>222</v>
      </c>
      <c r="G406" s="44" t="s">
        <v>321</v>
      </c>
      <c r="H406" s="44" t="s">
        <v>129</v>
      </c>
      <c r="I406" s="48" t="s">
        <v>481</v>
      </c>
      <c r="J406" s="45">
        <v>42770</v>
      </c>
      <c r="K406" s="45">
        <v>42789</v>
      </c>
      <c r="L406" s="45">
        <v>42789</v>
      </c>
    </row>
    <row r="407" spans="1:12" ht="18" customHeight="1">
      <c r="A407" s="43" t="s">
        <v>232</v>
      </c>
      <c r="B407" s="44" t="s">
        <v>899</v>
      </c>
      <c r="C407" s="44" t="s">
        <v>120</v>
      </c>
      <c r="D407" s="85">
        <v>10104866415</v>
      </c>
      <c r="E407" s="44" t="s">
        <v>1187</v>
      </c>
      <c r="F407" s="44" t="s">
        <v>213</v>
      </c>
      <c r="G407" s="44" t="s">
        <v>321</v>
      </c>
      <c r="H407" s="44" t="s">
        <v>130</v>
      </c>
      <c r="I407" s="48" t="s">
        <v>482</v>
      </c>
      <c r="J407" s="45">
        <v>42775</v>
      </c>
      <c r="K407" s="45">
        <v>42775</v>
      </c>
      <c r="L407" s="45">
        <v>42767</v>
      </c>
    </row>
    <row r="408" spans="1:12" ht="18" customHeight="1">
      <c r="A408" s="43" t="s">
        <v>232</v>
      </c>
      <c r="B408" s="44" t="s">
        <v>233</v>
      </c>
      <c r="C408" s="44" t="s">
        <v>120</v>
      </c>
      <c r="D408" s="85">
        <v>10104899263</v>
      </c>
      <c r="E408" s="44" t="s">
        <v>1189</v>
      </c>
      <c r="F408" s="44" t="s">
        <v>519</v>
      </c>
      <c r="G408" s="44" t="s">
        <v>323</v>
      </c>
      <c r="H408" s="44" t="s">
        <v>130</v>
      </c>
      <c r="I408" s="48" t="s">
        <v>482</v>
      </c>
      <c r="J408" s="45">
        <v>42770</v>
      </c>
      <c r="K408" s="45">
        <v>42770</v>
      </c>
      <c r="L408" s="45"/>
    </row>
    <row r="409" spans="1:12" ht="18" customHeight="1">
      <c r="A409" s="43" t="s">
        <v>232</v>
      </c>
      <c r="B409" s="44" t="s">
        <v>233</v>
      </c>
      <c r="C409" s="44" t="s">
        <v>120</v>
      </c>
      <c r="D409" s="85">
        <v>10104899257</v>
      </c>
      <c r="E409" s="44" t="s">
        <v>342</v>
      </c>
      <c r="F409" s="44" t="s">
        <v>222</v>
      </c>
      <c r="G409" s="44" t="s">
        <v>323</v>
      </c>
      <c r="H409" s="44" t="s">
        <v>129</v>
      </c>
      <c r="I409" s="48" t="s">
        <v>481</v>
      </c>
      <c r="J409" s="45">
        <v>42770</v>
      </c>
      <c r="K409" s="45">
        <v>42789</v>
      </c>
      <c r="L409" s="45">
        <v>42789</v>
      </c>
    </row>
    <row r="410" spans="1:12" ht="18" customHeight="1">
      <c r="A410" s="43" t="s">
        <v>232</v>
      </c>
      <c r="B410" s="44" t="s">
        <v>233</v>
      </c>
      <c r="C410" s="44" t="s">
        <v>120</v>
      </c>
      <c r="D410" s="85">
        <v>10104866418</v>
      </c>
      <c r="E410" s="44" t="s">
        <v>1188</v>
      </c>
      <c r="F410" s="44" t="s">
        <v>890</v>
      </c>
      <c r="G410" s="44" t="s">
        <v>323</v>
      </c>
      <c r="H410" s="44" t="s">
        <v>129</v>
      </c>
      <c r="I410" s="48" t="s">
        <v>481</v>
      </c>
      <c r="J410" s="45">
        <v>42794</v>
      </c>
      <c r="K410" s="45">
        <v>42767</v>
      </c>
      <c r="L410" s="45"/>
    </row>
    <row r="411" spans="1:12" ht="18" customHeight="1">
      <c r="A411" s="43" t="s">
        <v>343</v>
      </c>
      <c r="B411" s="44" t="s">
        <v>344</v>
      </c>
      <c r="C411" s="44" t="s">
        <v>73</v>
      </c>
      <c r="D411" s="85">
        <v>10104923876</v>
      </c>
      <c r="E411" s="44" t="s">
        <v>527</v>
      </c>
      <c r="F411" s="44" t="s">
        <v>180</v>
      </c>
      <c r="G411" s="44" t="s">
        <v>345</v>
      </c>
      <c r="H411" s="44" t="s">
        <v>76</v>
      </c>
      <c r="I411" s="48" t="s">
        <v>482</v>
      </c>
      <c r="J411" s="45">
        <v>42787</v>
      </c>
      <c r="K411" s="45">
        <v>42790</v>
      </c>
      <c r="L411" s="45">
        <v>42790</v>
      </c>
    </row>
    <row r="412" spans="1:12" ht="18" customHeight="1">
      <c r="A412" s="43" t="s">
        <v>343</v>
      </c>
      <c r="B412" s="44" t="s">
        <v>344</v>
      </c>
      <c r="C412" s="44" t="s">
        <v>73</v>
      </c>
      <c r="D412" s="85">
        <v>10104917237</v>
      </c>
      <c r="E412" s="44" t="s">
        <v>920</v>
      </c>
      <c r="F412" s="44" t="s">
        <v>180</v>
      </c>
      <c r="G412" s="44" t="s">
        <v>345</v>
      </c>
      <c r="H412" s="44" t="s">
        <v>74</v>
      </c>
      <c r="I412" s="48" t="s">
        <v>481</v>
      </c>
      <c r="J412" s="45">
        <v>42782</v>
      </c>
      <c r="K412" s="45">
        <v>42790</v>
      </c>
      <c r="L412" s="45">
        <v>42790</v>
      </c>
    </row>
    <row r="413" spans="1:12" ht="18" customHeight="1">
      <c r="A413" s="43" t="s">
        <v>343</v>
      </c>
      <c r="B413" s="44" t="s">
        <v>344</v>
      </c>
      <c r="C413" s="44" t="s">
        <v>120</v>
      </c>
      <c r="D413" s="85">
        <v>10104972969</v>
      </c>
      <c r="E413" s="44" t="s">
        <v>921</v>
      </c>
      <c r="F413" s="44" t="s">
        <v>890</v>
      </c>
      <c r="G413" s="44" t="s">
        <v>922</v>
      </c>
      <c r="H413" s="44" t="s">
        <v>130</v>
      </c>
      <c r="I413" s="48" t="s">
        <v>482</v>
      </c>
      <c r="J413" s="45">
        <v>42794</v>
      </c>
      <c r="K413" s="45">
        <v>42767</v>
      </c>
      <c r="L413" s="45"/>
    </row>
    <row r="414" spans="1:12" ht="18" customHeight="1">
      <c r="A414" s="43" t="s">
        <v>343</v>
      </c>
      <c r="B414" s="44" t="s">
        <v>344</v>
      </c>
      <c r="C414" s="44" t="s">
        <v>120</v>
      </c>
      <c r="D414" s="85">
        <v>10104972967</v>
      </c>
      <c r="E414" s="44" t="s">
        <v>908</v>
      </c>
      <c r="F414" s="44" t="s">
        <v>890</v>
      </c>
      <c r="G414" s="44" t="s">
        <v>909</v>
      </c>
      <c r="H414" s="44" t="s">
        <v>76</v>
      </c>
      <c r="I414" s="48" t="s">
        <v>482</v>
      </c>
      <c r="J414" s="45">
        <v>42794</v>
      </c>
      <c r="K414" s="45">
        <v>42767</v>
      </c>
      <c r="L414" s="45"/>
    </row>
    <row r="415" spans="1:12" ht="18" customHeight="1">
      <c r="A415" s="43" t="s">
        <v>343</v>
      </c>
      <c r="B415" s="44" t="s">
        <v>344</v>
      </c>
      <c r="C415" s="44" t="s">
        <v>120</v>
      </c>
      <c r="D415" s="85">
        <v>10104972974</v>
      </c>
      <c r="E415" s="44" t="s">
        <v>923</v>
      </c>
      <c r="F415" s="44" t="s">
        <v>890</v>
      </c>
      <c r="G415" s="44" t="s">
        <v>924</v>
      </c>
      <c r="H415" s="44" t="s">
        <v>76</v>
      </c>
      <c r="I415" s="48" t="s">
        <v>482</v>
      </c>
      <c r="J415" s="45">
        <v>42794</v>
      </c>
      <c r="K415" s="45">
        <v>42767</v>
      </c>
      <c r="L415" s="45"/>
    </row>
    <row r="416" spans="1:12" ht="18" customHeight="1">
      <c r="A416" s="43" t="s">
        <v>343</v>
      </c>
      <c r="B416" s="44" t="s">
        <v>344</v>
      </c>
      <c r="C416" s="44" t="s">
        <v>120</v>
      </c>
      <c r="D416" s="85">
        <v>10104972971</v>
      </c>
      <c r="E416" s="44" t="s">
        <v>925</v>
      </c>
      <c r="F416" s="44" t="s">
        <v>890</v>
      </c>
      <c r="G416" s="44" t="s">
        <v>926</v>
      </c>
      <c r="H416" s="44" t="s">
        <v>76</v>
      </c>
      <c r="I416" s="48" t="s">
        <v>482</v>
      </c>
      <c r="J416" s="45">
        <v>42794</v>
      </c>
      <c r="K416" s="45">
        <v>42767</v>
      </c>
      <c r="L416" s="45"/>
    </row>
    <row r="417" spans="1:12" ht="18" customHeight="1">
      <c r="A417" s="43" t="s">
        <v>343</v>
      </c>
      <c r="B417" s="44" t="s">
        <v>344</v>
      </c>
      <c r="C417" s="44" t="s">
        <v>120</v>
      </c>
      <c r="D417" s="85">
        <v>10104972976</v>
      </c>
      <c r="E417" s="44" t="s">
        <v>927</v>
      </c>
      <c r="F417" s="44" t="s">
        <v>890</v>
      </c>
      <c r="G417" s="44" t="s">
        <v>928</v>
      </c>
      <c r="H417" s="44" t="s">
        <v>76</v>
      </c>
      <c r="I417" s="48" t="s">
        <v>482</v>
      </c>
      <c r="J417" s="45">
        <v>42794</v>
      </c>
      <c r="K417" s="45">
        <v>42767</v>
      </c>
      <c r="L417" s="45"/>
    </row>
    <row r="418" spans="1:12" ht="18" customHeight="1">
      <c r="A418" s="43" t="s">
        <v>348</v>
      </c>
      <c r="B418" s="44" t="s">
        <v>349</v>
      </c>
      <c r="C418" s="44" t="s">
        <v>73</v>
      </c>
      <c r="D418" s="85">
        <v>10104916123</v>
      </c>
      <c r="E418" s="44" t="s">
        <v>350</v>
      </c>
      <c r="F418" s="44" t="s">
        <v>219</v>
      </c>
      <c r="G418" s="44" t="s">
        <v>832</v>
      </c>
      <c r="H418" s="44" t="s">
        <v>76</v>
      </c>
      <c r="I418" s="48" t="s">
        <v>482</v>
      </c>
      <c r="J418" s="45">
        <v>42781</v>
      </c>
      <c r="K418" s="45">
        <v>42787</v>
      </c>
      <c r="L418" s="45"/>
    </row>
    <row r="419" spans="1:12" ht="18" customHeight="1">
      <c r="A419" s="43" t="s">
        <v>348</v>
      </c>
      <c r="B419" s="44" t="s">
        <v>349</v>
      </c>
      <c r="C419" s="44" t="s">
        <v>73</v>
      </c>
      <c r="D419" s="85">
        <v>10104916124</v>
      </c>
      <c r="E419" s="44" t="s">
        <v>833</v>
      </c>
      <c r="F419" s="44" t="s">
        <v>219</v>
      </c>
      <c r="G419" s="44" t="s">
        <v>832</v>
      </c>
      <c r="H419" s="44" t="s">
        <v>74</v>
      </c>
      <c r="I419" s="48" t="s">
        <v>481</v>
      </c>
      <c r="J419" s="45">
        <v>42781</v>
      </c>
      <c r="K419" s="45">
        <v>42787</v>
      </c>
      <c r="L419" s="45"/>
    </row>
    <row r="420" spans="1:12" ht="18" customHeight="1">
      <c r="A420" s="43" t="s">
        <v>348</v>
      </c>
      <c r="B420" s="44" t="s">
        <v>349</v>
      </c>
      <c r="C420" s="44" t="s">
        <v>73</v>
      </c>
      <c r="D420" s="85">
        <v>10104920157</v>
      </c>
      <c r="E420" s="44" t="s">
        <v>834</v>
      </c>
      <c r="F420" s="44" t="s">
        <v>222</v>
      </c>
      <c r="G420" s="44" t="s">
        <v>351</v>
      </c>
      <c r="H420" s="44" t="s">
        <v>76</v>
      </c>
      <c r="I420" s="48" t="s">
        <v>482</v>
      </c>
      <c r="J420" s="45">
        <v>42782</v>
      </c>
      <c r="K420" s="45">
        <v>42782</v>
      </c>
      <c r="L420" s="45">
        <v>42778</v>
      </c>
    </row>
    <row r="421" spans="1:12" ht="18" customHeight="1">
      <c r="A421" s="43" t="s">
        <v>348</v>
      </c>
      <c r="B421" s="44" t="s">
        <v>349</v>
      </c>
      <c r="C421" s="44" t="s">
        <v>73</v>
      </c>
      <c r="D421" s="85">
        <v>10104916117</v>
      </c>
      <c r="E421" s="44" t="s">
        <v>835</v>
      </c>
      <c r="F421" s="44" t="s">
        <v>222</v>
      </c>
      <c r="G421" s="44" t="s">
        <v>367</v>
      </c>
      <c r="H421" s="44" t="s">
        <v>76</v>
      </c>
      <c r="I421" s="48" t="s">
        <v>482</v>
      </c>
      <c r="J421" s="45">
        <v>42776</v>
      </c>
      <c r="K421" s="45">
        <v>42776</v>
      </c>
      <c r="L421" s="45">
        <v>42770</v>
      </c>
    </row>
    <row r="422" spans="1:12" ht="18" customHeight="1">
      <c r="A422" s="43" t="s">
        <v>348</v>
      </c>
      <c r="B422" s="44" t="s">
        <v>349</v>
      </c>
      <c r="C422" s="44" t="s">
        <v>73</v>
      </c>
      <c r="D422" s="85">
        <v>10104916118</v>
      </c>
      <c r="E422" s="44" t="s">
        <v>833</v>
      </c>
      <c r="F422" s="44" t="s">
        <v>180</v>
      </c>
      <c r="G422" s="44" t="s">
        <v>367</v>
      </c>
      <c r="H422" s="44" t="s">
        <v>74</v>
      </c>
      <c r="I422" s="48" t="s">
        <v>481</v>
      </c>
      <c r="J422" s="45">
        <v>42781</v>
      </c>
      <c r="K422" s="45">
        <v>42787</v>
      </c>
      <c r="L422" s="45">
        <v>42770</v>
      </c>
    </row>
    <row r="423" spans="1:12" ht="18" customHeight="1">
      <c r="A423" s="43" t="s">
        <v>348</v>
      </c>
      <c r="B423" s="44" t="s">
        <v>349</v>
      </c>
      <c r="C423" s="44" t="s">
        <v>73</v>
      </c>
      <c r="D423" s="85">
        <v>10104914238</v>
      </c>
      <c r="E423" s="44" t="s">
        <v>838</v>
      </c>
      <c r="F423" s="44" t="s">
        <v>219</v>
      </c>
      <c r="G423" s="44" t="s">
        <v>353</v>
      </c>
      <c r="H423" s="44" t="s">
        <v>76</v>
      </c>
      <c r="I423" s="48" t="s">
        <v>482</v>
      </c>
      <c r="J423" s="45">
        <v>42779</v>
      </c>
      <c r="K423" s="45">
        <v>42787</v>
      </c>
      <c r="L423" s="45"/>
    </row>
    <row r="424" spans="1:12" ht="18" customHeight="1">
      <c r="A424" s="43" t="s">
        <v>348</v>
      </c>
      <c r="B424" s="44" t="s">
        <v>349</v>
      </c>
      <c r="C424" s="44" t="s">
        <v>73</v>
      </c>
      <c r="D424" s="85">
        <v>10104914239</v>
      </c>
      <c r="E424" s="44" t="s">
        <v>837</v>
      </c>
      <c r="F424" s="44" t="s">
        <v>219</v>
      </c>
      <c r="G424" s="44" t="s">
        <v>353</v>
      </c>
      <c r="H424" s="44" t="s">
        <v>74</v>
      </c>
      <c r="I424" s="48" t="s">
        <v>481</v>
      </c>
      <c r="J424" s="45">
        <v>42779</v>
      </c>
      <c r="K424" s="45">
        <v>42787</v>
      </c>
      <c r="L424" s="45"/>
    </row>
    <row r="425" spans="1:12" ht="18" customHeight="1">
      <c r="A425" s="43" t="s">
        <v>348</v>
      </c>
      <c r="B425" s="44" t="s">
        <v>349</v>
      </c>
      <c r="C425" s="44" t="s">
        <v>73</v>
      </c>
      <c r="D425" s="85">
        <v>10104919789</v>
      </c>
      <c r="E425" s="44" t="s">
        <v>836</v>
      </c>
      <c r="F425" s="44" t="s">
        <v>219</v>
      </c>
      <c r="G425" s="44" t="s">
        <v>353</v>
      </c>
      <c r="H425" s="44" t="s">
        <v>74</v>
      </c>
      <c r="I425" s="48" t="s">
        <v>481</v>
      </c>
      <c r="J425" s="45">
        <v>42781</v>
      </c>
      <c r="K425" s="45">
        <v>42787</v>
      </c>
      <c r="L425" s="45"/>
    </row>
    <row r="426" spans="1:12" ht="18" customHeight="1">
      <c r="A426" s="43" t="s">
        <v>348</v>
      </c>
      <c r="B426" s="44" t="s">
        <v>349</v>
      </c>
      <c r="C426" s="44" t="s">
        <v>73</v>
      </c>
      <c r="D426" s="85">
        <v>10104919785</v>
      </c>
      <c r="E426" s="44" t="s">
        <v>836</v>
      </c>
      <c r="F426" s="44" t="s">
        <v>180</v>
      </c>
      <c r="G426" s="44" t="s">
        <v>354</v>
      </c>
      <c r="H426" s="44" t="s">
        <v>74</v>
      </c>
      <c r="I426" s="48" t="s">
        <v>481</v>
      </c>
      <c r="J426" s="45">
        <v>42772</v>
      </c>
      <c r="K426" s="45">
        <v>42772</v>
      </c>
      <c r="L426" s="45">
        <v>42772</v>
      </c>
    </row>
    <row r="427" spans="1:12" ht="18" customHeight="1">
      <c r="A427" s="43" t="s">
        <v>348</v>
      </c>
      <c r="B427" s="44" t="s">
        <v>349</v>
      </c>
      <c r="C427" s="44" t="s">
        <v>73</v>
      </c>
      <c r="D427" s="85">
        <v>10104927075</v>
      </c>
      <c r="E427" s="44" t="s">
        <v>837</v>
      </c>
      <c r="F427" s="44" t="s">
        <v>219</v>
      </c>
      <c r="G427" s="44" t="s">
        <v>355</v>
      </c>
      <c r="H427" s="44" t="s">
        <v>76</v>
      </c>
      <c r="I427" s="48" t="s">
        <v>482</v>
      </c>
      <c r="J427" s="45">
        <v>42787</v>
      </c>
      <c r="K427" s="45">
        <v>42787</v>
      </c>
      <c r="L427" s="45"/>
    </row>
    <row r="428" spans="1:12" ht="18" customHeight="1">
      <c r="A428" s="43" t="s">
        <v>348</v>
      </c>
      <c r="B428" s="44" t="s">
        <v>349</v>
      </c>
      <c r="C428" s="44" t="s">
        <v>73</v>
      </c>
      <c r="D428" s="85">
        <v>10104925474</v>
      </c>
      <c r="E428" s="44" t="s">
        <v>836</v>
      </c>
      <c r="F428" s="44" t="s">
        <v>219</v>
      </c>
      <c r="G428" s="44" t="s">
        <v>355</v>
      </c>
      <c r="H428" s="44" t="s">
        <v>74</v>
      </c>
      <c r="I428" s="48" t="s">
        <v>481</v>
      </c>
      <c r="J428" s="45">
        <v>42787</v>
      </c>
      <c r="K428" s="45">
        <v>42787</v>
      </c>
      <c r="L428" s="45"/>
    </row>
    <row r="429" spans="1:12" ht="18" customHeight="1">
      <c r="A429" s="43" t="s">
        <v>348</v>
      </c>
      <c r="B429" s="44" t="s">
        <v>349</v>
      </c>
      <c r="C429" s="44" t="s">
        <v>73</v>
      </c>
      <c r="D429" s="85">
        <v>10104918807</v>
      </c>
      <c r="E429" s="44" t="s">
        <v>840</v>
      </c>
      <c r="F429" s="44" t="s">
        <v>180</v>
      </c>
      <c r="G429" s="44" t="s">
        <v>356</v>
      </c>
      <c r="H429" s="44" t="s">
        <v>74</v>
      </c>
      <c r="I429" s="48" t="s">
        <v>481</v>
      </c>
      <c r="J429" s="45">
        <v>42783</v>
      </c>
      <c r="K429" s="45">
        <v>42790</v>
      </c>
      <c r="L429" s="45">
        <v>42783</v>
      </c>
    </row>
    <row r="430" spans="1:12" ht="18" customHeight="1">
      <c r="A430" s="43" t="s">
        <v>348</v>
      </c>
      <c r="B430" s="44" t="s">
        <v>349</v>
      </c>
      <c r="C430" s="44" t="s">
        <v>73</v>
      </c>
      <c r="D430" s="85">
        <v>10104914414</v>
      </c>
      <c r="E430" s="44" t="s">
        <v>1190</v>
      </c>
      <c r="F430" s="44" t="s">
        <v>180</v>
      </c>
      <c r="G430" s="44" t="s">
        <v>356</v>
      </c>
      <c r="H430" s="44" t="s">
        <v>76</v>
      </c>
      <c r="I430" s="48" t="s">
        <v>482</v>
      </c>
      <c r="J430" s="45">
        <v>42779</v>
      </c>
      <c r="K430" s="45">
        <v>42790</v>
      </c>
      <c r="L430" s="45">
        <v>42783</v>
      </c>
    </row>
    <row r="431" spans="1:12" ht="18" customHeight="1">
      <c r="A431" s="43" t="s">
        <v>348</v>
      </c>
      <c r="B431" s="44" t="s">
        <v>349</v>
      </c>
      <c r="C431" s="44" t="s">
        <v>73</v>
      </c>
      <c r="D431" s="85">
        <v>10104914413</v>
      </c>
      <c r="E431" s="44" t="s">
        <v>1191</v>
      </c>
      <c r="F431" s="44" t="s">
        <v>180</v>
      </c>
      <c r="G431" s="44" t="s">
        <v>356</v>
      </c>
      <c r="H431" s="44" t="s">
        <v>76</v>
      </c>
      <c r="I431" s="48" t="s">
        <v>482</v>
      </c>
      <c r="J431" s="45">
        <v>42779</v>
      </c>
      <c r="K431" s="45">
        <v>42790</v>
      </c>
      <c r="L431" s="45">
        <v>42783</v>
      </c>
    </row>
    <row r="432" spans="1:12" ht="18" customHeight="1">
      <c r="A432" s="43" t="s">
        <v>348</v>
      </c>
      <c r="B432" s="44" t="s">
        <v>349</v>
      </c>
      <c r="C432" s="44" t="s">
        <v>73</v>
      </c>
      <c r="D432" s="85">
        <v>10104916401</v>
      </c>
      <c r="E432" s="44" t="s">
        <v>1193</v>
      </c>
      <c r="F432" s="44" t="s">
        <v>180</v>
      </c>
      <c r="G432" s="44" t="s">
        <v>356</v>
      </c>
      <c r="H432" s="44" t="s">
        <v>74</v>
      </c>
      <c r="I432" s="48" t="s">
        <v>481</v>
      </c>
      <c r="J432" s="45">
        <v>42782</v>
      </c>
      <c r="K432" s="45">
        <v>42790</v>
      </c>
      <c r="L432" s="45">
        <v>42783</v>
      </c>
    </row>
    <row r="433" spans="1:12" ht="18" customHeight="1">
      <c r="A433" s="43" t="s">
        <v>348</v>
      </c>
      <c r="B433" s="44" t="s">
        <v>349</v>
      </c>
      <c r="C433" s="44" t="s">
        <v>73</v>
      </c>
      <c r="D433" s="85">
        <v>10104915424</v>
      </c>
      <c r="E433" s="44" t="s">
        <v>1192</v>
      </c>
      <c r="F433" s="44" t="s">
        <v>180</v>
      </c>
      <c r="G433" s="44" t="s">
        <v>356</v>
      </c>
      <c r="H433" s="44" t="s">
        <v>76</v>
      </c>
      <c r="I433" s="48" t="s">
        <v>482</v>
      </c>
      <c r="J433" s="45">
        <v>42781</v>
      </c>
      <c r="K433" s="45">
        <v>42790</v>
      </c>
      <c r="L433" s="45">
        <v>42783</v>
      </c>
    </row>
    <row r="434" spans="1:12" ht="18" customHeight="1">
      <c r="A434" s="43" t="s">
        <v>348</v>
      </c>
      <c r="B434" s="44" t="s">
        <v>349</v>
      </c>
      <c r="C434" s="44" t="s">
        <v>73</v>
      </c>
      <c r="D434" s="85">
        <v>10104950553</v>
      </c>
      <c r="E434" s="44" t="s">
        <v>836</v>
      </c>
      <c r="F434" s="44" t="s">
        <v>180</v>
      </c>
      <c r="G434" s="44" t="s">
        <v>1194</v>
      </c>
      <c r="H434" s="44" t="s">
        <v>74</v>
      </c>
      <c r="I434" s="48" t="s">
        <v>481</v>
      </c>
      <c r="J434" s="45">
        <v>42792</v>
      </c>
      <c r="K434" s="45">
        <v>42792</v>
      </c>
      <c r="L434" s="45">
        <v>42792</v>
      </c>
    </row>
    <row r="435" spans="1:12" ht="18" customHeight="1">
      <c r="A435" s="43" t="s">
        <v>348</v>
      </c>
      <c r="B435" s="44" t="s">
        <v>349</v>
      </c>
      <c r="C435" s="44" t="s">
        <v>73</v>
      </c>
      <c r="D435" s="85">
        <v>10104919790</v>
      </c>
      <c r="E435" s="44" t="s">
        <v>839</v>
      </c>
      <c r="F435" s="44" t="s">
        <v>831</v>
      </c>
      <c r="G435" s="44" t="s">
        <v>357</v>
      </c>
      <c r="H435" s="44" t="s">
        <v>76</v>
      </c>
      <c r="I435" s="48" t="s">
        <v>482</v>
      </c>
      <c r="J435" s="45">
        <v>42781</v>
      </c>
      <c r="K435" s="45">
        <v>42787</v>
      </c>
      <c r="L435" s="45"/>
    </row>
    <row r="436" spans="1:12" ht="18" customHeight="1">
      <c r="A436" s="43" t="s">
        <v>348</v>
      </c>
      <c r="B436" s="44" t="s">
        <v>349</v>
      </c>
      <c r="C436" s="44" t="s">
        <v>73</v>
      </c>
      <c r="D436" s="85">
        <v>10104914283</v>
      </c>
      <c r="E436" s="44" t="s">
        <v>841</v>
      </c>
      <c r="F436" s="44" t="s">
        <v>180</v>
      </c>
      <c r="G436" s="44" t="s">
        <v>842</v>
      </c>
      <c r="H436" s="44" t="s">
        <v>76</v>
      </c>
      <c r="I436" s="48" t="s">
        <v>482</v>
      </c>
      <c r="J436" s="45">
        <v>42779</v>
      </c>
      <c r="K436" s="45">
        <v>42790</v>
      </c>
      <c r="L436" s="45">
        <v>42785</v>
      </c>
    </row>
    <row r="437" spans="1:12" ht="18" customHeight="1">
      <c r="A437" s="43" t="s">
        <v>348</v>
      </c>
      <c r="B437" s="44" t="s">
        <v>349</v>
      </c>
      <c r="C437" s="44" t="s">
        <v>73</v>
      </c>
      <c r="D437" s="85">
        <v>10104916110</v>
      </c>
      <c r="E437" s="44" t="s">
        <v>360</v>
      </c>
      <c r="F437" s="44" t="s">
        <v>222</v>
      </c>
      <c r="G437" s="44" t="s">
        <v>358</v>
      </c>
      <c r="H437" s="44" t="s">
        <v>76</v>
      </c>
      <c r="I437" s="48" t="s">
        <v>482</v>
      </c>
      <c r="J437" s="45">
        <v>42778</v>
      </c>
      <c r="K437" s="45">
        <v>42778</v>
      </c>
      <c r="L437" s="45">
        <v>42775</v>
      </c>
    </row>
    <row r="438" spans="1:12" ht="18" customHeight="1">
      <c r="A438" s="43" t="s">
        <v>348</v>
      </c>
      <c r="B438" s="44" t="s">
        <v>349</v>
      </c>
      <c r="C438" s="44" t="s">
        <v>73</v>
      </c>
      <c r="D438" s="85">
        <v>10104916108</v>
      </c>
      <c r="E438" s="44" t="s">
        <v>359</v>
      </c>
      <c r="F438" s="44" t="s">
        <v>222</v>
      </c>
      <c r="G438" s="44" t="s">
        <v>358</v>
      </c>
      <c r="H438" s="44" t="s">
        <v>74</v>
      </c>
      <c r="I438" s="48" t="s">
        <v>481</v>
      </c>
      <c r="J438" s="45">
        <v>42778</v>
      </c>
      <c r="K438" s="45">
        <v>42778</v>
      </c>
      <c r="L438" s="45">
        <v>42775</v>
      </c>
    </row>
    <row r="439" spans="1:12" ht="18" customHeight="1">
      <c r="A439" s="43" t="s">
        <v>348</v>
      </c>
      <c r="B439" s="44" t="s">
        <v>349</v>
      </c>
      <c r="C439" s="44" t="s">
        <v>73</v>
      </c>
      <c r="D439" s="85">
        <v>10104916107</v>
      </c>
      <c r="E439" s="44" t="s">
        <v>754</v>
      </c>
      <c r="F439" s="44" t="s">
        <v>180</v>
      </c>
      <c r="G439" s="44" t="s">
        <v>358</v>
      </c>
      <c r="H439" s="44" t="s">
        <v>76</v>
      </c>
      <c r="I439" s="48" t="s">
        <v>482</v>
      </c>
      <c r="J439" s="45">
        <v>42778</v>
      </c>
      <c r="K439" s="45">
        <v>42778</v>
      </c>
      <c r="L439" s="45">
        <v>42775</v>
      </c>
    </row>
    <row r="440" spans="1:12" ht="18" customHeight="1">
      <c r="A440" s="43" t="s">
        <v>348</v>
      </c>
      <c r="B440" s="44" t="s">
        <v>349</v>
      </c>
      <c r="C440" s="44" t="s">
        <v>73</v>
      </c>
      <c r="D440" s="85">
        <v>10104916126</v>
      </c>
      <c r="E440" s="44" t="s">
        <v>835</v>
      </c>
      <c r="F440" s="44" t="s">
        <v>222</v>
      </c>
      <c r="G440" s="44" t="s">
        <v>362</v>
      </c>
      <c r="H440" s="44" t="s">
        <v>76</v>
      </c>
      <c r="I440" s="48" t="s">
        <v>482</v>
      </c>
      <c r="J440" s="45">
        <v>42781</v>
      </c>
      <c r="K440" s="45">
        <v>42782</v>
      </c>
      <c r="L440" s="45">
        <v>42774</v>
      </c>
    </row>
    <row r="441" spans="1:12" ht="18" customHeight="1">
      <c r="A441" s="43" t="s">
        <v>348</v>
      </c>
      <c r="B441" s="44" t="s">
        <v>349</v>
      </c>
      <c r="C441" s="44" t="s">
        <v>73</v>
      </c>
      <c r="D441" s="85">
        <v>10104916127</v>
      </c>
      <c r="E441" s="44" t="s">
        <v>833</v>
      </c>
      <c r="F441" s="44" t="s">
        <v>222</v>
      </c>
      <c r="G441" s="44" t="s">
        <v>362</v>
      </c>
      <c r="H441" s="44" t="s">
        <v>74</v>
      </c>
      <c r="I441" s="48" t="s">
        <v>481</v>
      </c>
      <c r="J441" s="45">
        <v>42778</v>
      </c>
      <c r="K441" s="45">
        <v>42778</v>
      </c>
      <c r="L441" s="45">
        <v>42775</v>
      </c>
    </row>
    <row r="442" spans="1:12" ht="18" customHeight="1">
      <c r="A442" s="43" t="s">
        <v>348</v>
      </c>
      <c r="B442" s="44" t="s">
        <v>349</v>
      </c>
      <c r="C442" s="44" t="s">
        <v>73</v>
      </c>
      <c r="D442" s="85">
        <v>10104914286</v>
      </c>
      <c r="E442" s="44" t="s">
        <v>838</v>
      </c>
      <c r="F442" s="44" t="s">
        <v>180</v>
      </c>
      <c r="G442" s="44" t="s">
        <v>375</v>
      </c>
      <c r="H442" s="44" t="s">
        <v>76</v>
      </c>
      <c r="I442" s="48" t="s">
        <v>482</v>
      </c>
      <c r="J442" s="45">
        <v>42779</v>
      </c>
      <c r="K442" s="45">
        <v>42782</v>
      </c>
      <c r="L442" s="45">
        <v>42777</v>
      </c>
    </row>
    <row r="443" spans="1:12" ht="18" customHeight="1">
      <c r="A443" s="43" t="s">
        <v>348</v>
      </c>
      <c r="B443" s="44" t="s">
        <v>349</v>
      </c>
      <c r="C443" s="44" t="s">
        <v>73</v>
      </c>
      <c r="D443" s="85">
        <v>10104914287</v>
      </c>
      <c r="E443" s="44" t="s">
        <v>837</v>
      </c>
      <c r="F443" s="44" t="s">
        <v>180</v>
      </c>
      <c r="G443" s="44" t="s">
        <v>375</v>
      </c>
      <c r="H443" s="44" t="s">
        <v>74</v>
      </c>
      <c r="I443" s="48" t="s">
        <v>481</v>
      </c>
      <c r="J443" s="45">
        <v>42779</v>
      </c>
      <c r="K443" s="45">
        <v>42782</v>
      </c>
      <c r="L443" s="45">
        <v>42777</v>
      </c>
    </row>
    <row r="444" spans="1:12" ht="18" customHeight="1">
      <c r="A444" s="43" t="s">
        <v>348</v>
      </c>
      <c r="B444" s="44" t="s">
        <v>349</v>
      </c>
      <c r="C444" s="44" t="s">
        <v>73</v>
      </c>
      <c r="D444" s="85">
        <v>10104919894</v>
      </c>
      <c r="E444" s="44" t="s">
        <v>836</v>
      </c>
      <c r="F444" s="44" t="s">
        <v>180</v>
      </c>
      <c r="G444" s="44" t="s">
        <v>375</v>
      </c>
      <c r="H444" s="44" t="s">
        <v>74</v>
      </c>
      <c r="I444" s="48" t="s">
        <v>481</v>
      </c>
      <c r="J444" s="45">
        <v>42781</v>
      </c>
      <c r="K444" s="45">
        <v>42782</v>
      </c>
      <c r="L444" s="45">
        <v>42777</v>
      </c>
    </row>
    <row r="445" spans="1:12" ht="18" customHeight="1">
      <c r="A445" s="43" t="s">
        <v>348</v>
      </c>
      <c r="B445" s="44" t="s">
        <v>349</v>
      </c>
      <c r="C445" s="44" t="s">
        <v>73</v>
      </c>
      <c r="D445" s="85">
        <v>10104910312</v>
      </c>
      <c r="E445" s="44" t="s">
        <v>364</v>
      </c>
      <c r="F445" s="44" t="s">
        <v>219</v>
      </c>
      <c r="G445" s="44" t="s">
        <v>363</v>
      </c>
      <c r="H445" s="44" t="s">
        <v>74</v>
      </c>
      <c r="I445" s="48" t="s">
        <v>481</v>
      </c>
      <c r="J445" s="45">
        <v>42776</v>
      </c>
      <c r="K445" s="45">
        <v>42787</v>
      </c>
      <c r="L445" s="45"/>
    </row>
    <row r="446" spans="1:12" ht="18" customHeight="1">
      <c r="A446" s="43" t="s">
        <v>348</v>
      </c>
      <c r="B446" s="44" t="s">
        <v>349</v>
      </c>
      <c r="C446" s="44" t="s">
        <v>73</v>
      </c>
      <c r="D446" s="85">
        <v>10104908835</v>
      </c>
      <c r="E446" s="44" t="s">
        <v>1195</v>
      </c>
      <c r="F446" s="44" t="s">
        <v>219</v>
      </c>
      <c r="G446" s="44" t="s">
        <v>363</v>
      </c>
      <c r="H446" s="44" t="s">
        <v>76</v>
      </c>
      <c r="I446" s="48" t="s">
        <v>482</v>
      </c>
      <c r="J446" s="45">
        <v>42775</v>
      </c>
      <c r="K446" s="45">
        <v>42787</v>
      </c>
      <c r="L446" s="45"/>
    </row>
    <row r="447" spans="1:12" ht="18" customHeight="1">
      <c r="A447" s="43" t="s">
        <v>348</v>
      </c>
      <c r="B447" s="44" t="s">
        <v>349</v>
      </c>
      <c r="C447" s="44" t="s">
        <v>73</v>
      </c>
      <c r="D447" s="85">
        <v>10104908806</v>
      </c>
      <c r="E447" s="44" t="s">
        <v>1196</v>
      </c>
      <c r="F447" s="44" t="s">
        <v>219</v>
      </c>
      <c r="G447" s="44" t="s">
        <v>363</v>
      </c>
      <c r="H447" s="44" t="s">
        <v>74</v>
      </c>
      <c r="I447" s="48" t="s">
        <v>481</v>
      </c>
      <c r="J447" s="45">
        <v>42775</v>
      </c>
      <c r="K447" s="45">
        <v>42787</v>
      </c>
      <c r="L447" s="45"/>
    </row>
    <row r="448" spans="1:12" ht="18" customHeight="1">
      <c r="A448" s="43" t="s">
        <v>348</v>
      </c>
      <c r="B448" s="44" t="s">
        <v>349</v>
      </c>
      <c r="C448" s="44" t="s">
        <v>73</v>
      </c>
      <c r="D448" s="85">
        <v>10104908834</v>
      </c>
      <c r="E448" s="44" t="s">
        <v>1197</v>
      </c>
      <c r="F448" s="44" t="s">
        <v>219</v>
      </c>
      <c r="G448" s="44" t="s">
        <v>363</v>
      </c>
      <c r="H448" s="44" t="s">
        <v>76</v>
      </c>
      <c r="I448" s="48" t="s">
        <v>482</v>
      </c>
      <c r="J448" s="45">
        <v>42775</v>
      </c>
      <c r="K448" s="45">
        <v>42787</v>
      </c>
      <c r="L448" s="45"/>
    </row>
    <row r="449" spans="1:12" ht="18" customHeight="1">
      <c r="A449" s="43" t="s">
        <v>348</v>
      </c>
      <c r="B449" s="44" t="s">
        <v>349</v>
      </c>
      <c r="C449" s="44" t="s">
        <v>73</v>
      </c>
      <c r="D449" s="85">
        <v>10104914279</v>
      </c>
      <c r="E449" s="44" t="s">
        <v>841</v>
      </c>
      <c r="F449" s="44" t="s">
        <v>831</v>
      </c>
      <c r="G449" s="44" t="s">
        <v>365</v>
      </c>
      <c r="H449" s="44" t="s">
        <v>76</v>
      </c>
      <c r="I449" s="48" t="s">
        <v>482</v>
      </c>
      <c r="J449" s="45">
        <v>42779</v>
      </c>
      <c r="K449" s="45">
        <v>42787</v>
      </c>
      <c r="L449" s="45"/>
    </row>
    <row r="450" spans="1:12" ht="18" customHeight="1">
      <c r="A450" s="43" t="s">
        <v>348</v>
      </c>
      <c r="B450" s="44" t="s">
        <v>349</v>
      </c>
      <c r="C450" s="44" t="s">
        <v>73</v>
      </c>
      <c r="D450" s="85">
        <v>10104916121</v>
      </c>
      <c r="E450" s="44" t="s">
        <v>833</v>
      </c>
      <c r="F450" s="44" t="s">
        <v>219</v>
      </c>
      <c r="G450" s="44" t="s">
        <v>1198</v>
      </c>
      <c r="H450" s="44" t="s">
        <v>74</v>
      </c>
      <c r="I450" s="48" t="s">
        <v>481</v>
      </c>
      <c r="J450" s="45">
        <v>42781</v>
      </c>
      <c r="K450" s="45">
        <v>42787</v>
      </c>
      <c r="L450" s="45"/>
    </row>
    <row r="451" spans="1:12" ht="18" customHeight="1">
      <c r="A451" s="43" t="s">
        <v>348</v>
      </c>
      <c r="B451" s="44" t="s">
        <v>349</v>
      </c>
      <c r="C451" s="44" t="s">
        <v>73</v>
      </c>
      <c r="D451" s="85">
        <v>10104916120</v>
      </c>
      <c r="E451" s="44" t="s">
        <v>350</v>
      </c>
      <c r="F451" s="44" t="s">
        <v>831</v>
      </c>
      <c r="G451" s="44" t="s">
        <v>1198</v>
      </c>
      <c r="H451" s="44" t="s">
        <v>76</v>
      </c>
      <c r="I451" s="48" t="s">
        <v>482</v>
      </c>
      <c r="J451" s="45">
        <v>42781</v>
      </c>
      <c r="K451" s="45">
        <v>42787</v>
      </c>
      <c r="L451" s="45"/>
    </row>
    <row r="452" spans="1:12" ht="18" customHeight="1">
      <c r="A452" s="43" t="s">
        <v>348</v>
      </c>
      <c r="B452" s="44" t="s">
        <v>349</v>
      </c>
      <c r="C452" s="44" t="s">
        <v>120</v>
      </c>
      <c r="D452" s="85">
        <v>10104950031</v>
      </c>
      <c r="E452" s="44" t="s">
        <v>1199</v>
      </c>
      <c r="F452" s="44" t="s">
        <v>749</v>
      </c>
      <c r="G452" s="44" t="s">
        <v>1200</v>
      </c>
      <c r="H452" s="44" t="s">
        <v>221</v>
      </c>
      <c r="I452" s="48" t="s">
        <v>481</v>
      </c>
      <c r="J452" s="45">
        <v>42795</v>
      </c>
      <c r="K452" s="45">
        <v>42795</v>
      </c>
      <c r="L452" s="45">
        <v>42794</v>
      </c>
    </row>
    <row r="453" spans="1:12" ht="18" customHeight="1">
      <c r="A453" s="43" t="s">
        <v>348</v>
      </c>
      <c r="B453" s="44" t="s">
        <v>349</v>
      </c>
      <c r="C453" s="44" t="s">
        <v>120</v>
      </c>
      <c r="D453" s="85">
        <v>10104899215</v>
      </c>
      <c r="E453" s="44" t="s">
        <v>848</v>
      </c>
      <c r="F453" s="44" t="s">
        <v>180</v>
      </c>
      <c r="G453" s="44" t="s">
        <v>351</v>
      </c>
      <c r="H453" s="44" t="s">
        <v>74</v>
      </c>
      <c r="I453" s="48" t="s">
        <v>481</v>
      </c>
      <c r="J453" s="45">
        <v>42770</v>
      </c>
      <c r="K453" s="45">
        <v>42782</v>
      </c>
      <c r="L453" s="45">
        <v>42778</v>
      </c>
    </row>
    <row r="454" spans="1:12" ht="18" customHeight="1">
      <c r="A454" s="43" t="s">
        <v>348</v>
      </c>
      <c r="B454" s="44" t="s">
        <v>349</v>
      </c>
      <c r="C454" s="44" t="s">
        <v>120</v>
      </c>
      <c r="D454" s="85">
        <v>10104950027</v>
      </c>
      <c r="E454" s="44" t="s">
        <v>1201</v>
      </c>
      <c r="F454" s="44" t="s">
        <v>749</v>
      </c>
      <c r="G454" s="44" t="s">
        <v>1202</v>
      </c>
      <c r="H454" s="44" t="s">
        <v>221</v>
      </c>
      <c r="I454" s="48" t="s">
        <v>481</v>
      </c>
      <c r="J454" s="45">
        <v>42795</v>
      </c>
      <c r="K454" s="45">
        <v>42795</v>
      </c>
      <c r="L454" s="45">
        <v>42794</v>
      </c>
    </row>
    <row r="455" spans="1:12" ht="18" customHeight="1">
      <c r="A455" s="43" t="s">
        <v>348</v>
      </c>
      <c r="B455" s="44" t="s">
        <v>349</v>
      </c>
      <c r="C455" s="44" t="s">
        <v>120</v>
      </c>
      <c r="D455" s="85">
        <v>10104950023</v>
      </c>
      <c r="E455" s="44" t="s">
        <v>1204</v>
      </c>
      <c r="F455" s="44" t="s">
        <v>749</v>
      </c>
      <c r="G455" s="44" t="s">
        <v>367</v>
      </c>
      <c r="H455" s="44" t="s">
        <v>221</v>
      </c>
      <c r="I455" s="48" t="s">
        <v>481</v>
      </c>
      <c r="J455" s="45">
        <v>42795</v>
      </c>
      <c r="K455" s="45">
        <v>42795</v>
      </c>
      <c r="L455" s="45">
        <v>42794</v>
      </c>
    </row>
    <row r="456" spans="1:12" ht="18" customHeight="1">
      <c r="A456" s="43" t="s">
        <v>348</v>
      </c>
      <c r="B456" s="44" t="s">
        <v>349</v>
      </c>
      <c r="C456" s="44" t="s">
        <v>120</v>
      </c>
      <c r="D456" s="85">
        <v>10104875815</v>
      </c>
      <c r="E456" s="44" t="s">
        <v>1203</v>
      </c>
      <c r="F456" s="44" t="s">
        <v>180</v>
      </c>
      <c r="G456" s="44" t="s">
        <v>367</v>
      </c>
      <c r="H456" s="44" t="s">
        <v>74</v>
      </c>
      <c r="I456" s="48" t="s">
        <v>481</v>
      </c>
      <c r="J456" s="45">
        <v>42771</v>
      </c>
      <c r="K456" s="45">
        <v>42771</v>
      </c>
      <c r="L456" s="45">
        <v>42769</v>
      </c>
    </row>
    <row r="457" spans="1:12" ht="18" customHeight="1">
      <c r="A457" s="43" t="s">
        <v>348</v>
      </c>
      <c r="B457" s="44" t="s">
        <v>349</v>
      </c>
      <c r="C457" s="44" t="s">
        <v>120</v>
      </c>
      <c r="D457" s="85">
        <v>10104916119</v>
      </c>
      <c r="E457" s="44" t="s">
        <v>847</v>
      </c>
      <c r="F457" s="44" t="s">
        <v>213</v>
      </c>
      <c r="G457" s="44" t="s">
        <v>367</v>
      </c>
      <c r="H457" s="44" t="s">
        <v>76</v>
      </c>
      <c r="I457" s="48" t="s">
        <v>482</v>
      </c>
      <c r="J457" s="45">
        <v>42776</v>
      </c>
      <c r="K457" s="45">
        <v>42776</v>
      </c>
      <c r="L457" s="45">
        <v>42771</v>
      </c>
    </row>
    <row r="458" spans="1:12" ht="18" customHeight="1">
      <c r="A458" s="43" t="s">
        <v>348</v>
      </c>
      <c r="B458" s="44" t="s">
        <v>349</v>
      </c>
      <c r="C458" s="44" t="s">
        <v>120</v>
      </c>
      <c r="D458" s="85">
        <v>10104950024</v>
      </c>
      <c r="E458" s="44" t="s">
        <v>1205</v>
      </c>
      <c r="F458" s="44" t="s">
        <v>749</v>
      </c>
      <c r="G458" s="44" t="s">
        <v>352</v>
      </c>
      <c r="H458" s="44" t="s">
        <v>221</v>
      </c>
      <c r="I458" s="48" t="s">
        <v>481</v>
      </c>
      <c r="J458" s="45">
        <v>42795</v>
      </c>
      <c r="K458" s="45">
        <v>42795</v>
      </c>
      <c r="L458" s="45">
        <v>42794</v>
      </c>
    </row>
    <row r="459" spans="1:12" ht="18" customHeight="1">
      <c r="A459" s="43" t="s">
        <v>348</v>
      </c>
      <c r="B459" s="44" t="s">
        <v>349</v>
      </c>
      <c r="C459" s="44" t="s">
        <v>120</v>
      </c>
      <c r="D459" s="85">
        <v>10104950025</v>
      </c>
      <c r="E459" s="44" t="s">
        <v>1206</v>
      </c>
      <c r="F459" s="44" t="s">
        <v>749</v>
      </c>
      <c r="G459" s="44" t="s">
        <v>353</v>
      </c>
      <c r="H459" s="44" t="s">
        <v>221</v>
      </c>
      <c r="I459" s="48" t="s">
        <v>481</v>
      </c>
      <c r="J459" s="45">
        <v>42795</v>
      </c>
      <c r="K459" s="45">
        <v>42795</v>
      </c>
      <c r="L459" s="45">
        <v>42794</v>
      </c>
    </row>
    <row r="460" spans="1:12" ht="18" customHeight="1">
      <c r="A460" s="43" t="s">
        <v>348</v>
      </c>
      <c r="B460" s="44" t="s">
        <v>349</v>
      </c>
      <c r="C460" s="44" t="s">
        <v>120</v>
      </c>
      <c r="D460" s="85">
        <v>10104914240</v>
      </c>
      <c r="E460" s="44" t="s">
        <v>838</v>
      </c>
      <c r="F460" s="44" t="s">
        <v>890</v>
      </c>
      <c r="G460" s="44" t="s">
        <v>353</v>
      </c>
      <c r="H460" s="44" t="s">
        <v>76</v>
      </c>
      <c r="I460" s="48" t="s">
        <v>482</v>
      </c>
      <c r="J460" s="45">
        <v>42779</v>
      </c>
      <c r="K460" s="45">
        <v>42779</v>
      </c>
      <c r="L460" s="45"/>
    </row>
    <row r="461" spans="1:12" ht="18" customHeight="1">
      <c r="A461" s="43" t="s">
        <v>348</v>
      </c>
      <c r="B461" s="44" t="s">
        <v>349</v>
      </c>
      <c r="C461" s="44" t="s">
        <v>120</v>
      </c>
      <c r="D461" s="85">
        <v>10104956195</v>
      </c>
      <c r="E461" s="44" t="s">
        <v>929</v>
      </c>
      <c r="F461" s="44" t="s">
        <v>213</v>
      </c>
      <c r="G461" s="44" t="s">
        <v>354</v>
      </c>
      <c r="H461" s="44" t="s">
        <v>74</v>
      </c>
      <c r="I461" s="48" t="s">
        <v>481</v>
      </c>
      <c r="J461" s="45">
        <v>42795</v>
      </c>
      <c r="K461" s="45">
        <v>42795</v>
      </c>
      <c r="L461" s="45">
        <v>42793</v>
      </c>
    </row>
    <row r="462" spans="1:12" ht="18" customHeight="1">
      <c r="A462" s="43" t="s">
        <v>348</v>
      </c>
      <c r="B462" s="44" t="s">
        <v>349</v>
      </c>
      <c r="C462" s="44" t="s">
        <v>120</v>
      </c>
      <c r="D462" s="85">
        <v>10104950026</v>
      </c>
      <c r="E462" s="44" t="s">
        <v>1207</v>
      </c>
      <c r="F462" s="44" t="s">
        <v>749</v>
      </c>
      <c r="G462" s="44" t="s">
        <v>354</v>
      </c>
      <c r="H462" s="44" t="s">
        <v>221</v>
      </c>
      <c r="I462" s="48" t="s">
        <v>481</v>
      </c>
      <c r="J462" s="45">
        <v>42795</v>
      </c>
      <c r="K462" s="45">
        <v>42795</v>
      </c>
      <c r="L462" s="45">
        <v>42794</v>
      </c>
    </row>
    <row r="463" spans="1:12" ht="18" customHeight="1">
      <c r="A463" s="43" t="s">
        <v>348</v>
      </c>
      <c r="B463" s="44" t="s">
        <v>349</v>
      </c>
      <c r="C463" s="44" t="s">
        <v>120</v>
      </c>
      <c r="D463" s="85">
        <v>10104906844</v>
      </c>
      <c r="E463" s="44" t="s">
        <v>870</v>
      </c>
      <c r="F463" s="44" t="s">
        <v>890</v>
      </c>
      <c r="G463" s="44" t="s">
        <v>354</v>
      </c>
      <c r="H463" s="44" t="s">
        <v>76</v>
      </c>
      <c r="I463" s="48" t="s">
        <v>482</v>
      </c>
      <c r="J463" s="45">
        <v>42779</v>
      </c>
      <c r="K463" s="45">
        <v>42779</v>
      </c>
      <c r="L463" s="45"/>
    </row>
    <row r="464" spans="1:12" ht="18" customHeight="1">
      <c r="A464" s="43" t="s">
        <v>348</v>
      </c>
      <c r="B464" s="44" t="s">
        <v>349</v>
      </c>
      <c r="C464" s="44" t="s">
        <v>120</v>
      </c>
      <c r="D464" s="85">
        <v>10104906845</v>
      </c>
      <c r="E464" s="44" t="s">
        <v>871</v>
      </c>
      <c r="F464" s="44" t="s">
        <v>213</v>
      </c>
      <c r="G464" s="44" t="s">
        <v>354</v>
      </c>
      <c r="H464" s="44" t="s">
        <v>74</v>
      </c>
      <c r="I464" s="48" t="s">
        <v>481</v>
      </c>
      <c r="J464" s="45">
        <v>42776</v>
      </c>
      <c r="K464" s="45">
        <v>42776</v>
      </c>
      <c r="L464" s="45">
        <v>42769</v>
      </c>
    </row>
    <row r="465" spans="1:12" ht="18" customHeight="1">
      <c r="A465" s="43" t="s">
        <v>348</v>
      </c>
      <c r="B465" s="44" t="s">
        <v>349</v>
      </c>
      <c r="C465" s="44" t="s">
        <v>120</v>
      </c>
      <c r="D465" s="85">
        <v>10104953653</v>
      </c>
      <c r="E465" s="44" t="s">
        <v>849</v>
      </c>
      <c r="F465" s="44" t="s">
        <v>216</v>
      </c>
      <c r="G465" s="44" t="s">
        <v>355</v>
      </c>
      <c r="H465" s="44" t="s">
        <v>76</v>
      </c>
      <c r="I465" s="48" t="s">
        <v>482</v>
      </c>
      <c r="J465" s="45">
        <v>42789</v>
      </c>
      <c r="K465" s="45">
        <v>42789</v>
      </c>
      <c r="L465" s="45"/>
    </row>
    <row r="466" spans="1:12" ht="18" customHeight="1">
      <c r="A466" s="43" t="s">
        <v>348</v>
      </c>
      <c r="B466" s="44" t="s">
        <v>349</v>
      </c>
      <c r="C466" s="44" t="s">
        <v>120</v>
      </c>
      <c r="D466" s="85">
        <v>10104914405</v>
      </c>
      <c r="E466" s="44" t="s">
        <v>368</v>
      </c>
      <c r="F466" s="44" t="s">
        <v>180</v>
      </c>
      <c r="G466" s="44" t="s">
        <v>356</v>
      </c>
      <c r="H466" s="44" t="s">
        <v>76</v>
      </c>
      <c r="I466" s="48" t="s">
        <v>482</v>
      </c>
      <c r="J466" s="45">
        <v>42779</v>
      </c>
      <c r="K466" s="45">
        <v>42790</v>
      </c>
      <c r="L466" s="45">
        <v>42783</v>
      </c>
    </row>
    <row r="467" spans="1:12" ht="18" customHeight="1">
      <c r="A467" s="43" t="s">
        <v>348</v>
      </c>
      <c r="B467" s="44" t="s">
        <v>349</v>
      </c>
      <c r="C467" s="44" t="s">
        <v>120</v>
      </c>
      <c r="D467" s="85">
        <v>10104914418</v>
      </c>
      <c r="E467" s="44" t="s">
        <v>1209</v>
      </c>
      <c r="F467" s="44" t="s">
        <v>180</v>
      </c>
      <c r="G467" s="44" t="s">
        <v>356</v>
      </c>
      <c r="H467" s="44" t="s">
        <v>76</v>
      </c>
      <c r="I467" s="48" t="s">
        <v>482</v>
      </c>
      <c r="J467" s="45">
        <v>42779</v>
      </c>
      <c r="K467" s="45">
        <v>42790</v>
      </c>
      <c r="L467" s="45">
        <v>42783</v>
      </c>
    </row>
    <row r="468" spans="1:12" ht="18" customHeight="1">
      <c r="A468" s="43" t="s">
        <v>348</v>
      </c>
      <c r="B468" s="44" t="s">
        <v>349</v>
      </c>
      <c r="C468" s="44" t="s">
        <v>120</v>
      </c>
      <c r="D468" s="85">
        <v>10104915414</v>
      </c>
      <c r="E468" s="44" t="s">
        <v>1210</v>
      </c>
      <c r="F468" s="44" t="s">
        <v>213</v>
      </c>
      <c r="G468" s="44" t="s">
        <v>356</v>
      </c>
      <c r="H468" s="44" t="s">
        <v>76</v>
      </c>
      <c r="I468" s="48" t="s">
        <v>482</v>
      </c>
      <c r="J468" s="45">
        <v>42781</v>
      </c>
      <c r="K468" s="45">
        <v>42790</v>
      </c>
      <c r="L468" s="45">
        <v>42783</v>
      </c>
    </row>
    <row r="469" spans="1:12" ht="18" customHeight="1">
      <c r="A469" s="43" t="s">
        <v>348</v>
      </c>
      <c r="B469" s="44" t="s">
        <v>349</v>
      </c>
      <c r="C469" s="44" t="s">
        <v>120</v>
      </c>
      <c r="D469" s="85">
        <v>10104915440</v>
      </c>
      <c r="E469" s="44" t="s">
        <v>1208</v>
      </c>
      <c r="F469" s="44" t="s">
        <v>180</v>
      </c>
      <c r="G469" s="44" t="s">
        <v>356</v>
      </c>
      <c r="H469" s="44" t="s">
        <v>76</v>
      </c>
      <c r="I469" s="48" t="s">
        <v>482</v>
      </c>
      <c r="J469" s="45">
        <v>42780</v>
      </c>
      <c r="K469" s="45">
        <v>42790</v>
      </c>
      <c r="L469" s="45">
        <v>42783</v>
      </c>
    </row>
    <row r="470" spans="1:12" ht="18" customHeight="1">
      <c r="A470" s="43" t="s">
        <v>348</v>
      </c>
      <c r="B470" s="44" t="s">
        <v>349</v>
      </c>
      <c r="C470" s="44" t="s">
        <v>120</v>
      </c>
      <c r="D470" s="85">
        <v>10104943791</v>
      </c>
      <c r="E470" s="44" t="s">
        <v>871</v>
      </c>
      <c r="F470" s="44" t="s">
        <v>213</v>
      </c>
      <c r="G470" s="44" t="s">
        <v>1194</v>
      </c>
      <c r="H470" s="44" t="s">
        <v>74</v>
      </c>
      <c r="I470" s="48" t="s">
        <v>481</v>
      </c>
      <c r="J470" s="45">
        <v>42792</v>
      </c>
      <c r="K470" s="45">
        <v>42792</v>
      </c>
      <c r="L470" s="45">
        <v>42792</v>
      </c>
    </row>
    <row r="471" spans="1:12" ht="18" customHeight="1">
      <c r="A471" s="43" t="s">
        <v>348</v>
      </c>
      <c r="B471" s="44" t="s">
        <v>349</v>
      </c>
      <c r="C471" s="44" t="s">
        <v>120</v>
      </c>
      <c r="D471" s="85">
        <v>10104950021</v>
      </c>
      <c r="E471" s="44" t="s">
        <v>1211</v>
      </c>
      <c r="F471" s="44" t="s">
        <v>749</v>
      </c>
      <c r="G471" s="44" t="s">
        <v>1194</v>
      </c>
      <c r="H471" s="44" t="s">
        <v>221</v>
      </c>
      <c r="I471" s="48" t="s">
        <v>481</v>
      </c>
      <c r="J471" s="45">
        <v>42795</v>
      </c>
      <c r="K471" s="45">
        <v>42795</v>
      </c>
      <c r="L471" s="45">
        <v>42794</v>
      </c>
    </row>
    <row r="472" spans="1:12" ht="18" customHeight="1">
      <c r="A472" s="43" t="s">
        <v>348</v>
      </c>
      <c r="B472" s="44" t="s">
        <v>349</v>
      </c>
      <c r="C472" s="44" t="s">
        <v>120</v>
      </c>
      <c r="D472" s="85">
        <v>10104931736</v>
      </c>
      <c r="E472" s="44" t="s">
        <v>849</v>
      </c>
      <c r="F472" s="44" t="s">
        <v>219</v>
      </c>
      <c r="G472" s="44" t="s">
        <v>1194</v>
      </c>
      <c r="H472" s="44" t="s">
        <v>76</v>
      </c>
      <c r="I472" s="48" t="s">
        <v>482</v>
      </c>
      <c r="J472" s="45">
        <v>42777</v>
      </c>
      <c r="K472" s="45">
        <v>42792</v>
      </c>
      <c r="L472" s="45"/>
    </row>
    <row r="473" spans="1:12" ht="18" customHeight="1">
      <c r="A473" s="43" t="s">
        <v>348</v>
      </c>
      <c r="B473" s="44" t="s">
        <v>349</v>
      </c>
      <c r="C473" s="44" t="s">
        <v>120</v>
      </c>
      <c r="D473" s="85">
        <v>10104914241</v>
      </c>
      <c r="E473" s="44" t="s">
        <v>1212</v>
      </c>
      <c r="F473" s="44" t="s">
        <v>890</v>
      </c>
      <c r="G473" s="44" t="s">
        <v>357</v>
      </c>
      <c r="H473" s="44" t="s">
        <v>76</v>
      </c>
      <c r="I473" s="48" t="s">
        <v>482</v>
      </c>
      <c r="J473" s="45">
        <v>42779</v>
      </c>
      <c r="K473" s="45">
        <v>42779</v>
      </c>
      <c r="L473" s="45"/>
    </row>
    <row r="474" spans="1:12" ht="18" customHeight="1">
      <c r="A474" s="43" t="s">
        <v>348</v>
      </c>
      <c r="B474" s="44" t="s">
        <v>349</v>
      </c>
      <c r="C474" s="44" t="s">
        <v>120</v>
      </c>
      <c r="D474" s="85">
        <v>10104950029</v>
      </c>
      <c r="E474" s="44" t="s">
        <v>1213</v>
      </c>
      <c r="F474" s="44" t="s">
        <v>749</v>
      </c>
      <c r="G474" s="44" t="s">
        <v>357</v>
      </c>
      <c r="H474" s="44" t="s">
        <v>221</v>
      </c>
      <c r="I474" s="48" t="s">
        <v>481</v>
      </c>
      <c r="J474" s="45">
        <v>42795</v>
      </c>
      <c r="K474" s="45">
        <v>42795</v>
      </c>
      <c r="L474" s="45">
        <v>42794</v>
      </c>
    </row>
    <row r="475" spans="1:12" ht="18" customHeight="1">
      <c r="A475" s="43" t="s">
        <v>348</v>
      </c>
      <c r="B475" s="44" t="s">
        <v>349</v>
      </c>
      <c r="C475" s="44" t="s">
        <v>120</v>
      </c>
      <c r="D475" s="85">
        <v>10104914285</v>
      </c>
      <c r="E475" s="44" t="s">
        <v>851</v>
      </c>
      <c r="F475" s="44" t="s">
        <v>180</v>
      </c>
      <c r="G475" s="44" t="s">
        <v>842</v>
      </c>
      <c r="H475" s="44" t="s">
        <v>74</v>
      </c>
      <c r="I475" s="48" t="s">
        <v>481</v>
      </c>
      <c r="J475" s="45">
        <v>42779</v>
      </c>
      <c r="K475" s="45">
        <v>42790</v>
      </c>
      <c r="L475" s="45">
        <v>42785</v>
      </c>
    </row>
    <row r="476" spans="1:12" ht="18" customHeight="1">
      <c r="A476" s="43" t="s">
        <v>348</v>
      </c>
      <c r="B476" s="44" t="s">
        <v>349</v>
      </c>
      <c r="C476" s="44" t="s">
        <v>120</v>
      </c>
      <c r="D476" s="85">
        <v>10104914284</v>
      </c>
      <c r="E476" s="44" t="s">
        <v>852</v>
      </c>
      <c r="F476" s="44" t="s">
        <v>213</v>
      </c>
      <c r="G476" s="44" t="s">
        <v>842</v>
      </c>
      <c r="H476" s="44" t="s">
        <v>76</v>
      </c>
      <c r="I476" s="48" t="s">
        <v>482</v>
      </c>
      <c r="J476" s="45">
        <v>42779</v>
      </c>
      <c r="K476" s="45">
        <v>42790</v>
      </c>
      <c r="L476" s="45">
        <v>42785</v>
      </c>
    </row>
    <row r="477" spans="1:12" ht="18" customHeight="1">
      <c r="A477" s="43" t="s">
        <v>348</v>
      </c>
      <c r="B477" s="44" t="s">
        <v>349</v>
      </c>
      <c r="C477" s="44" t="s">
        <v>120</v>
      </c>
      <c r="D477" s="85">
        <v>10104926984</v>
      </c>
      <c r="E477" s="44" t="s">
        <v>366</v>
      </c>
      <c r="F477" s="44" t="s">
        <v>213</v>
      </c>
      <c r="G477" s="44" t="s">
        <v>842</v>
      </c>
      <c r="H477" s="44" t="s">
        <v>74</v>
      </c>
      <c r="I477" s="48" t="s">
        <v>481</v>
      </c>
      <c r="J477" s="45">
        <v>42795</v>
      </c>
      <c r="K477" s="45">
        <v>42795</v>
      </c>
      <c r="L477" s="45">
        <v>42793</v>
      </c>
    </row>
    <row r="478" spans="1:12" ht="18" customHeight="1">
      <c r="A478" s="43" t="s">
        <v>348</v>
      </c>
      <c r="B478" s="44" t="s">
        <v>349</v>
      </c>
      <c r="C478" s="44" t="s">
        <v>120</v>
      </c>
      <c r="D478" s="85">
        <v>10104916112</v>
      </c>
      <c r="E478" s="44" t="s">
        <v>374</v>
      </c>
      <c r="F478" s="44" t="s">
        <v>213</v>
      </c>
      <c r="G478" s="44" t="s">
        <v>358</v>
      </c>
      <c r="H478" s="44" t="s">
        <v>74</v>
      </c>
      <c r="I478" s="48" t="s">
        <v>481</v>
      </c>
      <c r="J478" s="45">
        <v>42778</v>
      </c>
      <c r="K478" s="45">
        <v>42778</v>
      </c>
      <c r="L478" s="45">
        <v>42775</v>
      </c>
    </row>
    <row r="479" spans="1:12" ht="18" customHeight="1">
      <c r="A479" s="43" t="s">
        <v>348</v>
      </c>
      <c r="B479" s="44" t="s">
        <v>349</v>
      </c>
      <c r="C479" s="44" t="s">
        <v>120</v>
      </c>
      <c r="D479" s="85">
        <v>10104916111</v>
      </c>
      <c r="E479" s="44" t="s">
        <v>1214</v>
      </c>
      <c r="F479" s="44" t="s">
        <v>213</v>
      </c>
      <c r="G479" s="44" t="s">
        <v>358</v>
      </c>
      <c r="H479" s="44" t="s">
        <v>76</v>
      </c>
      <c r="I479" s="48" t="s">
        <v>482</v>
      </c>
      <c r="J479" s="45">
        <v>42778</v>
      </c>
      <c r="K479" s="45">
        <v>42778</v>
      </c>
      <c r="L479" s="45">
        <v>42775</v>
      </c>
    </row>
    <row r="480" spans="1:12" ht="18" customHeight="1">
      <c r="A480" s="43" t="s">
        <v>348</v>
      </c>
      <c r="B480" s="44" t="s">
        <v>349</v>
      </c>
      <c r="C480" s="44" t="s">
        <v>120</v>
      </c>
      <c r="D480" s="85">
        <v>10104916109</v>
      </c>
      <c r="E480" s="44" t="s">
        <v>1215</v>
      </c>
      <c r="F480" s="44" t="s">
        <v>213</v>
      </c>
      <c r="G480" s="44" t="s">
        <v>358</v>
      </c>
      <c r="H480" s="44" t="s">
        <v>76</v>
      </c>
      <c r="I480" s="48" t="s">
        <v>482</v>
      </c>
      <c r="J480" s="45">
        <v>42778</v>
      </c>
      <c r="K480" s="45">
        <v>42778</v>
      </c>
      <c r="L480" s="45">
        <v>42775</v>
      </c>
    </row>
    <row r="481" spans="1:12" ht="18" customHeight="1">
      <c r="A481" s="43" t="s">
        <v>348</v>
      </c>
      <c r="B481" s="44" t="s">
        <v>349</v>
      </c>
      <c r="C481" s="44" t="s">
        <v>120</v>
      </c>
      <c r="D481" s="85">
        <v>10104904568</v>
      </c>
      <c r="E481" s="44" t="s">
        <v>372</v>
      </c>
      <c r="F481" s="44" t="s">
        <v>180</v>
      </c>
      <c r="G481" s="44" t="s">
        <v>358</v>
      </c>
      <c r="H481" s="44" t="s">
        <v>76</v>
      </c>
      <c r="I481" s="48" t="s">
        <v>482</v>
      </c>
      <c r="J481" s="45">
        <v>42772</v>
      </c>
      <c r="K481" s="45">
        <v>42778</v>
      </c>
      <c r="L481" s="45">
        <v>42774</v>
      </c>
    </row>
    <row r="482" spans="1:12" ht="18" customHeight="1">
      <c r="A482" s="43" t="s">
        <v>348</v>
      </c>
      <c r="B482" s="44" t="s">
        <v>349</v>
      </c>
      <c r="C482" s="44" t="s">
        <v>120</v>
      </c>
      <c r="D482" s="85">
        <v>10104904567</v>
      </c>
      <c r="E482" s="44" t="s">
        <v>371</v>
      </c>
      <c r="F482" s="44" t="s">
        <v>180</v>
      </c>
      <c r="G482" s="44" t="s">
        <v>358</v>
      </c>
      <c r="H482" s="44" t="s">
        <v>131</v>
      </c>
      <c r="I482" s="48" t="s">
        <v>481</v>
      </c>
      <c r="J482" s="45">
        <v>42772</v>
      </c>
      <c r="K482" s="45">
        <v>42778</v>
      </c>
      <c r="L482" s="45">
        <v>42774</v>
      </c>
    </row>
    <row r="483" spans="1:12" ht="18" customHeight="1">
      <c r="A483" s="43" t="s">
        <v>348</v>
      </c>
      <c r="B483" s="44" t="s">
        <v>349</v>
      </c>
      <c r="C483" s="44" t="s">
        <v>120</v>
      </c>
      <c r="D483" s="85">
        <v>10104906898</v>
      </c>
      <c r="E483" s="44" t="s">
        <v>1216</v>
      </c>
      <c r="F483" s="44" t="s">
        <v>213</v>
      </c>
      <c r="G483" s="44" t="s">
        <v>361</v>
      </c>
      <c r="H483" s="44" t="s">
        <v>74</v>
      </c>
      <c r="I483" s="48" t="s">
        <v>481</v>
      </c>
      <c r="J483" s="45">
        <v>42779</v>
      </c>
      <c r="K483" s="45">
        <v>42782</v>
      </c>
      <c r="L483" s="45">
        <v>42776</v>
      </c>
    </row>
    <row r="484" spans="1:12" ht="18" customHeight="1">
      <c r="A484" s="43" t="s">
        <v>348</v>
      </c>
      <c r="B484" s="44" t="s">
        <v>349</v>
      </c>
      <c r="C484" s="44" t="s">
        <v>120</v>
      </c>
      <c r="D484" s="85">
        <v>10104938495</v>
      </c>
      <c r="E484" s="44" t="s">
        <v>373</v>
      </c>
      <c r="F484" s="44" t="s">
        <v>890</v>
      </c>
      <c r="G484" s="44" t="s">
        <v>361</v>
      </c>
      <c r="H484" s="44" t="s">
        <v>76</v>
      </c>
      <c r="I484" s="48" t="s">
        <v>482</v>
      </c>
      <c r="J484" s="45">
        <v>42778</v>
      </c>
      <c r="K484" s="45">
        <v>42778</v>
      </c>
      <c r="L484" s="45"/>
    </row>
    <row r="485" spans="1:12" ht="18" customHeight="1">
      <c r="A485" s="43" t="s">
        <v>348</v>
      </c>
      <c r="B485" s="44" t="s">
        <v>349</v>
      </c>
      <c r="C485" s="44" t="s">
        <v>120</v>
      </c>
      <c r="D485" s="85">
        <v>10104919891</v>
      </c>
      <c r="E485" s="44" t="s">
        <v>931</v>
      </c>
      <c r="F485" s="44" t="s">
        <v>213</v>
      </c>
      <c r="G485" s="44" t="s">
        <v>361</v>
      </c>
      <c r="H485" s="44" t="s">
        <v>74</v>
      </c>
      <c r="I485" s="48" t="s">
        <v>481</v>
      </c>
      <c r="J485" s="45">
        <v>42781</v>
      </c>
      <c r="K485" s="45">
        <v>42782</v>
      </c>
      <c r="L485" s="45">
        <v>42776</v>
      </c>
    </row>
    <row r="486" spans="1:12" ht="18" customHeight="1">
      <c r="A486" s="43" t="s">
        <v>348</v>
      </c>
      <c r="B486" s="44" t="s">
        <v>349</v>
      </c>
      <c r="C486" s="44" t="s">
        <v>120</v>
      </c>
      <c r="D486" s="85">
        <v>10104919892</v>
      </c>
      <c r="E486" s="44" t="s">
        <v>932</v>
      </c>
      <c r="F486" s="44" t="s">
        <v>213</v>
      </c>
      <c r="G486" s="44" t="s">
        <v>361</v>
      </c>
      <c r="H486" s="44" t="s">
        <v>122</v>
      </c>
      <c r="I486" s="48" t="s">
        <v>483</v>
      </c>
      <c r="J486" s="45">
        <v>42781</v>
      </c>
      <c r="K486" s="45">
        <v>42782</v>
      </c>
      <c r="L486" s="45">
        <v>42776</v>
      </c>
    </row>
    <row r="487" spans="1:12" ht="18" customHeight="1">
      <c r="A487" s="43" t="s">
        <v>348</v>
      </c>
      <c r="B487" s="44" t="s">
        <v>349</v>
      </c>
      <c r="C487" s="44" t="s">
        <v>120</v>
      </c>
      <c r="D487" s="85">
        <v>10104916128</v>
      </c>
      <c r="E487" s="44" t="s">
        <v>847</v>
      </c>
      <c r="F487" s="44" t="s">
        <v>213</v>
      </c>
      <c r="G487" s="44" t="s">
        <v>362</v>
      </c>
      <c r="H487" s="44" t="s">
        <v>76</v>
      </c>
      <c r="I487" s="48" t="s">
        <v>482</v>
      </c>
      <c r="J487" s="45">
        <v>42781</v>
      </c>
      <c r="K487" s="45">
        <v>42782</v>
      </c>
      <c r="L487" s="45">
        <v>42774</v>
      </c>
    </row>
    <row r="488" spans="1:12" ht="18" customHeight="1">
      <c r="A488" s="43" t="s">
        <v>348</v>
      </c>
      <c r="B488" s="44" t="s">
        <v>349</v>
      </c>
      <c r="C488" s="44" t="s">
        <v>120</v>
      </c>
      <c r="D488" s="85">
        <v>10104914288</v>
      </c>
      <c r="E488" s="44" t="s">
        <v>838</v>
      </c>
      <c r="F488" s="44" t="s">
        <v>213</v>
      </c>
      <c r="G488" s="44" t="s">
        <v>375</v>
      </c>
      <c r="H488" s="44" t="s">
        <v>76</v>
      </c>
      <c r="I488" s="48" t="s">
        <v>482</v>
      </c>
      <c r="J488" s="45">
        <v>42779</v>
      </c>
      <c r="K488" s="45">
        <v>42782</v>
      </c>
      <c r="L488" s="45">
        <v>42777</v>
      </c>
    </row>
    <row r="489" spans="1:12" ht="18" customHeight="1">
      <c r="A489" s="43" t="s">
        <v>348</v>
      </c>
      <c r="B489" s="44" t="s">
        <v>349</v>
      </c>
      <c r="C489" s="44" t="s">
        <v>120</v>
      </c>
      <c r="D489" s="85">
        <v>10104908805</v>
      </c>
      <c r="E489" s="44" t="s">
        <v>1219</v>
      </c>
      <c r="F489" s="44" t="s">
        <v>213</v>
      </c>
      <c r="G489" s="44" t="s">
        <v>363</v>
      </c>
      <c r="H489" s="44" t="s">
        <v>76</v>
      </c>
      <c r="I489" s="48" t="s">
        <v>482</v>
      </c>
      <c r="J489" s="45">
        <v>42795</v>
      </c>
      <c r="K489" s="45">
        <v>42795</v>
      </c>
      <c r="L489" s="45">
        <v>42793</v>
      </c>
    </row>
    <row r="490" spans="1:12" ht="18" customHeight="1">
      <c r="A490" s="43" t="s">
        <v>348</v>
      </c>
      <c r="B490" s="44" t="s">
        <v>349</v>
      </c>
      <c r="C490" s="44" t="s">
        <v>120</v>
      </c>
      <c r="D490" s="85">
        <v>10104908807</v>
      </c>
      <c r="E490" s="44" t="s">
        <v>1218</v>
      </c>
      <c r="F490" s="44" t="s">
        <v>180</v>
      </c>
      <c r="G490" s="44" t="s">
        <v>363</v>
      </c>
      <c r="H490" s="44" t="s">
        <v>74</v>
      </c>
      <c r="I490" s="48" t="s">
        <v>481</v>
      </c>
      <c r="J490" s="45">
        <v>42795</v>
      </c>
      <c r="K490" s="45">
        <v>42795</v>
      </c>
      <c r="L490" s="45">
        <v>42793</v>
      </c>
    </row>
    <row r="491" spans="1:12" ht="18" customHeight="1">
      <c r="A491" s="43" t="s">
        <v>348</v>
      </c>
      <c r="B491" s="44" t="s">
        <v>349</v>
      </c>
      <c r="C491" s="44" t="s">
        <v>120</v>
      </c>
      <c r="D491" s="85">
        <v>10104910355</v>
      </c>
      <c r="E491" s="44" t="s">
        <v>376</v>
      </c>
      <c r="F491" s="44" t="s">
        <v>213</v>
      </c>
      <c r="G491" s="44" t="s">
        <v>363</v>
      </c>
      <c r="H491" s="44" t="s">
        <v>76</v>
      </c>
      <c r="I491" s="48" t="s">
        <v>482</v>
      </c>
      <c r="J491" s="45">
        <v>42795</v>
      </c>
      <c r="K491" s="45">
        <v>42795</v>
      </c>
      <c r="L491" s="45">
        <v>42793</v>
      </c>
    </row>
    <row r="492" spans="1:12" ht="18" customHeight="1">
      <c r="A492" s="43" t="s">
        <v>348</v>
      </c>
      <c r="B492" s="44" t="s">
        <v>349</v>
      </c>
      <c r="C492" s="44" t="s">
        <v>120</v>
      </c>
      <c r="D492" s="85">
        <v>10104908836</v>
      </c>
      <c r="E492" s="44" t="s">
        <v>1217</v>
      </c>
      <c r="F492" s="44" t="s">
        <v>219</v>
      </c>
      <c r="G492" s="44" t="s">
        <v>363</v>
      </c>
      <c r="H492" s="44" t="s">
        <v>76</v>
      </c>
      <c r="I492" s="48" t="s">
        <v>482</v>
      </c>
      <c r="J492" s="45">
        <v>42795</v>
      </c>
      <c r="K492" s="45">
        <v>42795</v>
      </c>
      <c r="L492" s="45"/>
    </row>
    <row r="493" spans="1:12" ht="18" customHeight="1">
      <c r="A493" s="43" t="s">
        <v>348</v>
      </c>
      <c r="B493" s="44" t="s">
        <v>349</v>
      </c>
      <c r="C493" s="44" t="s">
        <v>120</v>
      </c>
      <c r="D493" s="85">
        <v>10104881629</v>
      </c>
      <c r="E493" s="44" t="s">
        <v>845</v>
      </c>
      <c r="F493" s="44" t="s">
        <v>180</v>
      </c>
      <c r="G493" s="44" t="s">
        <v>843</v>
      </c>
      <c r="H493" s="44" t="s">
        <v>74</v>
      </c>
      <c r="I493" s="48" t="s">
        <v>481</v>
      </c>
      <c r="J493" s="45">
        <v>42777</v>
      </c>
      <c r="K493" s="45">
        <v>42782</v>
      </c>
      <c r="L493" s="45">
        <v>42779</v>
      </c>
    </row>
    <row r="494" spans="1:12" ht="18" customHeight="1">
      <c r="A494" s="43" t="s">
        <v>348</v>
      </c>
      <c r="B494" s="44" t="s">
        <v>349</v>
      </c>
      <c r="C494" s="44" t="s">
        <v>120</v>
      </c>
      <c r="D494" s="85">
        <v>10104881628</v>
      </c>
      <c r="E494" s="44" t="s">
        <v>844</v>
      </c>
      <c r="F494" s="44" t="s">
        <v>213</v>
      </c>
      <c r="G494" s="44" t="s">
        <v>843</v>
      </c>
      <c r="H494" s="44" t="s">
        <v>76</v>
      </c>
      <c r="I494" s="48" t="s">
        <v>482</v>
      </c>
      <c r="J494" s="45">
        <v>42777</v>
      </c>
      <c r="K494" s="45">
        <v>42782</v>
      </c>
      <c r="L494" s="45">
        <v>42779</v>
      </c>
    </row>
    <row r="495" spans="1:12" ht="18" customHeight="1">
      <c r="A495" s="43" t="s">
        <v>348</v>
      </c>
      <c r="B495" s="44" t="s">
        <v>349</v>
      </c>
      <c r="C495" s="44" t="s">
        <v>120</v>
      </c>
      <c r="D495" s="85">
        <v>10104950028</v>
      </c>
      <c r="E495" s="44" t="s">
        <v>1220</v>
      </c>
      <c r="F495" s="44" t="s">
        <v>749</v>
      </c>
      <c r="G495" s="44" t="s">
        <v>365</v>
      </c>
      <c r="H495" s="44" t="s">
        <v>221</v>
      </c>
      <c r="I495" s="48" t="s">
        <v>481</v>
      </c>
      <c r="J495" s="45">
        <v>42795</v>
      </c>
      <c r="K495" s="45">
        <v>42795</v>
      </c>
      <c r="L495" s="45">
        <v>42794</v>
      </c>
    </row>
    <row r="496" spans="1:12" ht="18" customHeight="1">
      <c r="A496" s="43" t="s">
        <v>348</v>
      </c>
      <c r="B496" s="44" t="s">
        <v>349</v>
      </c>
      <c r="C496" s="44" t="s">
        <v>120</v>
      </c>
      <c r="D496" s="85">
        <v>10104914281</v>
      </c>
      <c r="E496" s="44" t="s">
        <v>851</v>
      </c>
      <c r="F496" s="44" t="s">
        <v>213</v>
      </c>
      <c r="G496" s="44" t="s">
        <v>365</v>
      </c>
      <c r="H496" s="44" t="s">
        <v>74</v>
      </c>
      <c r="I496" s="48" t="s">
        <v>481</v>
      </c>
      <c r="J496" s="45">
        <v>42795</v>
      </c>
      <c r="K496" s="45">
        <v>42795</v>
      </c>
      <c r="L496" s="45">
        <v>42793</v>
      </c>
    </row>
    <row r="497" spans="1:12" ht="18" customHeight="1">
      <c r="A497" s="43" t="s">
        <v>348</v>
      </c>
      <c r="B497" s="44" t="s">
        <v>349</v>
      </c>
      <c r="C497" s="44" t="s">
        <v>120</v>
      </c>
      <c r="D497" s="85">
        <v>10104914280</v>
      </c>
      <c r="E497" s="44" t="s">
        <v>852</v>
      </c>
      <c r="F497" s="44" t="s">
        <v>890</v>
      </c>
      <c r="G497" s="44" t="s">
        <v>365</v>
      </c>
      <c r="H497" s="44" t="s">
        <v>76</v>
      </c>
      <c r="I497" s="48" t="s">
        <v>482</v>
      </c>
      <c r="J497" s="45">
        <v>42779</v>
      </c>
      <c r="K497" s="45">
        <v>42779</v>
      </c>
      <c r="L497" s="45"/>
    </row>
    <row r="498" spans="1:12" ht="18" customHeight="1">
      <c r="A498" s="43" t="s">
        <v>348</v>
      </c>
      <c r="B498" s="44" t="s">
        <v>349</v>
      </c>
      <c r="C498" s="44" t="s">
        <v>120</v>
      </c>
      <c r="D498" s="85">
        <v>10104949960</v>
      </c>
      <c r="E498" s="44" t="s">
        <v>1221</v>
      </c>
      <c r="F498" s="44" t="s">
        <v>749</v>
      </c>
      <c r="G498" s="44" t="s">
        <v>1222</v>
      </c>
      <c r="H498" s="44" t="s">
        <v>221</v>
      </c>
      <c r="I498" s="48" t="s">
        <v>481</v>
      </c>
      <c r="J498" s="45">
        <v>42795</v>
      </c>
      <c r="K498" s="45">
        <v>42795</v>
      </c>
      <c r="L498" s="45">
        <v>42794</v>
      </c>
    </row>
    <row r="499" spans="1:12" ht="18" customHeight="1">
      <c r="A499" s="43" t="s">
        <v>348</v>
      </c>
      <c r="B499" s="44" t="s">
        <v>344</v>
      </c>
      <c r="C499" s="44" t="s">
        <v>120</v>
      </c>
      <c r="D499" s="85">
        <v>10104950030</v>
      </c>
      <c r="E499" s="44" t="s">
        <v>1223</v>
      </c>
      <c r="F499" s="44" t="s">
        <v>749</v>
      </c>
      <c r="G499" s="44" t="s">
        <v>1198</v>
      </c>
      <c r="H499" s="44" t="s">
        <v>221</v>
      </c>
      <c r="I499" s="48" t="s">
        <v>481</v>
      </c>
      <c r="J499" s="45">
        <v>42795</v>
      </c>
      <c r="K499" s="45">
        <v>42795</v>
      </c>
      <c r="L499" s="45">
        <v>42794</v>
      </c>
    </row>
    <row r="500" spans="1:12" ht="18" customHeight="1">
      <c r="A500" s="43" t="s">
        <v>377</v>
      </c>
      <c r="B500" s="44" t="s">
        <v>380</v>
      </c>
      <c r="C500" s="44" t="s">
        <v>73</v>
      </c>
      <c r="D500" s="85">
        <v>10104923797</v>
      </c>
      <c r="E500" s="44" t="s">
        <v>1226</v>
      </c>
      <c r="F500" s="44" t="s">
        <v>180</v>
      </c>
      <c r="G500" s="44" t="s">
        <v>1225</v>
      </c>
      <c r="H500" s="44" t="s">
        <v>74</v>
      </c>
      <c r="I500" s="48" t="s">
        <v>481</v>
      </c>
      <c r="J500" s="45">
        <v>42780</v>
      </c>
      <c r="K500" s="45">
        <v>42780</v>
      </c>
      <c r="L500" s="45">
        <v>42779</v>
      </c>
    </row>
    <row r="501" spans="1:12" ht="18" customHeight="1">
      <c r="A501" s="43" t="s">
        <v>377</v>
      </c>
      <c r="B501" s="44" t="s">
        <v>380</v>
      </c>
      <c r="C501" s="44" t="s">
        <v>73</v>
      </c>
      <c r="D501" s="85">
        <v>10104923798</v>
      </c>
      <c r="E501" s="44" t="s">
        <v>1224</v>
      </c>
      <c r="F501" s="44" t="s">
        <v>180</v>
      </c>
      <c r="G501" s="44" t="s">
        <v>1225</v>
      </c>
      <c r="H501" s="44" t="s">
        <v>74</v>
      </c>
      <c r="I501" s="48" t="s">
        <v>481</v>
      </c>
      <c r="J501" s="45">
        <v>42780</v>
      </c>
      <c r="K501" s="45">
        <v>42780</v>
      </c>
      <c r="L501" s="45">
        <v>42779</v>
      </c>
    </row>
    <row r="502" spans="1:12" ht="18" customHeight="1">
      <c r="A502" s="43" t="s">
        <v>377</v>
      </c>
      <c r="B502" s="44" t="s">
        <v>379</v>
      </c>
      <c r="C502" s="44" t="s">
        <v>73</v>
      </c>
      <c r="D502" s="85">
        <v>10104897024</v>
      </c>
      <c r="E502" s="44" t="s">
        <v>1227</v>
      </c>
      <c r="F502" s="44" t="s">
        <v>180</v>
      </c>
      <c r="G502" s="44" t="s">
        <v>853</v>
      </c>
      <c r="H502" s="44" t="s">
        <v>76</v>
      </c>
      <c r="I502" s="48" t="s">
        <v>482</v>
      </c>
      <c r="J502" s="45">
        <v>42768</v>
      </c>
      <c r="K502" s="45">
        <v>42771</v>
      </c>
      <c r="L502" s="45">
        <v>42771</v>
      </c>
    </row>
    <row r="503" spans="1:12" ht="18" customHeight="1">
      <c r="A503" s="43" t="s">
        <v>377</v>
      </c>
      <c r="B503" s="44" t="s">
        <v>380</v>
      </c>
      <c r="C503" s="44" t="s">
        <v>73</v>
      </c>
      <c r="D503" s="85">
        <v>10104914322</v>
      </c>
      <c r="E503" s="44" t="s">
        <v>1228</v>
      </c>
      <c r="F503" s="44" t="s">
        <v>180</v>
      </c>
      <c r="G503" s="44" t="s">
        <v>1229</v>
      </c>
      <c r="H503" s="44" t="s">
        <v>74</v>
      </c>
      <c r="I503" s="48" t="s">
        <v>481</v>
      </c>
      <c r="J503" s="45">
        <v>42780</v>
      </c>
      <c r="K503" s="45">
        <v>42780</v>
      </c>
      <c r="L503" s="45">
        <v>42777</v>
      </c>
    </row>
    <row r="504" spans="1:12" ht="18" customHeight="1">
      <c r="A504" s="43" t="s">
        <v>377</v>
      </c>
      <c r="B504" s="44" t="s">
        <v>379</v>
      </c>
      <c r="C504" s="44" t="s">
        <v>73</v>
      </c>
      <c r="D504" s="85">
        <v>10104893618</v>
      </c>
      <c r="E504" s="44" t="s">
        <v>1231</v>
      </c>
      <c r="F504" s="44" t="s">
        <v>180</v>
      </c>
      <c r="G504" s="44" t="s">
        <v>755</v>
      </c>
      <c r="H504" s="44" t="s">
        <v>76</v>
      </c>
      <c r="I504" s="48" t="s">
        <v>482</v>
      </c>
      <c r="J504" s="45">
        <v>42775</v>
      </c>
      <c r="K504" s="45">
        <v>42775</v>
      </c>
      <c r="L504" s="45">
        <v>42775</v>
      </c>
    </row>
    <row r="505" spans="1:12" ht="18" customHeight="1">
      <c r="A505" s="43" t="s">
        <v>377</v>
      </c>
      <c r="B505" s="44" t="s">
        <v>379</v>
      </c>
      <c r="C505" s="44" t="s">
        <v>73</v>
      </c>
      <c r="D505" s="85">
        <v>10104893643</v>
      </c>
      <c r="E505" s="44" t="s">
        <v>1232</v>
      </c>
      <c r="F505" s="44" t="s">
        <v>180</v>
      </c>
      <c r="G505" s="44" t="s">
        <v>755</v>
      </c>
      <c r="H505" s="44" t="s">
        <v>76</v>
      </c>
      <c r="I505" s="48" t="s">
        <v>482</v>
      </c>
      <c r="J505" s="45">
        <v>42775</v>
      </c>
      <c r="K505" s="45">
        <v>42775</v>
      </c>
      <c r="L505" s="45">
        <v>42775</v>
      </c>
    </row>
    <row r="506" spans="1:12" ht="18" customHeight="1">
      <c r="A506" s="43" t="s">
        <v>377</v>
      </c>
      <c r="B506" s="44" t="s">
        <v>379</v>
      </c>
      <c r="C506" s="44" t="s">
        <v>73</v>
      </c>
      <c r="D506" s="85">
        <v>10104893645</v>
      </c>
      <c r="E506" s="44" t="s">
        <v>1230</v>
      </c>
      <c r="F506" s="44" t="s">
        <v>180</v>
      </c>
      <c r="G506" s="44" t="s">
        <v>755</v>
      </c>
      <c r="H506" s="44" t="s">
        <v>76</v>
      </c>
      <c r="I506" s="48" t="s">
        <v>482</v>
      </c>
      <c r="J506" s="45">
        <v>42773</v>
      </c>
      <c r="K506" s="45">
        <v>42773</v>
      </c>
      <c r="L506" s="45">
        <v>42772</v>
      </c>
    </row>
    <row r="507" spans="1:12" ht="18" customHeight="1">
      <c r="A507" s="43" t="s">
        <v>377</v>
      </c>
      <c r="B507" s="44" t="s">
        <v>379</v>
      </c>
      <c r="C507" s="44" t="s">
        <v>73</v>
      </c>
      <c r="D507" s="85">
        <v>10104893624</v>
      </c>
      <c r="E507" s="44" t="s">
        <v>943</v>
      </c>
      <c r="F507" s="44" t="s">
        <v>180</v>
      </c>
      <c r="G507" s="44" t="s">
        <v>933</v>
      </c>
      <c r="H507" s="44" t="s">
        <v>76</v>
      </c>
      <c r="I507" s="48" t="s">
        <v>482</v>
      </c>
      <c r="J507" s="45">
        <v>42773</v>
      </c>
      <c r="K507" s="45">
        <v>42773</v>
      </c>
      <c r="L507" s="45">
        <v>42772</v>
      </c>
    </row>
    <row r="508" spans="1:12" ht="18" customHeight="1">
      <c r="A508" s="43" t="s">
        <v>377</v>
      </c>
      <c r="B508" s="44" t="s">
        <v>379</v>
      </c>
      <c r="C508" s="44" t="s">
        <v>73</v>
      </c>
      <c r="D508" s="85">
        <v>10104893597</v>
      </c>
      <c r="E508" s="44" t="s">
        <v>1233</v>
      </c>
      <c r="F508" s="44" t="s">
        <v>180</v>
      </c>
      <c r="G508" s="44" t="s">
        <v>933</v>
      </c>
      <c r="H508" s="44" t="s">
        <v>76</v>
      </c>
      <c r="I508" s="48" t="s">
        <v>482</v>
      </c>
      <c r="J508" s="45">
        <v>42775</v>
      </c>
      <c r="K508" s="45">
        <v>42775</v>
      </c>
      <c r="L508" s="45">
        <v>42775</v>
      </c>
    </row>
    <row r="509" spans="1:12" ht="18" customHeight="1">
      <c r="A509" s="43" t="s">
        <v>377</v>
      </c>
      <c r="B509" s="44" t="s">
        <v>379</v>
      </c>
      <c r="C509" s="44" t="s">
        <v>73</v>
      </c>
      <c r="D509" s="85">
        <v>10104893622</v>
      </c>
      <c r="E509" s="44" t="s">
        <v>1234</v>
      </c>
      <c r="F509" s="44" t="s">
        <v>180</v>
      </c>
      <c r="G509" s="44" t="s">
        <v>933</v>
      </c>
      <c r="H509" s="44" t="s">
        <v>76</v>
      </c>
      <c r="I509" s="48" t="s">
        <v>482</v>
      </c>
      <c r="J509" s="45">
        <v>42775</v>
      </c>
      <c r="K509" s="45">
        <v>42775</v>
      </c>
      <c r="L509" s="45">
        <v>42775</v>
      </c>
    </row>
    <row r="510" spans="1:12" ht="18" customHeight="1">
      <c r="A510" s="43" t="s">
        <v>377</v>
      </c>
      <c r="B510" s="44" t="s">
        <v>379</v>
      </c>
      <c r="C510" s="44" t="s">
        <v>73</v>
      </c>
      <c r="D510" s="85">
        <v>10104893625</v>
      </c>
      <c r="E510" s="44" t="s">
        <v>940</v>
      </c>
      <c r="F510" s="44" t="s">
        <v>180</v>
      </c>
      <c r="G510" s="44" t="s">
        <v>933</v>
      </c>
      <c r="H510" s="44" t="s">
        <v>76</v>
      </c>
      <c r="I510" s="48" t="s">
        <v>482</v>
      </c>
      <c r="J510" s="45">
        <v>42773</v>
      </c>
      <c r="K510" s="45">
        <v>42773</v>
      </c>
      <c r="L510" s="45">
        <v>42772</v>
      </c>
    </row>
    <row r="511" spans="1:12" ht="18" customHeight="1">
      <c r="A511" s="43" t="s">
        <v>377</v>
      </c>
      <c r="B511" s="44" t="s">
        <v>379</v>
      </c>
      <c r="C511" s="44" t="s">
        <v>73</v>
      </c>
      <c r="D511" s="85">
        <v>10104893601</v>
      </c>
      <c r="E511" s="44" t="s">
        <v>939</v>
      </c>
      <c r="F511" s="44" t="s">
        <v>180</v>
      </c>
      <c r="G511" s="44" t="s">
        <v>933</v>
      </c>
      <c r="H511" s="44" t="s">
        <v>76</v>
      </c>
      <c r="I511" s="48" t="s">
        <v>482</v>
      </c>
      <c r="J511" s="45">
        <v>42773</v>
      </c>
      <c r="K511" s="45">
        <v>42773</v>
      </c>
      <c r="L511" s="45">
        <v>42772</v>
      </c>
    </row>
    <row r="512" spans="1:12" ht="18" customHeight="1">
      <c r="A512" s="43" t="s">
        <v>377</v>
      </c>
      <c r="B512" s="44" t="s">
        <v>380</v>
      </c>
      <c r="C512" s="44" t="s">
        <v>73</v>
      </c>
      <c r="D512" s="85">
        <v>10104930779</v>
      </c>
      <c r="E512" s="44" t="s">
        <v>1235</v>
      </c>
      <c r="F512" s="44" t="s">
        <v>180</v>
      </c>
      <c r="G512" s="44" t="s">
        <v>436</v>
      </c>
      <c r="H512" s="44" t="s">
        <v>74</v>
      </c>
      <c r="I512" s="48" t="s">
        <v>481</v>
      </c>
      <c r="J512" s="45">
        <v>42794</v>
      </c>
      <c r="K512" s="45">
        <v>42795</v>
      </c>
      <c r="L512" s="45">
        <v>42794</v>
      </c>
    </row>
    <row r="513" spans="1:12" ht="18" customHeight="1">
      <c r="A513" s="43" t="s">
        <v>377</v>
      </c>
      <c r="B513" s="44" t="s">
        <v>379</v>
      </c>
      <c r="C513" s="44" t="s">
        <v>73</v>
      </c>
      <c r="D513" s="85">
        <v>10104893598</v>
      </c>
      <c r="E513" s="44" t="s">
        <v>1236</v>
      </c>
      <c r="F513" s="44" t="s">
        <v>180</v>
      </c>
      <c r="G513" s="44" t="s">
        <v>935</v>
      </c>
      <c r="H513" s="44" t="s">
        <v>76</v>
      </c>
      <c r="I513" s="48" t="s">
        <v>482</v>
      </c>
      <c r="J513" s="45">
        <v>42773</v>
      </c>
      <c r="K513" s="45">
        <v>42773</v>
      </c>
      <c r="L513" s="45">
        <v>42772</v>
      </c>
    </row>
    <row r="514" spans="1:12" ht="18" customHeight="1">
      <c r="A514" s="43" t="s">
        <v>377</v>
      </c>
      <c r="B514" s="44" t="s">
        <v>379</v>
      </c>
      <c r="C514" s="44" t="s">
        <v>73</v>
      </c>
      <c r="D514" s="85">
        <v>10104893619</v>
      </c>
      <c r="E514" s="44" t="s">
        <v>1237</v>
      </c>
      <c r="F514" s="44" t="s">
        <v>180</v>
      </c>
      <c r="G514" s="44" t="s">
        <v>935</v>
      </c>
      <c r="H514" s="44" t="s">
        <v>76</v>
      </c>
      <c r="I514" s="48" t="s">
        <v>482</v>
      </c>
      <c r="J514" s="45">
        <v>42773</v>
      </c>
      <c r="K514" s="45">
        <v>42773</v>
      </c>
      <c r="L514" s="45">
        <v>42772</v>
      </c>
    </row>
    <row r="515" spans="1:12" ht="18" customHeight="1">
      <c r="A515" s="43" t="s">
        <v>377</v>
      </c>
      <c r="B515" s="44" t="s">
        <v>380</v>
      </c>
      <c r="C515" s="44" t="s">
        <v>73</v>
      </c>
      <c r="D515" s="85">
        <v>10104914321</v>
      </c>
      <c r="E515" s="44" t="s">
        <v>1238</v>
      </c>
      <c r="F515" s="44" t="s">
        <v>180</v>
      </c>
      <c r="G515" s="44" t="s">
        <v>437</v>
      </c>
      <c r="H515" s="44" t="s">
        <v>74</v>
      </c>
      <c r="I515" s="48" t="s">
        <v>481</v>
      </c>
      <c r="J515" s="45">
        <v>42794</v>
      </c>
      <c r="K515" s="45">
        <v>42795</v>
      </c>
      <c r="L515" s="45">
        <v>42794</v>
      </c>
    </row>
    <row r="516" spans="1:12" ht="18" customHeight="1">
      <c r="A516" s="43" t="s">
        <v>377</v>
      </c>
      <c r="B516" s="44" t="s">
        <v>379</v>
      </c>
      <c r="C516" s="44" t="s">
        <v>73</v>
      </c>
      <c r="D516" s="85">
        <v>10104898035</v>
      </c>
      <c r="E516" s="44" t="s">
        <v>381</v>
      </c>
      <c r="F516" s="44" t="s">
        <v>180</v>
      </c>
      <c r="G516" s="44" t="s">
        <v>382</v>
      </c>
      <c r="H516" s="44" t="s">
        <v>76</v>
      </c>
      <c r="I516" s="48" t="s">
        <v>482</v>
      </c>
      <c r="J516" s="45">
        <v>42769</v>
      </c>
      <c r="K516" s="45">
        <v>42771</v>
      </c>
      <c r="L516" s="45">
        <v>42770</v>
      </c>
    </row>
    <row r="517" spans="1:12" ht="18" customHeight="1">
      <c r="A517" s="43" t="s">
        <v>377</v>
      </c>
      <c r="B517" s="44" t="s">
        <v>379</v>
      </c>
      <c r="C517" s="44" t="s">
        <v>73</v>
      </c>
      <c r="D517" s="85">
        <v>10104898036</v>
      </c>
      <c r="E517" s="44" t="s">
        <v>381</v>
      </c>
      <c r="F517" s="44" t="s">
        <v>180</v>
      </c>
      <c r="G517" s="44" t="s">
        <v>383</v>
      </c>
      <c r="H517" s="44" t="s">
        <v>76</v>
      </c>
      <c r="I517" s="48" t="s">
        <v>482</v>
      </c>
      <c r="J517" s="45">
        <v>42769</v>
      </c>
      <c r="K517" s="45">
        <v>42771</v>
      </c>
      <c r="L517" s="45">
        <v>42771</v>
      </c>
    </row>
    <row r="518" spans="1:12" ht="18" customHeight="1">
      <c r="A518" s="43" t="s">
        <v>377</v>
      </c>
      <c r="B518" s="44" t="s">
        <v>385</v>
      </c>
      <c r="C518" s="44" t="s">
        <v>73</v>
      </c>
      <c r="D518" s="85">
        <v>10104911919</v>
      </c>
      <c r="E518" s="44" t="s">
        <v>1239</v>
      </c>
      <c r="F518" s="44" t="s">
        <v>180</v>
      </c>
      <c r="G518" s="44" t="s">
        <v>384</v>
      </c>
      <c r="H518" s="44" t="s">
        <v>76</v>
      </c>
      <c r="I518" s="48" t="s">
        <v>482</v>
      </c>
      <c r="J518" s="45">
        <v>42772</v>
      </c>
      <c r="K518" s="45">
        <v>42772</v>
      </c>
      <c r="L518" s="45">
        <v>42772</v>
      </c>
    </row>
    <row r="519" spans="1:12" ht="18" customHeight="1">
      <c r="A519" s="43" t="s">
        <v>377</v>
      </c>
      <c r="B519" s="44" t="s">
        <v>380</v>
      </c>
      <c r="C519" s="44" t="s">
        <v>73</v>
      </c>
      <c r="D519" s="85">
        <v>10104929949</v>
      </c>
      <c r="E519" s="44" t="s">
        <v>1240</v>
      </c>
      <c r="F519" s="44" t="s">
        <v>180</v>
      </c>
      <c r="G519" s="44" t="s">
        <v>384</v>
      </c>
      <c r="H519" s="44" t="s">
        <v>74</v>
      </c>
      <c r="I519" s="48" t="s">
        <v>481</v>
      </c>
      <c r="J519" s="45">
        <v>42777</v>
      </c>
      <c r="K519" s="45">
        <v>42795</v>
      </c>
      <c r="L519" s="45">
        <v>42787</v>
      </c>
    </row>
    <row r="520" spans="1:12" ht="18" customHeight="1">
      <c r="A520" s="43" t="s">
        <v>377</v>
      </c>
      <c r="B520" s="44" t="s">
        <v>380</v>
      </c>
      <c r="C520" s="44" t="s">
        <v>73</v>
      </c>
      <c r="D520" s="85">
        <v>10104947835</v>
      </c>
      <c r="E520" s="44" t="s">
        <v>386</v>
      </c>
      <c r="F520" s="44" t="s">
        <v>146</v>
      </c>
      <c r="G520" s="44" t="s">
        <v>387</v>
      </c>
      <c r="H520" s="44" t="s">
        <v>74</v>
      </c>
      <c r="I520" s="48" t="s">
        <v>481</v>
      </c>
      <c r="J520" s="45">
        <v>42778</v>
      </c>
      <c r="K520" s="45">
        <v>42781</v>
      </c>
      <c r="L520" s="45"/>
    </row>
    <row r="521" spans="1:12" ht="18" customHeight="1">
      <c r="A521" s="43" t="s">
        <v>377</v>
      </c>
      <c r="B521" s="44" t="s">
        <v>385</v>
      </c>
      <c r="C521" s="44" t="s">
        <v>73</v>
      </c>
      <c r="D521" s="85">
        <v>10104899229</v>
      </c>
      <c r="E521" s="44" t="s">
        <v>1241</v>
      </c>
      <c r="F521" s="44" t="s">
        <v>180</v>
      </c>
      <c r="G521" s="44" t="s">
        <v>388</v>
      </c>
      <c r="H521" s="44" t="s">
        <v>74</v>
      </c>
      <c r="I521" s="48" t="s">
        <v>481</v>
      </c>
      <c r="J521" s="45">
        <v>42768</v>
      </c>
      <c r="K521" s="45">
        <v>42768</v>
      </c>
      <c r="L521" s="45">
        <v>42768</v>
      </c>
    </row>
    <row r="522" spans="1:12" ht="18" customHeight="1">
      <c r="A522" s="43" t="s">
        <v>377</v>
      </c>
      <c r="B522" s="44" t="s">
        <v>380</v>
      </c>
      <c r="C522" s="44" t="s">
        <v>73</v>
      </c>
      <c r="D522" s="85">
        <v>10104899196</v>
      </c>
      <c r="E522" s="44" t="s">
        <v>1242</v>
      </c>
      <c r="F522" s="44" t="s">
        <v>180</v>
      </c>
      <c r="G522" s="44" t="s">
        <v>389</v>
      </c>
      <c r="H522" s="44" t="s">
        <v>74</v>
      </c>
      <c r="I522" s="48" t="s">
        <v>481</v>
      </c>
      <c r="J522" s="45">
        <v>42768</v>
      </c>
      <c r="K522" s="45">
        <v>42768</v>
      </c>
      <c r="L522" s="45">
        <v>42768</v>
      </c>
    </row>
    <row r="523" spans="1:12" ht="18" customHeight="1">
      <c r="A523" s="43" t="s">
        <v>377</v>
      </c>
      <c r="B523" s="44" t="s">
        <v>380</v>
      </c>
      <c r="C523" s="44" t="s">
        <v>73</v>
      </c>
      <c r="D523" s="85">
        <v>10104947833</v>
      </c>
      <c r="E523" s="44" t="s">
        <v>800</v>
      </c>
      <c r="F523" s="44" t="s">
        <v>180</v>
      </c>
      <c r="G523" s="44" t="s">
        <v>390</v>
      </c>
      <c r="H523" s="44" t="s">
        <v>74</v>
      </c>
      <c r="I523" s="48" t="s">
        <v>481</v>
      </c>
      <c r="J523" s="45">
        <v>42778</v>
      </c>
      <c r="K523" s="45">
        <v>42790</v>
      </c>
      <c r="L523" s="45">
        <v>42787</v>
      </c>
    </row>
    <row r="524" spans="1:12" ht="18" customHeight="1">
      <c r="A524" s="43" t="s">
        <v>377</v>
      </c>
      <c r="B524" s="44" t="s">
        <v>380</v>
      </c>
      <c r="C524" s="44" t="s">
        <v>73</v>
      </c>
      <c r="D524" s="85">
        <v>10104933007</v>
      </c>
      <c r="E524" s="44" t="s">
        <v>391</v>
      </c>
      <c r="F524" s="44" t="s">
        <v>180</v>
      </c>
      <c r="G524" s="44" t="s">
        <v>392</v>
      </c>
      <c r="H524" s="44" t="s">
        <v>74</v>
      </c>
      <c r="I524" s="48" t="s">
        <v>481</v>
      </c>
      <c r="J524" s="45">
        <v>42768</v>
      </c>
      <c r="K524" s="45">
        <v>42768</v>
      </c>
      <c r="L524" s="45">
        <v>42768</v>
      </c>
    </row>
    <row r="525" spans="1:12" ht="18" customHeight="1">
      <c r="A525" s="43" t="s">
        <v>377</v>
      </c>
      <c r="B525" s="44" t="s">
        <v>380</v>
      </c>
      <c r="C525" s="44" t="s">
        <v>73</v>
      </c>
      <c r="D525" s="85">
        <v>10104941541</v>
      </c>
      <c r="E525" s="44" t="s">
        <v>391</v>
      </c>
      <c r="F525" s="44" t="s">
        <v>180</v>
      </c>
      <c r="G525" s="44" t="s">
        <v>392</v>
      </c>
      <c r="H525" s="44" t="s">
        <v>74</v>
      </c>
      <c r="I525" s="48" t="s">
        <v>481</v>
      </c>
      <c r="J525" s="45">
        <v>42779</v>
      </c>
      <c r="K525" s="45">
        <v>42790</v>
      </c>
      <c r="L525" s="45">
        <v>42780</v>
      </c>
    </row>
    <row r="526" spans="1:12" ht="18" customHeight="1">
      <c r="A526" s="43" t="s">
        <v>377</v>
      </c>
      <c r="B526" s="44" t="s">
        <v>380</v>
      </c>
      <c r="C526" s="44" t="s">
        <v>73</v>
      </c>
      <c r="D526" s="85">
        <v>10104949757</v>
      </c>
      <c r="E526" s="44" t="s">
        <v>391</v>
      </c>
      <c r="F526" s="44" t="s">
        <v>180</v>
      </c>
      <c r="G526" s="44" t="s">
        <v>392</v>
      </c>
      <c r="H526" s="44" t="s">
        <v>74</v>
      </c>
      <c r="I526" s="48" t="s">
        <v>481</v>
      </c>
      <c r="J526" s="45">
        <v>42786</v>
      </c>
      <c r="K526" s="45">
        <v>42793</v>
      </c>
      <c r="L526" s="45">
        <v>42790</v>
      </c>
    </row>
    <row r="527" spans="1:12" ht="18" customHeight="1">
      <c r="A527" s="43" t="s">
        <v>377</v>
      </c>
      <c r="B527" s="44" t="s">
        <v>380</v>
      </c>
      <c r="C527" s="44" t="s">
        <v>73</v>
      </c>
      <c r="D527" s="85">
        <v>10104958402</v>
      </c>
      <c r="E527" s="44" t="s">
        <v>391</v>
      </c>
      <c r="F527" s="44" t="s">
        <v>219</v>
      </c>
      <c r="G527" s="44" t="s">
        <v>392</v>
      </c>
      <c r="H527" s="44" t="s">
        <v>74</v>
      </c>
      <c r="I527" s="48" t="s">
        <v>481</v>
      </c>
      <c r="J527" s="45">
        <v>42793</v>
      </c>
      <c r="K527" s="45">
        <v>42796</v>
      </c>
      <c r="L527" s="45"/>
    </row>
    <row r="528" spans="1:12" ht="18" customHeight="1">
      <c r="A528" s="43" t="s">
        <v>377</v>
      </c>
      <c r="B528" s="44" t="s">
        <v>380</v>
      </c>
      <c r="C528" s="44" t="s">
        <v>73</v>
      </c>
      <c r="D528" s="85">
        <v>10104899260</v>
      </c>
      <c r="E528" s="44" t="s">
        <v>1245</v>
      </c>
      <c r="F528" s="44" t="s">
        <v>219</v>
      </c>
      <c r="G528" s="44" t="s">
        <v>1244</v>
      </c>
      <c r="H528" s="44" t="s">
        <v>74</v>
      </c>
      <c r="I528" s="48" t="s">
        <v>481</v>
      </c>
      <c r="J528" s="45">
        <v>42770</v>
      </c>
      <c r="K528" s="45">
        <v>42790</v>
      </c>
      <c r="L528" s="45"/>
    </row>
    <row r="529" spans="1:12" ht="18" customHeight="1">
      <c r="A529" s="43" t="s">
        <v>377</v>
      </c>
      <c r="B529" s="44" t="s">
        <v>385</v>
      </c>
      <c r="C529" s="44" t="s">
        <v>73</v>
      </c>
      <c r="D529" s="85">
        <v>10104928342</v>
      </c>
      <c r="E529" s="44" t="s">
        <v>1243</v>
      </c>
      <c r="F529" s="44" t="s">
        <v>180</v>
      </c>
      <c r="G529" s="44" t="s">
        <v>1244</v>
      </c>
      <c r="H529" s="44" t="s">
        <v>76</v>
      </c>
      <c r="I529" s="48" t="s">
        <v>482</v>
      </c>
      <c r="J529" s="45">
        <v>42792</v>
      </c>
      <c r="K529" s="45">
        <v>42796</v>
      </c>
      <c r="L529" s="45">
        <v>42792</v>
      </c>
    </row>
    <row r="530" spans="1:12" ht="18" customHeight="1">
      <c r="A530" s="43" t="s">
        <v>377</v>
      </c>
      <c r="B530" s="44" t="s">
        <v>380</v>
      </c>
      <c r="C530" s="44" t="s">
        <v>73</v>
      </c>
      <c r="D530" s="85">
        <v>10104899248</v>
      </c>
      <c r="E530" s="44" t="s">
        <v>1246</v>
      </c>
      <c r="F530" s="44" t="s">
        <v>180</v>
      </c>
      <c r="G530" s="44" t="s">
        <v>1247</v>
      </c>
      <c r="H530" s="44" t="s">
        <v>74</v>
      </c>
      <c r="I530" s="48" t="s">
        <v>481</v>
      </c>
      <c r="J530" s="45">
        <v>42768</v>
      </c>
      <c r="K530" s="45">
        <v>42768</v>
      </c>
      <c r="L530" s="45">
        <v>42768</v>
      </c>
    </row>
    <row r="531" spans="1:12" ht="18" customHeight="1">
      <c r="A531" s="43" t="s">
        <v>377</v>
      </c>
      <c r="B531" s="44" t="s">
        <v>385</v>
      </c>
      <c r="C531" s="44" t="s">
        <v>73</v>
      </c>
      <c r="D531" s="85">
        <v>10104928343</v>
      </c>
      <c r="E531" s="44" t="s">
        <v>1248</v>
      </c>
      <c r="F531" s="44" t="s">
        <v>500</v>
      </c>
      <c r="G531" s="44" t="s">
        <v>1247</v>
      </c>
      <c r="H531" s="44" t="s">
        <v>76</v>
      </c>
      <c r="I531" s="48" t="s">
        <v>482</v>
      </c>
      <c r="J531" s="45">
        <v>42792</v>
      </c>
      <c r="K531" s="45">
        <v>42792</v>
      </c>
      <c r="L531" s="45"/>
    </row>
    <row r="532" spans="1:12" ht="18" customHeight="1">
      <c r="A532" s="43" t="s">
        <v>377</v>
      </c>
      <c r="B532" s="44" t="s">
        <v>385</v>
      </c>
      <c r="C532" s="44" t="s">
        <v>73</v>
      </c>
      <c r="D532" s="85">
        <v>10104928344</v>
      </c>
      <c r="E532" s="44" t="s">
        <v>1249</v>
      </c>
      <c r="F532" s="44" t="s">
        <v>500</v>
      </c>
      <c r="G532" s="44" t="s">
        <v>1250</v>
      </c>
      <c r="H532" s="44" t="s">
        <v>76</v>
      </c>
      <c r="I532" s="48" t="s">
        <v>482</v>
      </c>
      <c r="J532" s="45">
        <v>42792</v>
      </c>
      <c r="K532" s="45">
        <v>42792</v>
      </c>
      <c r="L532" s="45"/>
    </row>
    <row r="533" spans="1:12" ht="18" customHeight="1">
      <c r="A533" s="43" t="s">
        <v>377</v>
      </c>
      <c r="B533" s="44" t="s">
        <v>380</v>
      </c>
      <c r="C533" s="44" t="s">
        <v>73</v>
      </c>
      <c r="D533" s="85">
        <v>10104899261</v>
      </c>
      <c r="E533" s="44" t="s">
        <v>1252</v>
      </c>
      <c r="F533" s="44" t="s">
        <v>180</v>
      </c>
      <c r="G533" s="44" t="s">
        <v>393</v>
      </c>
      <c r="H533" s="44" t="s">
        <v>74</v>
      </c>
      <c r="I533" s="48" t="s">
        <v>481</v>
      </c>
      <c r="J533" s="45">
        <v>42768</v>
      </c>
      <c r="K533" s="45">
        <v>42768</v>
      </c>
      <c r="L533" s="45">
        <v>42768</v>
      </c>
    </row>
    <row r="534" spans="1:12" ht="18" customHeight="1">
      <c r="A534" s="43" t="s">
        <v>377</v>
      </c>
      <c r="B534" s="44" t="s">
        <v>385</v>
      </c>
      <c r="C534" s="44" t="s">
        <v>73</v>
      </c>
      <c r="D534" s="85">
        <v>10104897016</v>
      </c>
      <c r="E534" s="44" t="s">
        <v>1251</v>
      </c>
      <c r="F534" s="44" t="s">
        <v>180</v>
      </c>
      <c r="G534" s="44" t="s">
        <v>393</v>
      </c>
      <c r="H534" s="44" t="s">
        <v>76</v>
      </c>
      <c r="I534" s="48" t="s">
        <v>482</v>
      </c>
      <c r="J534" s="45">
        <v>42769</v>
      </c>
      <c r="K534" s="45">
        <v>42781</v>
      </c>
      <c r="L534" s="45">
        <v>42780</v>
      </c>
    </row>
    <row r="535" spans="1:12" ht="18" customHeight="1">
      <c r="A535" s="43" t="s">
        <v>377</v>
      </c>
      <c r="B535" s="44" t="s">
        <v>385</v>
      </c>
      <c r="C535" s="44" t="s">
        <v>73</v>
      </c>
      <c r="D535" s="85">
        <v>10104928345</v>
      </c>
      <c r="E535" s="44" t="s">
        <v>1253</v>
      </c>
      <c r="F535" s="44" t="s">
        <v>180</v>
      </c>
      <c r="G535" s="44" t="s">
        <v>393</v>
      </c>
      <c r="H535" s="44" t="s">
        <v>76</v>
      </c>
      <c r="I535" s="48" t="s">
        <v>482</v>
      </c>
      <c r="J535" s="45">
        <v>42791</v>
      </c>
      <c r="K535" s="45">
        <v>42791</v>
      </c>
      <c r="L535" s="45">
        <v>42790</v>
      </c>
    </row>
    <row r="536" spans="1:12" ht="18" customHeight="1">
      <c r="A536" s="43" t="s">
        <v>377</v>
      </c>
      <c r="B536" s="44" t="s">
        <v>380</v>
      </c>
      <c r="C536" s="44" t="s">
        <v>73</v>
      </c>
      <c r="D536" s="85">
        <v>10104947843</v>
      </c>
      <c r="E536" s="44" t="s">
        <v>756</v>
      </c>
      <c r="F536" s="44" t="s">
        <v>219</v>
      </c>
      <c r="G536" s="44" t="s">
        <v>394</v>
      </c>
      <c r="H536" s="44" t="s">
        <v>76</v>
      </c>
      <c r="I536" s="48" t="s">
        <v>482</v>
      </c>
      <c r="J536" s="45">
        <v>42778</v>
      </c>
      <c r="K536" s="45">
        <v>42793</v>
      </c>
      <c r="L536" s="45"/>
    </row>
    <row r="537" spans="1:12" ht="18" customHeight="1">
      <c r="A537" s="43" t="s">
        <v>377</v>
      </c>
      <c r="B537" s="44" t="s">
        <v>385</v>
      </c>
      <c r="C537" s="44" t="s">
        <v>73</v>
      </c>
      <c r="D537" s="85">
        <v>10104899224</v>
      </c>
      <c r="E537" s="44" t="s">
        <v>1254</v>
      </c>
      <c r="F537" s="44" t="s">
        <v>180</v>
      </c>
      <c r="G537" s="44" t="s">
        <v>394</v>
      </c>
      <c r="H537" s="44" t="s">
        <v>76</v>
      </c>
      <c r="I537" s="48" t="s">
        <v>482</v>
      </c>
      <c r="J537" s="45">
        <v>42770</v>
      </c>
      <c r="K537" s="45">
        <v>42790</v>
      </c>
      <c r="L537" s="45">
        <v>42770</v>
      </c>
    </row>
    <row r="538" spans="1:12" ht="18" customHeight="1">
      <c r="A538" s="43" t="s">
        <v>377</v>
      </c>
      <c r="B538" s="44" t="s">
        <v>380</v>
      </c>
      <c r="C538" s="44" t="s">
        <v>73</v>
      </c>
      <c r="D538" s="85">
        <v>10104899262</v>
      </c>
      <c r="E538" s="44" t="s">
        <v>1255</v>
      </c>
      <c r="F538" s="44" t="s">
        <v>180</v>
      </c>
      <c r="G538" s="44" t="s">
        <v>1256</v>
      </c>
      <c r="H538" s="44" t="s">
        <v>74</v>
      </c>
      <c r="I538" s="48" t="s">
        <v>481</v>
      </c>
      <c r="J538" s="45">
        <v>42768</v>
      </c>
      <c r="K538" s="45">
        <v>42768</v>
      </c>
      <c r="L538" s="45">
        <v>42768</v>
      </c>
    </row>
    <row r="539" spans="1:12" ht="18" customHeight="1">
      <c r="A539" s="43" t="s">
        <v>377</v>
      </c>
      <c r="B539" s="44" t="s">
        <v>380</v>
      </c>
      <c r="C539" s="44" t="s">
        <v>73</v>
      </c>
      <c r="D539" s="85">
        <v>10104899197</v>
      </c>
      <c r="E539" s="44" t="s">
        <v>1257</v>
      </c>
      <c r="F539" s="44" t="s">
        <v>180</v>
      </c>
      <c r="G539" s="44" t="s">
        <v>1256</v>
      </c>
      <c r="H539" s="44" t="s">
        <v>74</v>
      </c>
      <c r="I539" s="48" t="s">
        <v>481</v>
      </c>
      <c r="J539" s="45">
        <v>42768</v>
      </c>
      <c r="K539" s="45">
        <v>42768</v>
      </c>
      <c r="L539" s="45">
        <v>42768</v>
      </c>
    </row>
    <row r="540" spans="1:12" ht="18" customHeight="1">
      <c r="A540" s="43" t="s">
        <v>377</v>
      </c>
      <c r="B540" s="44" t="s">
        <v>380</v>
      </c>
      <c r="C540" s="44" t="s">
        <v>73</v>
      </c>
      <c r="D540" s="85">
        <v>10104899250</v>
      </c>
      <c r="E540" s="44" t="s">
        <v>1258</v>
      </c>
      <c r="F540" s="44" t="s">
        <v>180</v>
      </c>
      <c r="G540" s="44" t="s">
        <v>1259</v>
      </c>
      <c r="H540" s="44" t="s">
        <v>74</v>
      </c>
      <c r="I540" s="48" t="s">
        <v>481</v>
      </c>
      <c r="J540" s="45">
        <v>42768</v>
      </c>
      <c r="K540" s="45">
        <v>42768</v>
      </c>
      <c r="L540" s="45">
        <v>42768</v>
      </c>
    </row>
    <row r="541" spans="1:12" ht="18" customHeight="1">
      <c r="A541" s="43" t="s">
        <v>377</v>
      </c>
      <c r="B541" s="44" t="s">
        <v>380</v>
      </c>
      <c r="C541" s="44" t="s">
        <v>73</v>
      </c>
      <c r="D541" s="85">
        <v>10104958436</v>
      </c>
      <c r="E541" s="44" t="s">
        <v>396</v>
      </c>
      <c r="F541" s="44" t="s">
        <v>500</v>
      </c>
      <c r="G541" s="44" t="s">
        <v>397</v>
      </c>
      <c r="H541" s="44" t="s">
        <v>74</v>
      </c>
      <c r="I541" s="48" t="s">
        <v>481</v>
      </c>
      <c r="J541" s="45">
        <v>42793</v>
      </c>
      <c r="K541" s="45">
        <v>42793</v>
      </c>
      <c r="L541" s="45"/>
    </row>
    <row r="542" spans="1:12" ht="18" customHeight="1">
      <c r="A542" s="43" t="s">
        <v>377</v>
      </c>
      <c r="B542" s="44" t="s">
        <v>380</v>
      </c>
      <c r="C542" s="44" t="s">
        <v>73</v>
      </c>
      <c r="D542" s="85">
        <v>10104949787</v>
      </c>
      <c r="E542" s="44" t="s">
        <v>396</v>
      </c>
      <c r="F542" s="44" t="s">
        <v>219</v>
      </c>
      <c r="G542" s="44" t="s">
        <v>397</v>
      </c>
      <c r="H542" s="44" t="s">
        <v>74</v>
      </c>
      <c r="I542" s="48" t="s">
        <v>481</v>
      </c>
      <c r="J542" s="45">
        <v>42786</v>
      </c>
      <c r="K542" s="45">
        <v>42793</v>
      </c>
      <c r="L542" s="45"/>
    </row>
    <row r="543" spans="1:12" ht="18" customHeight="1">
      <c r="A543" s="43" t="s">
        <v>377</v>
      </c>
      <c r="B543" s="44" t="s">
        <v>380</v>
      </c>
      <c r="C543" s="44" t="s">
        <v>73</v>
      </c>
      <c r="D543" s="85">
        <v>10104941569</v>
      </c>
      <c r="E543" s="44" t="s">
        <v>396</v>
      </c>
      <c r="F543" s="44" t="s">
        <v>180</v>
      </c>
      <c r="G543" s="44" t="s">
        <v>397</v>
      </c>
      <c r="H543" s="44" t="s">
        <v>74</v>
      </c>
      <c r="I543" s="48" t="s">
        <v>481</v>
      </c>
      <c r="J543" s="45">
        <v>42779</v>
      </c>
      <c r="K543" s="45">
        <v>42791</v>
      </c>
      <c r="L543" s="45">
        <v>42780</v>
      </c>
    </row>
    <row r="544" spans="1:12" ht="18" customHeight="1">
      <c r="A544" s="43" t="s">
        <v>377</v>
      </c>
      <c r="B544" s="44" t="s">
        <v>380</v>
      </c>
      <c r="C544" s="44" t="s">
        <v>73</v>
      </c>
      <c r="D544" s="85">
        <v>10104933059</v>
      </c>
      <c r="E544" s="44" t="s">
        <v>396</v>
      </c>
      <c r="F544" s="44" t="s">
        <v>180</v>
      </c>
      <c r="G544" s="44" t="s">
        <v>397</v>
      </c>
      <c r="H544" s="44" t="s">
        <v>74</v>
      </c>
      <c r="I544" s="48" t="s">
        <v>481</v>
      </c>
      <c r="J544" s="45">
        <v>42768</v>
      </c>
      <c r="K544" s="45">
        <v>42768</v>
      </c>
      <c r="L544" s="45">
        <v>42768</v>
      </c>
    </row>
    <row r="545" spans="1:12" ht="18" customHeight="1">
      <c r="A545" s="43" t="s">
        <v>377</v>
      </c>
      <c r="B545" s="44" t="s">
        <v>379</v>
      </c>
      <c r="C545" s="44" t="s">
        <v>73</v>
      </c>
      <c r="D545" s="85">
        <v>10104898034</v>
      </c>
      <c r="E545" s="44" t="s">
        <v>1260</v>
      </c>
      <c r="F545" s="44" t="s">
        <v>180</v>
      </c>
      <c r="G545" s="44" t="s">
        <v>1261</v>
      </c>
      <c r="H545" s="44" t="s">
        <v>76</v>
      </c>
      <c r="I545" s="48" t="s">
        <v>482</v>
      </c>
      <c r="J545" s="45">
        <v>42769</v>
      </c>
      <c r="K545" s="45">
        <v>42793</v>
      </c>
      <c r="L545" s="45">
        <v>42769</v>
      </c>
    </row>
    <row r="546" spans="1:12" ht="18" customHeight="1">
      <c r="A546" s="43" t="s">
        <v>377</v>
      </c>
      <c r="B546" s="44" t="s">
        <v>380</v>
      </c>
      <c r="C546" s="44" t="s">
        <v>73</v>
      </c>
      <c r="D546" s="85">
        <v>10104930781</v>
      </c>
      <c r="E546" s="44" t="s">
        <v>1262</v>
      </c>
      <c r="F546" s="44" t="s">
        <v>500</v>
      </c>
      <c r="G546" s="44" t="s">
        <v>398</v>
      </c>
      <c r="H546" s="44" t="s">
        <v>74</v>
      </c>
      <c r="I546" s="48" t="s">
        <v>481</v>
      </c>
      <c r="J546" s="45">
        <v>42794</v>
      </c>
      <c r="K546" s="45">
        <v>42794</v>
      </c>
      <c r="L546" s="45"/>
    </row>
    <row r="547" spans="1:12" ht="18" customHeight="1">
      <c r="A547" s="43" t="s">
        <v>377</v>
      </c>
      <c r="B547" s="44" t="s">
        <v>380</v>
      </c>
      <c r="C547" s="44" t="s">
        <v>73</v>
      </c>
      <c r="D547" s="85">
        <v>10104930780</v>
      </c>
      <c r="E547" s="44" t="s">
        <v>1263</v>
      </c>
      <c r="F547" s="44" t="s">
        <v>180</v>
      </c>
      <c r="G547" s="44" t="s">
        <v>449</v>
      </c>
      <c r="H547" s="44" t="s">
        <v>74</v>
      </c>
      <c r="I547" s="48" t="s">
        <v>481</v>
      </c>
      <c r="J547" s="45">
        <v>42780</v>
      </c>
      <c r="K547" s="45">
        <v>42780</v>
      </c>
      <c r="L547" s="45">
        <v>42779</v>
      </c>
    </row>
    <row r="548" spans="1:12" ht="18" customHeight="1">
      <c r="A548" s="43" t="s">
        <v>377</v>
      </c>
      <c r="B548" s="44" t="s">
        <v>934</v>
      </c>
      <c r="C548" s="44" t="s">
        <v>73</v>
      </c>
      <c r="D548" s="85">
        <v>10104918780</v>
      </c>
      <c r="E548" s="44" t="s">
        <v>514</v>
      </c>
      <c r="F548" s="44" t="s">
        <v>596</v>
      </c>
      <c r="G548" s="44" t="s">
        <v>399</v>
      </c>
      <c r="H548" s="44" t="s">
        <v>76</v>
      </c>
      <c r="I548" s="48" t="s">
        <v>482</v>
      </c>
      <c r="J548" s="45">
        <v>42783</v>
      </c>
      <c r="K548" s="45">
        <v>42783</v>
      </c>
      <c r="L548" s="45"/>
    </row>
    <row r="549" spans="1:12" ht="18" customHeight="1">
      <c r="A549" s="43" t="s">
        <v>377</v>
      </c>
      <c r="B549" s="44" t="s">
        <v>380</v>
      </c>
      <c r="C549" s="44" t="s">
        <v>73</v>
      </c>
      <c r="D549" s="85">
        <v>10104942809</v>
      </c>
      <c r="E549" s="44" t="s">
        <v>516</v>
      </c>
      <c r="F549" s="44" t="s">
        <v>75</v>
      </c>
      <c r="G549" s="44" t="s">
        <v>707</v>
      </c>
      <c r="H549" s="44" t="s">
        <v>223</v>
      </c>
      <c r="I549" s="48" t="s">
        <v>481</v>
      </c>
      <c r="J549" s="45">
        <v>42776</v>
      </c>
      <c r="K549" s="45">
        <v>42795</v>
      </c>
      <c r="L549" s="45">
        <v>42776</v>
      </c>
    </row>
    <row r="550" spans="1:12" ht="18" customHeight="1">
      <c r="A550" s="43" t="s">
        <v>377</v>
      </c>
      <c r="B550" s="44" t="s">
        <v>380</v>
      </c>
      <c r="C550" s="44" t="s">
        <v>73</v>
      </c>
      <c r="D550" s="85">
        <v>10104949714</v>
      </c>
      <c r="E550" s="44" t="s">
        <v>1264</v>
      </c>
      <c r="F550" s="44" t="s">
        <v>180</v>
      </c>
      <c r="G550" s="44" t="s">
        <v>900</v>
      </c>
      <c r="H550" s="44" t="s">
        <v>74</v>
      </c>
      <c r="I550" s="48" t="s">
        <v>481</v>
      </c>
      <c r="J550" s="45">
        <v>42794</v>
      </c>
      <c r="K550" s="45">
        <v>42795</v>
      </c>
      <c r="L550" s="45">
        <v>42787</v>
      </c>
    </row>
    <row r="551" spans="1:12" ht="18" customHeight="1">
      <c r="A551" s="43" t="s">
        <v>377</v>
      </c>
      <c r="B551" s="44" t="s">
        <v>380</v>
      </c>
      <c r="C551" s="44" t="s">
        <v>73</v>
      </c>
      <c r="D551" s="85">
        <v>10104949727</v>
      </c>
      <c r="E551" s="44" t="s">
        <v>1265</v>
      </c>
      <c r="F551" s="44" t="s">
        <v>180</v>
      </c>
      <c r="G551" s="44" t="s">
        <v>1266</v>
      </c>
      <c r="H551" s="44" t="s">
        <v>74</v>
      </c>
      <c r="I551" s="48" t="s">
        <v>481</v>
      </c>
      <c r="J551" s="45">
        <v>42794</v>
      </c>
      <c r="K551" s="45">
        <v>42795</v>
      </c>
      <c r="L551" s="45">
        <v>42787</v>
      </c>
    </row>
    <row r="552" spans="1:12" ht="18" customHeight="1">
      <c r="A552" s="43" t="s">
        <v>377</v>
      </c>
      <c r="B552" s="44" t="s">
        <v>380</v>
      </c>
      <c r="C552" s="44" t="s">
        <v>73</v>
      </c>
      <c r="D552" s="85">
        <v>10104955291</v>
      </c>
      <c r="E552" s="44" t="s">
        <v>400</v>
      </c>
      <c r="F552" s="44" t="s">
        <v>180</v>
      </c>
      <c r="G552" s="44" t="s">
        <v>401</v>
      </c>
      <c r="H552" s="44" t="s">
        <v>74</v>
      </c>
      <c r="I552" s="48" t="s">
        <v>481</v>
      </c>
      <c r="J552" s="45">
        <v>42790</v>
      </c>
      <c r="K552" s="45">
        <v>42795</v>
      </c>
      <c r="L552" s="45">
        <v>42787</v>
      </c>
    </row>
    <row r="553" spans="1:12" ht="18" customHeight="1">
      <c r="A553" s="43" t="s">
        <v>377</v>
      </c>
      <c r="B553" s="44" t="s">
        <v>380</v>
      </c>
      <c r="C553" s="44" t="s">
        <v>73</v>
      </c>
      <c r="D553" s="85">
        <v>10104929891</v>
      </c>
      <c r="E553" s="44" t="s">
        <v>400</v>
      </c>
      <c r="F553" s="44" t="s">
        <v>75</v>
      </c>
      <c r="G553" s="44" t="s">
        <v>401</v>
      </c>
      <c r="H553" s="44" t="s">
        <v>74</v>
      </c>
      <c r="I553" s="48" t="s">
        <v>481</v>
      </c>
      <c r="J553" s="45">
        <v>42769</v>
      </c>
      <c r="K553" s="45">
        <v>42795</v>
      </c>
      <c r="L553" s="45">
        <v>42769</v>
      </c>
    </row>
    <row r="554" spans="1:12" ht="18" customHeight="1">
      <c r="A554" s="43" t="s">
        <v>377</v>
      </c>
      <c r="B554" s="44" t="s">
        <v>380</v>
      </c>
      <c r="C554" s="44" t="s">
        <v>73</v>
      </c>
      <c r="D554" s="85">
        <v>10104946846</v>
      </c>
      <c r="E554" s="44" t="s">
        <v>400</v>
      </c>
      <c r="F554" s="44" t="s">
        <v>180</v>
      </c>
      <c r="G554" s="44" t="s">
        <v>401</v>
      </c>
      <c r="H554" s="44" t="s">
        <v>74</v>
      </c>
      <c r="I554" s="48" t="s">
        <v>481</v>
      </c>
      <c r="J554" s="45">
        <v>42783</v>
      </c>
      <c r="K554" s="45">
        <v>42786</v>
      </c>
      <c r="L554" s="45">
        <v>42779</v>
      </c>
    </row>
    <row r="555" spans="1:12" ht="18" customHeight="1">
      <c r="A555" s="43" t="s">
        <v>377</v>
      </c>
      <c r="B555" s="44" t="s">
        <v>380</v>
      </c>
      <c r="C555" s="44" t="s">
        <v>73</v>
      </c>
      <c r="D555" s="85">
        <v>10104938646</v>
      </c>
      <c r="E555" s="44" t="s">
        <v>400</v>
      </c>
      <c r="F555" s="44" t="s">
        <v>180</v>
      </c>
      <c r="G555" s="44" t="s">
        <v>401</v>
      </c>
      <c r="H555" s="44" t="s">
        <v>74</v>
      </c>
      <c r="I555" s="48" t="s">
        <v>481</v>
      </c>
      <c r="J555" s="45">
        <v>42776</v>
      </c>
      <c r="K555" s="45">
        <v>42795</v>
      </c>
      <c r="L555" s="45">
        <v>42776</v>
      </c>
    </row>
    <row r="556" spans="1:12" ht="18" customHeight="1">
      <c r="A556" s="43" t="s">
        <v>377</v>
      </c>
      <c r="B556" s="44" t="s">
        <v>380</v>
      </c>
      <c r="C556" s="44" t="s">
        <v>73</v>
      </c>
      <c r="D556" s="85">
        <v>10104958370</v>
      </c>
      <c r="E556" s="44" t="s">
        <v>402</v>
      </c>
      <c r="F556" s="44" t="s">
        <v>180</v>
      </c>
      <c r="G556" s="44" t="s">
        <v>403</v>
      </c>
      <c r="H556" s="44" t="s">
        <v>74</v>
      </c>
      <c r="I556" s="48" t="s">
        <v>481</v>
      </c>
      <c r="J556" s="45">
        <v>42793</v>
      </c>
      <c r="K556" s="45">
        <v>42795</v>
      </c>
      <c r="L556" s="45">
        <v>42795</v>
      </c>
    </row>
    <row r="557" spans="1:12" ht="18" customHeight="1">
      <c r="A557" s="43" t="s">
        <v>377</v>
      </c>
      <c r="B557" s="44" t="s">
        <v>380</v>
      </c>
      <c r="C557" s="44" t="s">
        <v>73</v>
      </c>
      <c r="D557" s="85">
        <v>10104932866</v>
      </c>
      <c r="E557" s="44" t="s">
        <v>402</v>
      </c>
      <c r="F557" s="44" t="s">
        <v>180</v>
      </c>
      <c r="G557" s="44" t="s">
        <v>403</v>
      </c>
      <c r="H557" s="44" t="s">
        <v>74</v>
      </c>
      <c r="I557" s="48" t="s">
        <v>481</v>
      </c>
      <c r="J557" s="45">
        <v>42772</v>
      </c>
      <c r="K557" s="45">
        <v>42775</v>
      </c>
      <c r="L557" s="45">
        <v>42772</v>
      </c>
    </row>
    <row r="558" spans="1:12" ht="18" customHeight="1">
      <c r="A558" s="43" t="s">
        <v>377</v>
      </c>
      <c r="B558" s="44" t="s">
        <v>380</v>
      </c>
      <c r="C558" s="44" t="s">
        <v>73</v>
      </c>
      <c r="D558" s="85">
        <v>10104941516</v>
      </c>
      <c r="E558" s="44" t="s">
        <v>402</v>
      </c>
      <c r="F558" s="44" t="s">
        <v>180</v>
      </c>
      <c r="G558" s="44" t="s">
        <v>403</v>
      </c>
      <c r="H558" s="44" t="s">
        <v>74</v>
      </c>
      <c r="I558" s="48" t="s">
        <v>481</v>
      </c>
      <c r="J558" s="45">
        <v>42779</v>
      </c>
      <c r="K558" s="45">
        <v>42786</v>
      </c>
      <c r="L558" s="45">
        <v>42779</v>
      </c>
    </row>
    <row r="559" spans="1:12" ht="18" customHeight="1">
      <c r="A559" s="43" t="s">
        <v>377</v>
      </c>
      <c r="B559" s="44" t="s">
        <v>380</v>
      </c>
      <c r="C559" s="44" t="s">
        <v>73</v>
      </c>
      <c r="D559" s="85">
        <v>10104949710</v>
      </c>
      <c r="E559" s="44" t="s">
        <v>402</v>
      </c>
      <c r="F559" s="44" t="s">
        <v>180</v>
      </c>
      <c r="G559" s="44" t="s">
        <v>403</v>
      </c>
      <c r="H559" s="44" t="s">
        <v>74</v>
      </c>
      <c r="I559" s="48" t="s">
        <v>481</v>
      </c>
      <c r="J559" s="45">
        <v>42786</v>
      </c>
      <c r="K559" s="45">
        <v>42795</v>
      </c>
      <c r="L559" s="45">
        <v>42786</v>
      </c>
    </row>
    <row r="560" spans="1:12" ht="18" customHeight="1">
      <c r="A560" s="43" t="s">
        <v>377</v>
      </c>
      <c r="B560" s="44" t="s">
        <v>385</v>
      </c>
      <c r="C560" s="44" t="s">
        <v>73</v>
      </c>
      <c r="D560" s="85">
        <v>10104893719</v>
      </c>
      <c r="E560" s="44" t="s">
        <v>1267</v>
      </c>
      <c r="F560" s="44" t="s">
        <v>180</v>
      </c>
      <c r="G560" s="44" t="s">
        <v>1268</v>
      </c>
      <c r="H560" s="44" t="s">
        <v>76</v>
      </c>
      <c r="I560" s="48" t="s">
        <v>482</v>
      </c>
      <c r="J560" s="45">
        <v>42773</v>
      </c>
      <c r="K560" s="45">
        <v>42773</v>
      </c>
      <c r="L560" s="45">
        <v>42772</v>
      </c>
    </row>
    <row r="561" spans="1:12" ht="18" customHeight="1">
      <c r="A561" s="43" t="s">
        <v>377</v>
      </c>
      <c r="B561" s="44" t="s">
        <v>385</v>
      </c>
      <c r="C561" s="44" t="s">
        <v>73</v>
      </c>
      <c r="D561" s="85">
        <v>10104893644</v>
      </c>
      <c r="E561" s="44" t="s">
        <v>1269</v>
      </c>
      <c r="F561" s="44" t="s">
        <v>180</v>
      </c>
      <c r="G561" s="44" t="s">
        <v>1268</v>
      </c>
      <c r="H561" s="44" t="s">
        <v>76</v>
      </c>
      <c r="I561" s="48" t="s">
        <v>482</v>
      </c>
      <c r="J561" s="45">
        <v>42773</v>
      </c>
      <c r="K561" s="45">
        <v>42773</v>
      </c>
      <c r="L561" s="45">
        <v>42772</v>
      </c>
    </row>
    <row r="562" spans="1:12" ht="18" customHeight="1">
      <c r="A562" s="43" t="s">
        <v>377</v>
      </c>
      <c r="B562" s="44" t="s">
        <v>380</v>
      </c>
      <c r="C562" s="44" t="s">
        <v>73</v>
      </c>
      <c r="D562" s="85">
        <v>10104949716</v>
      </c>
      <c r="E562" s="44" t="s">
        <v>1271</v>
      </c>
      <c r="F562" s="44" t="s">
        <v>180</v>
      </c>
      <c r="G562" s="44" t="s">
        <v>1268</v>
      </c>
      <c r="H562" s="44" t="s">
        <v>74</v>
      </c>
      <c r="I562" s="48" t="s">
        <v>481</v>
      </c>
      <c r="J562" s="45">
        <v>42794</v>
      </c>
      <c r="K562" s="45">
        <v>42795</v>
      </c>
      <c r="L562" s="45">
        <v>42794</v>
      </c>
    </row>
    <row r="563" spans="1:12" ht="18" customHeight="1">
      <c r="A563" s="43" t="s">
        <v>377</v>
      </c>
      <c r="B563" s="44" t="s">
        <v>380</v>
      </c>
      <c r="C563" s="44" t="s">
        <v>73</v>
      </c>
      <c r="D563" s="85">
        <v>10104949715</v>
      </c>
      <c r="E563" s="44" t="s">
        <v>1270</v>
      </c>
      <c r="F563" s="44" t="s">
        <v>180</v>
      </c>
      <c r="G563" s="44" t="s">
        <v>1268</v>
      </c>
      <c r="H563" s="44" t="s">
        <v>74</v>
      </c>
      <c r="I563" s="48" t="s">
        <v>481</v>
      </c>
      <c r="J563" s="45">
        <v>42794</v>
      </c>
      <c r="K563" s="45">
        <v>42795</v>
      </c>
      <c r="L563" s="45">
        <v>42794</v>
      </c>
    </row>
    <row r="564" spans="1:12" ht="18" customHeight="1">
      <c r="A564" s="43" t="s">
        <v>377</v>
      </c>
      <c r="B564" s="44" t="s">
        <v>385</v>
      </c>
      <c r="C564" s="44" t="s">
        <v>73</v>
      </c>
      <c r="D564" s="85">
        <v>10104893641</v>
      </c>
      <c r="E564" s="44" t="s">
        <v>1272</v>
      </c>
      <c r="F564" s="44" t="s">
        <v>180</v>
      </c>
      <c r="G564" s="44" t="s">
        <v>1273</v>
      </c>
      <c r="H564" s="44" t="s">
        <v>76</v>
      </c>
      <c r="I564" s="48" t="s">
        <v>482</v>
      </c>
      <c r="J564" s="45">
        <v>42773</v>
      </c>
      <c r="K564" s="45">
        <v>42773</v>
      </c>
      <c r="L564" s="45">
        <v>42772</v>
      </c>
    </row>
    <row r="565" spans="1:12" ht="18" customHeight="1">
      <c r="A565" s="43" t="s">
        <v>377</v>
      </c>
      <c r="B565" s="44" t="s">
        <v>385</v>
      </c>
      <c r="C565" s="44" t="s">
        <v>73</v>
      </c>
      <c r="D565" s="85">
        <v>10104893627</v>
      </c>
      <c r="E565" s="44" t="s">
        <v>1274</v>
      </c>
      <c r="F565" s="44" t="s">
        <v>180</v>
      </c>
      <c r="G565" s="44" t="s">
        <v>1273</v>
      </c>
      <c r="H565" s="44" t="s">
        <v>76</v>
      </c>
      <c r="I565" s="48" t="s">
        <v>482</v>
      </c>
      <c r="J565" s="45">
        <v>42773</v>
      </c>
      <c r="K565" s="45">
        <v>42773</v>
      </c>
      <c r="L565" s="45">
        <v>42772</v>
      </c>
    </row>
    <row r="566" spans="1:12" ht="18" customHeight="1">
      <c r="A566" s="43" t="s">
        <v>377</v>
      </c>
      <c r="B566" s="44" t="s">
        <v>380</v>
      </c>
      <c r="C566" s="44" t="s">
        <v>73</v>
      </c>
      <c r="D566" s="85">
        <v>10104949717</v>
      </c>
      <c r="E566" s="44" t="s">
        <v>1275</v>
      </c>
      <c r="F566" s="44" t="s">
        <v>180</v>
      </c>
      <c r="G566" s="44" t="s">
        <v>1273</v>
      </c>
      <c r="H566" s="44" t="s">
        <v>74</v>
      </c>
      <c r="I566" s="48" t="s">
        <v>481</v>
      </c>
      <c r="J566" s="45">
        <v>42794</v>
      </c>
      <c r="K566" s="45">
        <v>42795</v>
      </c>
      <c r="L566" s="45">
        <v>42794</v>
      </c>
    </row>
    <row r="567" spans="1:12" ht="18" customHeight="1">
      <c r="A567" s="43" t="s">
        <v>377</v>
      </c>
      <c r="B567" s="44" t="s">
        <v>385</v>
      </c>
      <c r="C567" s="44" t="s">
        <v>73</v>
      </c>
      <c r="D567" s="85">
        <v>10104893704</v>
      </c>
      <c r="E567" s="44" t="s">
        <v>1276</v>
      </c>
      <c r="F567" s="44" t="s">
        <v>180</v>
      </c>
      <c r="G567" s="44" t="s">
        <v>1277</v>
      </c>
      <c r="H567" s="44" t="s">
        <v>76</v>
      </c>
      <c r="I567" s="48" t="s">
        <v>482</v>
      </c>
      <c r="J567" s="45">
        <v>42773</v>
      </c>
      <c r="K567" s="45">
        <v>42773</v>
      </c>
      <c r="L567" s="45">
        <v>42772</v>
      </c>
    </row>
    <row r="568" spans="1:12" ht="18" customHeight="1">
      <c r="A568" s="43" t="s">
        <v>377</v>
      </c>
      <c r="B568" s="44" t="s">
        <v>385</v>
      </c>
      <c r="C568" s="44" t="s">
        <v>73</v>
      </c>
      <c r="D568" s="85">
        <v>10104893720</v>
      </c>
      <c r="E568" s="44" t="s">
        <v>1278</v>
      </c>
      <c r="F568" s="44" t="s">
        <v>180</v>
      </c>
      <c r="G568" s="44" t="s">
        <v>1277</v>
      </c>
      <c r="H568" s="44" t="s">
        <v>76</v>
      </c>
      <c r="I568" s="48" t="s">
        <v>482</v>
      </c>
      <c r="J568" s="45">
        <v>42773</v>
      </c>
      <c r="K568" s="45">
        <v>42773</v>
      </c>
      <c r="L568" s="45">
        <v>42772</v>
      </c>
    </row>
    <row r="569" spans="1:12" ht="18" customHeight="1">
      <c r="A569" s="43" t="s">
        <v>377</v>
      </c>
      <c r="B569" s="44" t="s">
        <v>380</v>
      </c>
      <c r="C569" s="44" t="s">
        <v>73</v>
      </c>
      <c r="D569" s="85">
        <v>10104949728</v>
      </c>
      <c r="E569" s="44" t="s">
        <v>1279</v>
      </c>
      <c r="F569" s="44" t="s">
        <v>219</v>
      </c>
      <c r="G569" s="44" t="s">
        <v>1277</v>
      </c>
      <c r="H569" s="44" t="s">
        <v>74</v>
      </c>
      <c r="I569" s="48" t="s">
        <v>481</v>
      </c>
      <c r="J569" s="45">
        <v>42787</v>
      </c>
      <c r="K569" s="45">
        <v>42787</v>
      </c>
      <c r="L569" s="45"/>
    </row>
    <row r="570" spans="1:12" ht="18" customHeight="1">
      <c r="A570" s="43" t="s">
        <v>377</v>
      </c>
      <c r="B570" s="44" t="s">
        <v>380</v>
      </c>
      <c r="C570" s="44" t="s">
        <v>73</v>
      </c>
      <c r="D570" s="85">
        <v>10104949729</v>
      </c>
      <c r="E570" s="44" t="s">
        <v>1280</v>
      </c>
      <c r="F570" s="44" t="s">
        <v>219</v>
      </c>
      <c r="G570" s="44" t="s">
        <v>1277</v>
      </c>
      <c r="H570" s="44" t="s">
        <v>74</v>
      </c>
      <c r="I570" s="48" t="s">
        <v>481</v>
      </c>
      <c r="J570" s="45">
        <v>42787</v>
      </c>
      <c r="K570" s="45">
        <v>42787</v>
      </c>
      <c r="L570" s="45"/>
    </row>
    <row r="571" spans="1:12" ht="18" customHeight="1">
      <c r="A571" s="43" t="s">
        <v>377</v>
      </c>
      <c r="B571" s="44" t="s">
        <v>380</v>
      </c>
      <c r="C571" s="44" t="s">
        <v>73</v>
      </c>
      <c r="D571" s="85">
        <v>10104949730</v>
      </c>
      <c r="E571" s="44" t="s">
        <v>1281</v>
      </c>
      <c r="F571" s="44" t="s">
        <v>180</v>
      </c>
      <c r="G571" s="44" t="s">
        <v>1282</v>
      </c>
      <c r="H571" s="44" t="s">
        <v>74</v>
      </c>
      <c r="I571" s="48" t="s">
        <v>481</v>
      </c>
      <c r="J571" s="45">
        <v>42794</v>
      </c>
      <c r="K571" s="45">
        <v>42795</v>
      </c>
      <c r="L571" s="45">
        <v>42794</v>
      </c>
    </row>
    <row r="572" spans="1:12" ht="18" customHeight="1">
      <c r="A572" s="43" t="s">
        <v>377</v>
      </c>
      <c r="B572" s="44" t="s">
        <v>385</v>
      </c>
      <c r="C572" s="44" t="s">
        <v>73</v>
      </c>
      <c r="D572" s="85">
        <v>10104893721</v>
      </c>
      <c r="E572" s="44" t="s">
        <v>1283</v>
      </c>
      <c r="F572" s="44" t="s">
        <v>180</v>
      </c>
      <c r="G572" s="44" t="s">
        <v>1282</v>
      </c>
      <c r="H572" s="44" t="s">
        <v>76</v>
      </c>
      <c r="I572" s="48" t="s">
        <v>482</v>
      </c>
      <c r="J572" s="45">
        <v>42771</v>
      </c>
      <c r="K572" s="45">
        <v>42771</v>
      </c>
      <c r="L572" s="45">
        <v>42771</v>
      </c>
    </row>
    <row r="573" spans="1:12" ht="18" customHeight="1">
      <c r="A573" s="43" t="s">
        <v>377</v>
      </c>
      <c r="B573" s="44" t="s">
        <v>385</v>
      </c>
      <c r="C573" s="44" t="s">
        <v>73</v>
      </c>
      <c r="D573" s="85">
        <v>10104893642</v>
      </c>
      <c r="E573" s="44" t="s">
        <v>1285</v>
      </c>
      <c r="F573" s="44" t="s">
        <v>180</v>
      </c>
      <c r="G573" s="44" t="s">
        <v>1282</v>
      </c>
      <c r="H573" s="44" t="s">
        <v>76</v>
      </c>
      <c r="I573" s="48" t="s">
        <v>482</v>
      </c>
      <c r="J573" s="45">
        <v>42771</v>
      </c>
      <c r="K573" s="45">
        <v>42771</v>
      </c>
      <c r="L573" s="45">
        <v>42771</v>
      </c>
    </row>
    <row r="574" spans="1:12" ht="18" customHeight="1">
      <c r="A574" s="43" t="s">
        <v>377</v>
      </c>
      <c r="B574" s="44" t="s">
        <v>380</v>
      </c>
      <c r="C574" s="44" t="s">
        <v>73</v>
      </c>
      <c r="D574" s="85">
        <v>10104949718</v>
      </c>
      <c r="E574" s="44" t="s">
        <v>1284</v>
      </c>
      <c r="F574" s="44" t="s">
        <v>180</v>
      </c>
      <c r="G574" s="44" t="s">
        <v>1282</v>
      </c>
      <c r="H574" s="44" t="s">
        <v>74</v>
      </c>
      <c r="I574" s="48" t="s">
        <v>481</v>
      </c>
      <c r="J574" s="45">
        <v>42794</v>
      </c>
      <c r="K574" s="45">
        <v>42795</v>
      </c>
      <c r="L574" s="45">
        <v>42794</v>
      </c>
    </row>
    <row r="575" spans="1:12" ht="18" customHeight="1">
      <c r="A575" s="43" t="s">
        <v>377</v>
      </c>
      <c r="B575" s="44" t="s">
        <v>380</v>
      </c>
      <c r="C575" s="44" t="s">
        <v>73</v>
      </c>
      <c r="D575" s="85">
        <v>10104949731</v>
      </c>
      <c r="E575" s="44" t="s">
        <v>1286</v>
      </c>
      <c r="F575" s="44" t="s">
        <v>180</v>
      </c>
      <c r="G575" s="44" t="s">
        <v>1287</v>
      </c>
      <c r="H575" s="44" t="s">
        <v>74</v>
      </c>
      <c r="I575" s="48" t="s">
        <v>481</v>
      </c>
      <c r="J575" s="45">
        <v>42794</v>
      </c>
      <c r="K575" s="45">
        <v>42795</v>
      </c>
      <c r="L575" s="45">
        <v>42794</v>
      </c>
    </row>
    <row r="576" spans="1:12" ht="18" customHeight="1">
      <c r="A576" s="43" t="s">
        <v>377</v>
      </c>
      <c r="B576" s="44" t="s">
        <v>385</v>
      </c>
      <c r="C576" s="44" t="s">
        <v>73</v>
      </c>
      <c r="D576" s="85">
        <v>10104893722</v>
      </c>
      <c r="E576" s="44" t="s">
        <v>1288</v>
      </c>
      <c r="F576" s="44" t="s">
        <v>180</v>
      </c>
      <c r="G576" s="44" t="s">
        <v>1287</v>
      </c>
      <c r="H576" s="44" t="s">
        <v>76</v>
      </c>
      <c r="I576" s="48" t="s">
        <v>482</v>
      </c>
      <c r="J576" s="45">
        <v>42771</v>
      </c>
      <c r="K576" s="45">
        <v>42771</v>
      </c>
      <c r="L576" s="45">
        <v>42771</v>
      </c>
    </row>
    <row r="577" spans="1:12" ht="18" customHeight="1">
      <c r="A577" s="43" t="s">
        <v>377</v>
      </c>
      <c r="B577" s="44" t="s">
        <v>385</v>
      </c>
      <c r="C577" s="44" t="s">
        <v>73</v>
      </c>
      <c r="D577" s="85">
        <v>10104893599</v>
      </c>
      <c r="E577" s="44" t="s">
        <v>1293</v>
      </c>
      <c r="F577" s="44" t="s">
        <v>180</v>
      </c>
      <c r="G577" s="44" t="s">
        <v>1290</v>
      </c>
      <c r="H577" s="44" t="s">
        <v>76</v>
      </c>
      <c r="I577" s="48" t="s">
        <v>482</v>
      </c>
      <c r="J577" s="45">
        <v>42772</v>
      </c>
      <c r="K577" s="45">
        <v>42772</v>
      </c>
      <c r="L577" s="45">
        <v>42772</v>
      </c>
    </row>
    <row r="578" spans="1:12" ht="18" customHeight="1">
      <c r="A578" s="43" t="s">
        <v>377</v>
      </c>
      <c r="B578" s="44" t="s">
        <v>385</v>
      </c>
      <c r="C578" s="44" t="s">
        <v>73</v>
      </c>
      <c r="D578" s="85">
        <v>10104893600</v>
      </c>
      <c r="E578" s="44" t="s">
        <v>1292</v>
      </c>
      <c r="F578" s="44" t="s">
        <v>180</v>
      </c>
      <c r="G578" s="44" t="s">
        <v>1290</v>
      </c>
      <c r="H578" s="44" t="s">
        <v>76</v>
      </c>
      <c r="I578" s="48" t="s">
        <v>482</v>
      </c>
      <c r="J578" s="45">
        <v>42772</v>
      </c>
      <c r="K578" s="45">
        <v>42772</v>
      </c>
      <c r="L578" s="45">
        <v>42772</v>
      </c>
    </row>
    <row r="579" spans="1:12" ht="18" customHeight="1">
      <c r="A579" s="43" t="s">
        <v>377</v>
      </c>
      <c r="B579" s="44" t="s">
        <v>380</v>
      </c>
      <c r="C579" s="44" t="s">
        <v>73</v>
      </c>
      <c r="D579" s="85">
        <v>10104949719</v>
      </c>
      <c r="E579" s="44" t="s">
        <v>1291</v>
      </c>
      <c r="F579" s="44" t="s">
        <v>180</v>
      </c>
      <c r="G579" s="44" t="s">
        <v>1290</v>
      </c>
      <c r="H579" s="44" t="s">
        <v>74</v>
      </c>
      <c r="I579" s="48" t="s">
        <v>481</v>
      </c>
      <c r="J579" s="45">
        <v>42794</v>
      </c>
      <c r="K579" s="45">
        <v>42795</v>
      </c>
      <c r="L579" s="45">
        <v>42787</v>
      </c>
    </row>
    <row r="580" spans="1:12" ht="18" customHeight="1">
      <c r="A580" s="43" t="s">
        <v>377</v>
      </c>
      <c r="B580" s="44" t="s">
        <v>380</v>
      </c>
      <c r="C580" s="44" t="s">
        <v>73</v>
      </c>
      <c r="D580" s="85">
        <v>10104949732</v>
      </c>
      <c r="E580" s="44" t="s">
        <v>1289</v>
      </c>
      <c r="F580" s="44" t="s">
        <v>180</v>
      </c>
      <c r="G580" s="44" t="s">
        <v>1290</v>
      </c>
      <c r="H580" s="44" t="s">
        <v>74</v>
      </c>
      <c r="I580" s="48" t="s">
        <v>481</v>
      </c>
      <c r="J580" s="45">
        <v>42794</v>
      </c>
      <c r="K580" s="45">
        <v>42795</v>
      </c>
      <c r="L580" s="45">
        <v>42787</v>
      </c>
    </row>
    <row r="581" spans="1:12" ht="18" customHeight="1">
      <c r="A581" s="43" t="s">
        <v>377</v>
      </c>
      <c r="B581" s="44" t="s">
        <v>380</v>
      </c>
      <c r="C581" s="44" t="s">
        <v>73</v>
      </c>
      <c r="D581" s="85">
        <v>10104941510</v>
      </c>
      <c r="E581" s="44" t="s">
        <v>405</v>
      </c>
      <c r="F581" s="44" t="s">
        <v>219</v>
      </c>
      <c r="G581" s="44" t="s">
        <v>404</v>
      </c>
      <c r="H581" s="44" t="s">
        <v>74</v>
      </c>
      <c r="I581" s="48" t="s">
        <v>481</v>
      </c>
      <c r="J581" s="45">
        <v>42779</v>
      </c>
      <c r="K581" s="45">
        <v>42786</v>
      </c>
      <c r="L581" s="45"/>
    </row>
    <row r="582" spans="1:12" ht="18" customHeight="1">
      <c r="A582" s="43" t="s">
        <v>377</v>
      </c>
      <c r="B582" s="44" t="s">
        <v>380</v>
      </c>
      <c r="C582" s="44" t="s">
        <v>73</v>
      </c>
      <c r="D582" s="85">
        <v>10104932856</v>
      </c>
      <c r="E582" s="44" t="s">
        <v>405</v>
      </c>
      <c r="F582" s="44" t="s">
        <v>219</v>
      </c>
      <c r="G582" s="44" t="s">
        <v>404</v>
      </c>
      <c r="H582" s="44" t="s">
        <v>74</v>
      </c>
      <c r="I582" s="48" t="s">
        <v>481</v>
      </c>
      <c r="J582" s="45">
        <v>42772</v>
      </c>
      <c r="K582" s="45">
        <v>42772</v>
      </c>
      <c r="L582" s="45"/>
    </row>
    <row r="583" spans="1:12" ht="18" customHeight="1">
      <c r="A583" s="43" t="s">
        <v>377</v>
      </c>
      <c r="B583" s="44" t="s">
        <v>380</v>
      </c>
      <c r="C583" s="44" t="s">
        <v>73</v>
      </c>
      <c r="D583" s="85">
        <v>10104949704</v>
      </c>
      <c r="E583" s="44" t="s">
        <v>405</v>
      </c>
      <c r="F583" s="44" t="s">
        <v>180</v>
      </c>
      <c r="G583" s="44" t="s">
        <v>404</v>
      </c>
      <c r="H583" s="44" t="s">
        <v>74</v>
      </c>
      <c r="I583" s="48" t="s">
        <v>481</v>
      </c>
      <c r="J583" s="45">
        <v>42786</v>
      </c>
      <c r="K583" s="45">
        <v>42795</v>
      </c>
      <c r="L583" s="45">
        <v>42794</v>
      </c>
    </row>
    <row r="584" spans="1:12" ht="18" customHeight="1">
      <c r="A584" s="43" t="s">
        <v>377</v>
      </c>
      <c r="B584" s="44" t="s">
        <v>380</v>
      </c>
      <c r="C584" s="44" t="s">
        <v>73</v>
      </c>
      <c r="D584" s="85">
        <v>10104958364</v>
      </c>
      <c r="E584" s="44" t="s">
        <v>405</v>
      </c>
      <c r="F584" s="44" t="s">
        <v>180</v>
      </c>
      <c r="G584" s="44" t="s">
        <v>404</v>
      </c>
      <c r="H584" s="44" t="s">
        <v>74</v>
      </c>
      <c r="I584" s="48" t="s">
        <v>481</v>
      </c>
      <c r="J584" s="45">
        <v>42793</v>
      </c>
      <c r="K584" s="45">
        <v>42795</v>
      </c>
      <c r="L584" s="45">
        <v>42794</v>
      </c>
    </row>
    <row r="585" spans="1:12" ht="18" customHeight="1">
      <c r="A585" s="43" t="s">
        <v>377</v>
      </c>
      <c r="B585" s="44" t="s">
        <v>380</v>
      </c>
      <c r="C585" s="44" t="s">
        <v>73</v>
      </c>
      <c r="D585" s="85">
        <v>10104941536</v>
      </c>
      <c r="E585" s="44" t="s">
        <v>407</v>
      </c>
      <c r="F585" s="44" t="s">
        <v>180</v>
      </c>
      <c r="G585" s="44" t="s">
        <v>406</v>
      </c>
      <c r="H585" s="44" t="s">
        <v>74</v>
      </c>
      <c r="I585" s="48" t="s">
        <v>481</v>
      </c>
      <c r="J585" s="45">
        <v>42779</v>
      </c>
      <c r="K585" s="45">
        <v>42786</v>
      </c>
      <c r="L585" s="45">
        <v>42780</v>
      </c>
    </row>
    <row r="586" spans="1:12" ht="18" customHeight="1">
      <c r="A586" s="43" t="s">
        <v>377</v>
      </c>
      <c r="B586" s="44" t="s">
        <v>380</v>
      </c>
      <c r="C586" s="44" t="s">
        <v>73</v>
      </c>
      <c r="D586" s="85">
        <v>10104933001</v>
      </c>
      <c r="E586" s="44" t="s">
        <v>407</v>
      </c>
      <c r="F586" s="44" t="s">
        <v>180</v>
      </c>
      <c r="G586" s="44" t="s">
        <v>406</v>
      </c>
      <c r="H586" s="44" t="s">
        <v>74</v>
      </c>
      <c r="I586" s="48" t="s">
        <v>481</v>
      </c>
      <c r="J586" s="45">
        <v>42772</v>
      </c>
      <c r="K586" s="45">
        <v>42775</v>
      </c>
      <c r="L586" s="45">
        <v>42772</v>
      </c>
    </row>
    <row r="587" spans="1:12" ht="18" customHeight="1">
      <c r="A587" s="43" t="s">
        <v>377</v>
      </c>
      <c r="B587" s="44" t="s">
        <v>380</v>
      </c>
      <c r="C587" s="44" t="s">
        <v>73</v>
      </c>
      <c r="D587" s="85">
        <v>10104949751</v>
      </c>
      <c r="E587" s="44" t="s">
        <v>407</v>
      </c>
      <c r="F587" s="44" t="s">
        <v>180</v>
      </c>
      <c r="G587" s="44" t="s">
        <v>406</v>
      </c>
      <c r="H587" s="44" t="s">
        <v>74</v>
      </c>
      <c r="I587" s="48" t="s">
        <v>481</v>
      </c>
      <c r="J587" s="45">
        <v>42786</v>
      </c>
      <c r="K587" s="45">
        <v>42795</v>
      </c>
      <c r="L587" s="45">
        <v>42787</v>
      </c>
    </row>
    <row r="588" spans="1:12" ht="18" customHeight="1">
      <c r="A588" s="43" t="s">
        <v>377</v>
      </c>
      <c r="B588" s="44" t="s">
        <v>380</v>
      </c>
      <c r="C588" s="44" t="s">
        <v>73</v>
      </c>
      <c r="D588" s="85">
        <v>10104958397</v>
      </c>
      <c r="E588" s="44" t="s">
        <v>407</v>
      </c>
      <c r="F588" s="44" t="s">
        <v>180</v>
      </c>
      <c r="G588" s="44" t="s">
        <v>406</v>
      </c>
      <c r="H588" s="44" t="s">
        <v>74</v>
      </c>
      <c r="I588" s="48" t="s">
        <v>481</v>
      </c>
      <c r="J588" s="45">
        <v>42793</v>
      </c>
      <c r="K588" s="45">
        <v>42795</v>
      </c>
      <c r="L588" s="45">
        <v>42794</v>
      </c>
    </row>
    <row r="589" spans="1:12" ht="18" customHeight="1">
      <c r="A589" s="43" t="s">
        <v>377</v>
      </c>
      <c r="B589" s="44" t="s">
        <v>380</v>
      </c>
      <c r="C589" s="44" t="s">
        <v>73</v>
      </c>
      <c r="D589" s="85">
        <v>10104941511</v>
      </c>
      <c r="E589" s="44" t="s">
        <v>408</v>
      </c>
      <c r="F589" s="44" t="s">
        <v>180</v>
      </c>
      <c r="G589" s="44" t="s">
        <v>409</v>
      </c>
      <c r="H589" s="44" t="s">
        <v>74</v>
      </c>
      <c r="I589" s="48" t="s">
        <v>481</v>
      </c>
      <c r="J589" s="45">
        <v>42779</v>
      </c>
      <c r="K589" s="45">
        <v>42786</v>
      </c>
      <c r="L589" s="45">
        <v>42780</v>
      </c>
    </row>
    <row r="590" spans="1:12" ht="18" customHeight="1">
      <c r="A590" s="43" t="s">
        <v>377</v>
      </c>
      <c r="B590" s="44" t="s">
        <v>380</v>
      </c>
      <c r="C590" s="44" t="s">
        <v>73</v>
      </c>
      <c r="D590" s="85">
        <v>10104958365</v>
      </c>
      <c r="E590" s="44" t="s">
        <v>408</v>
      </c>
      <c r="F590" s="44" t="s">
        <v>180</v>
      </c>
      <c r="G590" s="44" t="s">
        <v>409</v>
      </c>
      <c r="H590" s="44" t="s">
        <v>74</v>
      </c>
      <c r="I590" s="48" t="s">
        <v>481</v>
      </c>
      <c r="J590" s="45">
        <v>42793</v>
      </c>
      <c r="K590" s="45">
        <v>42795</v>
      </c>
      <c r="L590" s="45">
        <v>42793</v>
      </c>
    </row>
    <row r="591" spans="1:12" ht="18" customHeight="1">
      <c r="A591" s="43" t="s">
        <v>377</v>
      </c>
      <c r="B591" s="44" t="s">
        <v>380</v>
      </c>
      <c r="C591" s="44" t="s">
        <v>73</v>
      </c>
      <c r="D591" s="85">
        <v>10104949705</v>
      </c>
      <c r="E591" s="44" t="s">
        <v>408</v>
      </c>
      <c r="F591" s="44" t="s">
        <v>180</v>
      </c>
      <c r="G591" s="44" t="s">
        <v>409</v>
      </c>
      <c r="H591" s="44" t="s">
        <v>74</v>
      </c>
      <c r="I591" s="48" t="s">
        <v>481</v>
      </c>
      <c r="J591" s="45">
        <v>42786</v>
      </c>
      <c r="K591" s="45">
        <v>42795</v>
      </c>
      <c r="L591" s="45">
        <v>42787</v>
      </c>
    </row>
    <row r="592" spans="1:12" ht="18" customHeight="1">
      <c r="A592" s="43" t="s">
        <v>377</v>
      </c>
      <c r="B592" s="44" t="s">
        <v>380</v>
      </c>
      <c r="C592" s="44" t="s">
        <v>73</v>
      </c>
      <c r="D592" s="85">
        <v>10104932857</v>
      </c>
      <c r="E592" s="44" t="s">
        <v>408</v>
      </c>
      <c r="F592" s="44" t="s">
        <v>180</v>
      </c>
      <c r="G592" s="44" t="s">
        <v>409</v>
      </c>
      <c r="H592" s="44" t="s">
        <v>74</v>
      </c>
      <c r="I592" s="48" t="s">
        <v>481</v>
      </c>
      <c r="J592" s="45">
        <v>42772</v>
      </c>
      <c r="K592" s="45">
        <v>42775</v>
      </c>
      <c r="L592" s="45">
        <v>42772</v>
      </c>
    </row>
    <row r="593" spans="1:12" ht="18" customHeight="1">
      <c r="A593" s="43" t="s">
        <v>377</v>
      </c>
      <c r="B593" s="44" t="s">
        <v>380</v>
      </c>
      <c r="C593" s="44" t="s">
        <v>73</v>
      </c>
      <c r="D593" s="85">
        <v>10104949771</v>
      </c>
      <c r="E593" s="44" t="s">
        <v>411</v>
      </c>
      <c r="F593" s="44" t="s">
        <v>180</v>
      </c>
      <c r="G593" s="44" t="s">
        <v>410</v>
      </c>
      <c r="H593" s="44" t="s">
        <v>74</v>
      </c>
      <c r="I593" s="48" t="s">
        <v>481</v>
      </c>
      <c r="J593" s="45">
        <v>42786</v>
      </c>
      <c r="K593" s="45">
        <v>42795</v>
      </c>
      <c r="L593" s="45">
        <v>42787</v>
      </c>
    </row>
    <row r="594" spans="1:12" ht="18" customHeight="1">
      <c r="A594" s="43" t="s">
        <v>377</v>
      </c>
      <c r="B594" s="44" t="s">
        <v>380</v>
      </c>
      <c r="C594" s="44" t="s">
        <v>73</v>
      </c>
      <c r="D594" s="85">
        <v>10104958409</v>
      </c>
      <c r="E594" s="44" t="s">
        <v>411</v>
      </c>
      <c r="F594" s="44" t="s">
        <v>180</v>
      </c>
      <c r="G594" s="44" t="s">
        <v>410</v>
      </c>
      <c r="H594" s="44" t="s">
        <v>74</v>
      </c>
      <c r="I594" s="48" t="s">
        <v>481</v>
      </c>
      <c r="J594" s="45">
        <v>42793</v>
      </c>
      <c r="K594" s="45">
        <v>42795</v>
      </c>
      <c r="L594" s="45">
        <v>42794</v>
      </c>
    </row>
    <row r="595" spans="1:12" ht="18" customHeight="1">
      <c r="A595" s="43" t="s">
        <v>377</v>
      </c>
      <c r="B595" s="44" t="s">
        <v>380</v>
      </c>
      <c r="C595" s="44" t="s">
        <v>73</v>
      </c>
      <c r="D595" s="85">
        <v>10104933013</v>
      </c>
      <c r="E595" s="44" t="s">
        <v>411</v>
      </c>
      <c r="F595" s="44" t="s">
        <v>180</v>
      </c>
      <c r="G595" s="44" t="s">
        <v>410</v>
      </c>
      <c r="H595" s="44" t="s">
        <v>74</v>
      </c>
      <c r="I595" s="48" t="s">
        <v>481</v>
      </c>
      <c r="J595" s="45">
        <v>42772</v>
      </c>
      <c r="K595" s="45">
        <v>42775</v>
      </c>
      <c r="L595" s="45">
        <v>42772</v>
      </c>
    </row>
    <row r="596" spans="1:12" ht="18" customHeight="1">
      <c r="A596" s="43" t="s">
        <v>377</v>
      </c>
      <c r="B596" s="44" t="s">
        <v>380</v>
      </c>
      <c r="C596" s="44" t="s">
        <v>73</v>
      </c>
      <c r="D596" s="85">
        <v>10104941550</v>
      </c>
      <c r="E596" s="44" t="s">
        <v>411</v>
      </c>
      <c r="F596" s="44" t="s">
        <v>180</v>
      </c>
      <c r="G596" s="44" t="s">
        <v>410</v>
      </c>
      <c r="H596" s="44" t="s">
        <v>74</v>
      </c>
      <c r="I596" s="48" t="s">
        <v>481</v>
      </c>
      <c r="J596" s="45">
        <v>42779</v>
      </c>
      <c r="K596" s="45">
        <v>42786</v>
      </c>
      <c r="L596" s="45">
        <v>42780</v>
      </c>
    </row>
    <row r="597" spans="1:12" ht="18" customHeight="1">
      <c r="A597" s="43" t="s">
        <v>377</v>
      </c>
      <c r="B597" s="44" t="s">
        <v>380</v>
      </c>
      <c r="C597" s="44" t="s">
        <v>73</v>
      </c>
      <c r="D597" s="85">
        <v>10104941512</v>
      </c>
      <c r="E597" s="44" t="s">
        <v>412</v>
      </c>
      <c r="F597" s="44" t="s">
        <v>180</v>
      </c>
      <c r="G597" s="44" t="s">
        <v>413</v>
      </c>
      <c r="H597" s="44" t="s">
        <v>74</v>
      </c>
      <c r="I597" s="48" t="s">
        <v>481</v>
      </c>
      <c r="J597" s="45">
        <v>42779</v>
      </c>
      <c r="K597" s="45">
        <v>42786</v>
      </c>
      <c r="L597" s="45">
        <v>42780</v>
      </c>
    </row>
    <row r="598" spans="1:12" ht="18" customHeight="1">
      <c r="A598" s="43" t="s">
        <v>377</v>
      </c>
      <c r="B598" s="44" t="s">
        <v>380</v>
      </c>
      <c r="C598" s="44" t="s">
        <v>73</v>
      </c>
      <c r="D598" s="85">
        <v>10104958366</v>
      </c>
      <c r="E598" s="44" t="s">
        <v>412</v>
      </c>
      <c r="F598" s="44" t="s">
        <v>180</v>
      </c>
      <c r="G598" s="44" t="s">
        <v>413</v>
      </c>
      <c r="H598" s="44" t="s">
        <v>74</v>
      </c>
      <c r="I598" s="48" t="s">
        <v>481</v>
      </c>
      <c r="J598" s="45">
        <v>42793</v>
      </c>
      <c r="K598" s="45">
        <v>42795</v>
      </c>
      <c r="L598" s="45">
        <v>42794</v>
      </c>
    </row>
    <row r="599" spans="1:12" ht="18" customHeight="1">
      <c r="A599" s="43" t="s">
        <v>377</v>
      </c>
      <c r="B599" s="44" t="s">
        <v>380</v>
      </c>
      <c r="C599" s="44" t="s">
        <v>73</v>
      </c>
      <c r="D599" s="85">
        <v>10104949706</v>
      </c>
      <c r="E599" s="44" t="s">
        <v>412</v>
      </c>
      <c r="F599" s="44" t="s">
        <v>180</v>
      </c>
      <c r="G599" s="44" t="s">
        <v>413</v>
      </c>
      <c r="H599" s="44" t="s">
        <v>74</v>
      </c>
      <c r="I599" s="48" t="s">
        <v>481</v>
      </c>
      <c r="J599" s="45">
        <v>42786</v>
      </c>
      <c r="K599" s="45">
        <v>42795</v>
      </c>
      <c r="L599" s="45">
        <v>42786</v>
      </c>
    </row>
    <row r="600" spans="1:12" ht="18" customHeight="1">
      <c r="A600" s="43" t="s">
        <v>377</v>
      </c>
      <c r="B600" s="44" t="s">
        <v>380</v>
      </c>
      <c r="C600" s="44" t="s">
        <v>73</v>
      </c>
      <c r="D600" s="85">
        <v>10104932858</v>
      </c>
      <c r="E600" s="44" t="s">
        <v>412</v>
      </c>
      <c r="F600" s="44" t="s">
        <v>180</v>
      </c>
      <c r="G600" s="44" t="s">
        <v>413</v>
      </c>
      <c r="H600" s="44" t="s">
        <v>74</v>
      </c>
      <c r="I600" s="48" t="s">
        <v>481</v>
      </c>
      <c r="J600" s="45">
        <v>42772</v>
      </c>
      <c r="K600" s="45">
        <v>42775</v>
      </c>
      <c r="L600" s="45">
        <v>42772</v>
      </c>
    </row>
    <row r="601" spans="1:12" ht="18" customHeight="1">
      <c r="A601" s="43" t="s">
        <v>377</v>
      </c>
      <c r="B601" s="44" t="s">
        <v>380</v>
      </c>
      <c r="C601" s="44" t="s">
        <v>73</v>
      </c>
      <c r="D601" s="85">
        <v>10104941513</v>
      </c>
      <c r="E601" s="44" t="s">
        <v>414</v>
      </c>
      <c r="F601" s="44" t="s">
        <v>180</v>
      </c>
      <c r="G601" s="44" t="s">
        <v>415</v>
      </c>
      <c r="H601" s="44" t="s">
        <v>74</v>
      </c>
      <c r="I601" s="48" t="s">
        <v>481</v>
      </c>
      <c r="J601" s="45">
        <v>42779</v>
      </c>
      <c r="K601" s="45">
        <v>42786</v>
      </c>
      <c r="L601" s="45">
        <v>42780</v>
      </c>
    </row>
    <row r="602" spans="1:12" ht="18" customHeight="1">
      <c r="A602" s="43" t="s">
        <v>377</v>
      </c>
      <c r="B602" s="44" t="s">
        <v>380</v>
      </c>
      <c r="C602" s="44" t="s">
        <v>73</v>
      </c>
      <c r="D602" s="85">
        <v>10104958367</v>
      </c>
      <c r="E602" s="44" t="s">
        <v>414</v>
      </c>
      <c r="F602" s="44" t="s">
        <v>180</v>
      </c>
      <c r="G602" s="44" t="s">
        <v>415</v>
      </c>
      <c r="H602" s="44" t="s">
        <v>74</v>
      </c>
      <c r="I602" s="48" t="s">
        <v>481</v>
      </c>
      <c r="J602" s="45">
        <v>42793</v>
      </c>
      <c r="K602" s="45">
        <v>42795</v>
      </c>
      <c r="L602" s="45">
        <v>42794</v>
      </c>
    </row>
    <row r="603" spans="1:12" ht="18" customHeight="1">
      <c r="A603" s="43" t="s">
        <v>377</v>
      </c>
      <c r="B603" s="44" t="s">
        <v>380</v>
      </c>
      <c r="C603" s="44" t="s">
        <v>73</v>
      </c>
      <c r="D603" s="85">
        <v>10104932859</v>
      </c>
      <c r="E603" s="44" t="s">
        <v>414</v>
      </c>
      <c r="F603" s="44" t="s">
        <v>180</v>
      </c>
      <c r="G603" s="44" t="s">
        <v>415</v>
      </c>
      <c r="H603" s="44" t="s">
        <v>74</v>
      </c>
      <c r="I603" s="48" t="s">
        <v>481</v>
      </c>
      <c r="J603" s="45">
        <v>42772</v>
      </c>
      <c r="K603" s="45">
        <v>42775</v>
      </c>
      <c r="L603" s="45">
        <v>42772</v>
      </c>
    </row>
    <row r="604" spans="1:12" ht="18" customHeight="1">
      <c r="A604" s="43" t="s">
        <v>377</v>
      </c>
      <c r="B604" s="44" t="s">
        <v>380</v>
      </c>
      <c r="C604" s="44" t="s">
        <v>73</v>
      </c>
      <c r="D604" s="85">
        <v>10104949707</v>
      </c>
      <c r="E604" s="44" t="s">
        <v>414</v>
      </c>
      <c r="F604" s="44" t="s">
        <v>180</v>
      </c>
      <c r="G604" s="44" t="s">
        <v>415</v>
      </c>
      <c r="H604" s="44" t="s">
        <v>74</v>
      </c>
      <c r="I604" s="48" t="s">
        <v>481</v>
      </c>
      <c r="J604" s="45">
        <v>42786</v>
      </c>
      <c r="K604" s="45">
        <v>42795</v>
      </c>
      <c r="L604" s="45">
        <v>42786</v>
      </c>
    </row>
    <row r="605" spans="1:12" ht="18" customHeight="1">
      <c r="A605" s="43" t="s">
        <v>377</v>
      </c>
      <c r="B605" s="44" t="s">
        <v>380</v>
      </c>
      <c r="C605" s="44" t="s">
        <v>73</v>
      </c>
      <c r="D605" s="85">
        <v>10104949752</v>
      </c>
      <c r="E605" s="44" t="s">
        <v>416</v>
      </c>
      <c r="F605" s="44" t="s">
        <v>180</v>
      </c>
      <c r="G605" s="44" t="s">
        <v>417</v>
      </c>
      <c r="H605" s="44" t="s">
        <v>74</v>
      </c>
      <c r="I605" s="48" t="s">
        <v>481</v>
      </c>
      <c r="J605" s="45">
        <v>42786</v>
      </c>
      <c r="K605" s="45">
        <v>42795</v>
      </c>
      <c r="L605" s="45">
        <v>42786</v>
      </c>
    </row>
    <row r="606" spans="1:12" ht="18" customHeight="1">
      <c r="A606" s="43" t="s">
        <v>377</v>
      </c>
      <c r="B606" s="44" t="s">
        <v>380</v>
      </c>
      <c r="C606" s="44" t="s">
        <v>73</v>
      </c>
      <c r="D606" s="85">
        <v>10104958398</v>
      </c>
      <c r="E606" s="44" t="s">
        <v>416</v>
      </c>
      <c r="F606" s="44" t="s">
        <v>180</v>
      </c>
      <c r="G606" s="44" t="s">
        <v>417</v>
      </c>
      <c r="H606" s="44" t="s">
        <v>74</v>
      </c>
      <c r="I606" s="48" t="s">
        <v>481</v>
      </c>
      <c r="J606" s="45">
        <v>42793</v>
      </c>
      <c r="K606" s="45">
        <v>42795</v>
      </c>
      <c r="L606" s="45">
        <v>42794</v>
      </c>
    </row>
    <row r="607" spans="1:12" ht="18" customHeight="1">
      <c r="A607" s="43" t="s">
        <v>377</v>
      </c>
      <c r="B607" s="44" t="s">
        <v>380</v>
      </c>
      <c r="C607" s="44" t="s">
        <v>73</v>
      </c>
      <c r="D607" s="85">
        <v>10104929890</v>
      </c>
      <c r="E607" s="44" t="s">
        <v>418</v>
      </c>
      <c r="F607" s="44" t="s">
        <v>75</v>
      </c>
      <c r="G607" s="44" t="s">
        <v>417</v>
      </c>
      <c r="H607" s="44" t="s">
        <v>74</v>
      </c>
      <c r="I607" s="48" t="s">
        <v>481</v>
      </c>
      <c r="J607" s="45">
        <v>42769</v>
      </c>
      <c r="K607" s="45">
        <v>42795</v>
      </c>
      <c r="L607" s="45">
        <v>42769</v>
      </c>
    </row>
    <row r="608" spans="1:12" ht="18" customHeight="1">
      <c r="A608" s="43" t="s">
        <v>377</v>
      </c>
      <c r="B608" s="44" t="s">
        <v>380</v>
      </c>
      <c r="C608" s="44" t="s">
        <v>73</v>
      </c>
      <c r="D608" s="85">
        <v>10104946845</v>
      </c>
      <c r="E608" s="44" t="s">
        <v>418</v>
      </c>
      <c r="F608" s="44" t="s">
        <v>219</v>
      </c>
      <c r="G608" s="44" t="s">
        <v>417</v>
      </c>
      <c r="H608" s="44" t="s">
        <v>74</v>
      </c>
      <c r="I608" s="48" t="s">
        <v>481</v>
      </c>
      <c r="J608" s="45">
        <v>42783</v>
      </c>
      <c r="K608" s="45">
        <v>42786</v>
      </c>
      <c r="L608" s="45"/>
    </row>
    <row r="609" spans="1:12" ht="18" customHeight="1">
      <c r="A609" s="43" t="s">
        <v>377</v>
      </c>
      <c r="B609" s="44" t="s">
        <v>380</v>
      </c>
      <c r="C609" s="44" t="s">
        <v>73</v>
      </c>
      <c r="D609" s="85">
        <v>10104938645</v>
      </c>
      <c r="E609" s="44" t="s">
        <v>418</v>
      </c>
      <c r="F609" s="44" t="s">
        <v>219</v>
      </c>
      <c r="G609" s="44" t="s">
        <v>417</v>
      </c>
      <c r="H609" s="44" t="s">
        <v>74</v>
      </c>
      <c r="I609" s="48" t="s">
        <v>481</v>
      </c>
      <c r="J609" s="45">
        <v>42776</v>
      </c>
      <c r="K609" s="45">
        <v>42786</v>
      </c>
      <c r="L609" s="45"/>
    </row>
    <row r="610" spans="1:12" ht="18" customHeight="1">
      <c r="A610" s="43" t="s">
        <v>377</v>
      </c>
      <c r="B610" s="44" t="s">
        <v>380</v>
      </c>
      <c r="C610" s="44" t="s">
        <v>73</v>
      </c>
      <c r="D610" s="85">
        <v>10104933002</v>
      </c>
      <c r="E610" s="44" t="s">
        <v>416</v>
      </c>
      <c r="F610" s="44" t="s">
        <v>180</v>
      </c>
      <c r="G610" s="44" t="s">
        <v>417</v>
      </c>
      <c r="H610" s="44" t="s">
        <v>74</v>
      </c>
      <c r="I610" s="48" t="s">
        <v>481</v>
      </c>
      <c r="J610" s="45">
        <v>42772</v>
      </c>
      <c r="K610" s="45">
        <v>42772</v>
      </c>
      <c r="L610" s="45">
        <v>42772</v>
      </c>
    </row>
    <row r="611" spans="1:12" ht="18" customHeight="1">
      <c r="A611" s="43" t="s">
        <v>377</v>
      </c>
      <c r="B611" s="44" t="s">
        <v>380</v>
      </c>
      <c r="C611" s="44" t="s">
        <v>73</v>
      </c>
      <c r="D611" s="85">
        <v>10104941537</v>
      </c>
      <c r="E611" s="44" t="s">
        <v>416</v>
      </c>
      <c r="F611" s="44" t="s">
        <v>180</v>
      </c>
      <c r="G611" s="44" t="s">
        <v>417</v>
      </c>
      <c r="H611" s="44" t="s">
        <v>74</v>
      </c>
      <c r="I611" s="48" t="s">
        <v>481</v>
      </c>
      <c r="J611" s="45">
        <v>42779</v>
      </c>
      <c r="K611" s="45">
        <v>42786</v>
      </c>
      <c r="L611" s="45">
        <v>42779</v>
      </c>
    </row>
    <row r="612" spans="1:12" ht="18" customHeight="1">
      <c r="A612" s="43" t="s">
        <v>377</v>
      </c>
      <c r="B612" s="44" t="s">
        <v>380</v>
      </c>
      <c r="C612" s="44" t="s">
        <v>73</v>
      </c>
      <c r="D612" s="85">
        <v>10104955290</v>
      </c>
      <c r="E612" s="44" t="s">
        <v>418</v>
      </c>
      <c r="F612" s="44" t="s">
        <v>180</v>
      </c>
      <c r="G612" s="44" t="s">
        <v>417</v>
      </c>
      <c r="H612" s="44" t="s">
        <v>74</v>
      </c>
      <c r="I612" s="48" t="s">
        <v>481</v>
      </c>
      <c r="J612" s="45">
        <v>42790</v>
      </c>
      <c r="K612" s="45">
        <v>42795</v>
      </c>
      <c r="L612" s="45">
        <v>42794</v>
      </c>
    </row>
    <row r="613" spans="1:12" ht="18" customHeight="1">
      <c r="A613" s="43" t="s">
        <v>377</v>
      </c>
      <c r="B613" s="44" t="s">
        <v>380</v>
      </c>
      <c r="C613" s="44" t="s">
        <v>73</v>
      </c>
      <c r="D613" s="85">
        <v>10104933014</v>
      </c>
      <c r="E613" s="44" t="s">
        <v>419</v>
      </c>
      <c r="F613" s="44" t="s">
        <v>180</v>
      </c>
      <c r="G613" s="44" t="s">
        <v>420</v>
      </c>
      <c r="H613" s="44" t="s">
        <v>74</v>
      </c>
      <c r="I613" s="48" t="s">
        <v>481</v>
      </c>
      <c r="J613" s="45">
        <v>42772</v>
      </c>
      <c r="K613" s="45">
        <v>42772</v>
      </c>
      <c r="L613" s="45">
        <v>42772</v>
      </c>
    </row>
    <row r="614" spans="1:12" ht="18" customHeight="1">
      <c r="A614" s="43" t="s">
        <v>377</v>
      </c>
      <c r="B614" s="44" t="s">
        <v>380</v>
      </c>
      <c r="C614" s="44" t="s">
        <v>73</v>
      </c>
      <c r="D614" s="85">
        <v>10104958410</v>
      </c>
      <c r="E614" s="44" t="s">
        <v>419</v>
      </c>
      <c r="F614" s="44" t="s">
        <v>180</v>
      </c>
      <c r="G614" s="44" t="s">
        <v>420</v>
      </c>
      <c r="H614" s="44" t="s">
        <v>74</v>
      </c>
      <c r="I614" s="48" t="s">
        <v>481</v>
      </c>
      <c r="J614" s="45">
        <v>42793</v>
      </c>
      <c r="K614" s="45">
        <v>42795</v>
      </c>
      <c r="L614" s="45">
        <v>42794</v>
      </c>
    </row>
    <row r="615" spans="1:12" ht="18" customHeight="1">
      <c r="A615" s="43" t="s">
        <v>377</v>
      </c>
      <c r="B615" s="44" t="s">
        <v>380</v>
      </c>
      <c r="C615" s="44" t="s">
        <v>73</v>
      </c>
      <c r="D615" s="85">
        <v>10104949772</v>
      </c>
      <c r="E615" s="44" t="s">
        <v>419</v>
      </c>
      <c r="F615" s="44" t="s">
        <v>180</v>
      </c>
      <c r="G615" s="44" t="s">
        <v>420</v>
      </c>
      <c r="H615" s="44" t="s">
        <v>74</v>
      </c>
      <c r="I615" s="48" t="s">
        <v>481</v>
      </c>
      <c r="J615" s="45">
        <v>42786</v>
      </c>
      <c r="K615" s="45">
        <v>42795</v>
      </c>
      <c r="L615" s="45">
        <v>42794</v>
      </c>
    </row>
    <row r="616" spans="1:12" ht="18" customHeight="1">
      <c r="A616" s="43" t="s">
        <v>377</v>
      </c>
      <c r="B616" s="44" t="s">
        <v>380</v>
      </c>
      <c r="C616" s="44" t="s">
        <v>73</v>
      </c>
      <c r="D616" s="85">
        <v>10104941551</v>
      </c>
      <c r="E616" s="44" t="s">
        <v>419</v>
      </c>
      <c r="F616" s="44" t="s">
        <v>219</v>
      </c>
      <c r="G616" s="44" t="s">
        <v>420</v>
      </c>
      <c r="H616" s="44" t="s">
        <v>74</v>
      </c>
      <c r="I616" s="48" t="s">
        <v>481</v>
      </c>
      <c r="J616" s="45">
        <v>42779</v>
      </c>
      <c r="K616" s="45">
        <v>42786</v>
      </c>
      <c r="L616" s="45"/>
    </row>
    <row r="617" spans="1:12" ht="18" customHeight="1">
      <c r="A617" s="43" t="s">
        <v>377</v>
      </c>
      <c r="B617" s="44" t="s">
        <v>380</v>
      </c>
      <c r="C617" s="44" t="s">
        <v>73</v>
      </c>
      <c r="D617" s="85">
        <v>10104932038</v>
      </c>
      <c r="E617" s="44" t="s">
        <v>1297</v>
      </c>
      <c r="F617" s="44" t="s">
        <v>219</v>
      </c>
      <c r="G617" s="44" t="s">
        <v>1295</v>
      </c>
      <c r="H617" s="44" t="s">
        <v>74</v>
      </c>
      <c r="I617" s="48" t="s">
        <v>481</v>
      </c>
      <c r="J617" s="45">
        <v>42780</v>
      </c>
      <c r="K617" s="45">
        <v>42780</v>
      </c>
      <c r="L617" s="45"/>
    </row>
    <row r="618" spans="1:12" ht="18" customHeight="1">
      <c r="A618" s="43" t="s">
        <v>377</v>
      </c>
      <c r="B618" s="44" t="s">
        <v>380</v>
      </c>
      <c r="C618" s="44" t="s">
        <v>73</v>
      </c>
      <c r="D618" s="85">
        <v>10104932040</v>
      </c>
      <c r="E618" s="44" t="s">
        <v>1294</v>
      </c>
      <c r="F618" s="44" t="s">
        <v>180</v>
      </c>
      <c r="G618" s="44" t="s">
        <v>1295</v>
      </c>
      <c r="H618" s="44" t="s">
        <v>74</v>
      </c>
      <c r="I618" s="48" t="s">
        <v>481</v>
      </c>
      <c r="J618" s="45">
        <v>42780</v>
      </c>
      <c r="K618" s="45">
        <v>42780</v>
      </c>
      <c r="L618" s="45">
        <v>42779</v>
      </c>
    </row>
    <row r="619" spans="1:12" ht="18" customHeight="1">
      <c r="A619" s="43" t="s">
        <v>377</v>
      </c>
      <c r="B619" s="44" t="s">
        <v>380</v>
      </c>
      <c r="C619" s="44" t="s">
        <v>73</v>
      </c>
      <c r="D619" s="85">
        <v>10104932039</v>
      </c>
      <c r="E619" s="44" t="s">
        <v>1296</v>
      </c>
      <c r="F619" s="44" t="s">
        <v>180</v>
      </c>
      <c r="G619" s="44" t="s">
        <v>1295</v>
      </c>
      <c r="H619" s="44" t="s">
        <v>74</v>
      </c>
      <c r="I619" s="48" t="s">
        <v>481</v>
      </c>
      <c r="J619" s="45">
        <v>42794</v>
      </c>
      <c r="K619" s="45">
        <v>42795</v>
      </c>
      <c r="L619" s="45">
        <v>42794</v>
      </c>
    </row>
    <row r="620" spans="1:12" ht="18" customHeight="1">
      <c r="A620" s="43" t="s">
        <v>377</v>
      </c>
      <c r="B620" s="44" t="s">
        <v>380</v>
      </c>
      <c r="C620" s="44" t="s">
        <v>73</v>
      </c>
      <c r="D620" s="85">
        <v>10104941514</v>
      </c>
      <c r="E620" s="44" t="s">
        <v>421</v>
      </c>
      <c r="F620" s="44" t="s">
        <v>180</v>
      </c>
      <c r="G620" s="44" t="s">
        <v>422</v>
      </c>
      <c r="H620" s="44" t="s">
        <v>74</v>
      </c>
      <c r="I620" s="48" t="s">
        <v>481</v>
      </c>
      <c r="J620" s="45">
        <v>42779</v>
      </c>
      <c r="K620" s="45">
        <v>42786</v>
      </c>
      <c r="L620" s="45">
        <v>42779</v>
      </c>
    </row>
    <row r="621" spans="1:12" ht="18" customHeight="1">
      <c r="A621" s="43" t="s">
        <v>377</v>
      </c>
      <c r="B621" s="44" t="s">
        <v>380</v>
      </c>
      <c r="C621" s="44" t="s">
        <v>73</v>
      </c>
      <c r="D621" s="85">
        <v>10104932860</v>
      </c>
      <c r="E621" s="44" t="s">
        <v>421</v>
      </c>
      <c r="F621" s="44" t="s">
        <v>180</v>
      </c>
      <c r="G621" s="44" t="s">
        <v>422</v>
      </c>
      <c r="H621" s="44" t="s">
        <v>74</v>
      </c>
      <c r="I621" s="48" t="s">
        <v>481</v>
      </c>
      <c r="J621" s="45">
        <v>42772</v>
      </c>
      <c r="K621" s="45">
        <v>42772</v>
      </c>
      <c r="L621" s="45">
        <v>42772</v>
      </c>
    </row>
    <row r="622" spans="1:12" ht="18" customHeight="1">
      <c r="A622" s="43" t="s">
        <v>377</v>
      </c>
      <c r="B622" s="44" t="s">
        <v>380</v>
      </c>
      <c r="C622" s="44" t="s">
        <v>73</v>
      </c>
      <c r="D622" s="85">
        <v>10104949708</v>
      </c>
      <c r="E622" s="44" t="s">
        <v>421</v>
      </c>
      <c r="F622" s="44" t="s">
        <v>180</v>
      </c>
      <c r="G622" s="44" t="s">
        <v>422</v>
      </c>
      <c r="H622" s="44" t="s">
        <v>74</v>
      </c>
      <c r="I622" s="48" t="s">
        <v>481</v>
      </c>
      <c r="J622" s="45">
        <v>42786</v>
      </c>
      <c r="K622" s="45">
        <v>42795</v>
      </c>
      <c r="L622" s="45">
        <v>42786</v>
      </c>
    </row>
    <row r="623" spans="1:12" ht="18" customHeight="1">
      <c r="A623" s="43" t="s">
        <v>377</v>
      </c>
      <c r="B623" s="44" t="s">
        <v>380</v>
      </c>
      <c r="C623" s="44" t="s">
        <v>73</v>
      </c>
      <c r="D623" s="85">
        <v>10104958368</v>
      </c>
      <c r="E623" s="44" t="s">
        <v>421</v>
      </c>
      <c r="F623" s="44" t="s">
        <v>180</v>
      </c>
      <c r="G623" s="44" t="s">
        <v>422</v>
      </c>
      <c r="H623" s="44" t="s">
        <v>74</v>
      </c>
      <c r="I623" s="48" t="s">
        <v>481</v>
      </c>
      <c r="J623" s="45">
        <v>42793</v>
      </c>
      <c r="K623" s="45">
        <v>42795</v>
      </c>
      <c r="L623" s="45">
        <v>42794</v>
      </c>
    </row>
    <row r="624" spans="1:12" ht="18" customHeight="1">
      <c r="A624" s="43" t="s">
        <v>377</v>
      </c>
      <c r="B624" s="44" t="s">
        <v>380</v>
      </c>
      <c r="C624" s="44" t="s">
        <v>73</v>
      </c>
      <c r="D624" s="85">
        <v>10104949720</v>
      </c>
      <c r="E624" s="44" t="s">
        <v>814</v>
      </c>
      <c r="F624" s="44" t="s">
        <v>180</v>
      </c>
      <c r="G624" s="44" t="s">
        <v>1299</v>
      </c>
      <c r="H624" s="44" t="s">
        <v>74</v>
      </c>
      <c r="I624" s="48" t="s">
        <v>481</v>
      </c>
      <c r="J624" s="45">
        <v>42794</v>
      </c>
      <c r="K624" s="45">
        <v>42795</v>
      </c>
      <c r="L624" s="45">
        <v>42794</v>
      </c>
    </row>
    <row r="625" spans="1:12" ht="18" customHeight="1">
      <c r="A625" s="43" t="s">
        <v>377</v>
      </c>
      <c r="B625" s="44" t="s">
        <v>385</v>
      </c>
      <c r="C625" s="44" t="s">
        <v>73</v>
      </c>
      <c r="D625" s="85">
        <v>10104932077</v>
      </c>
      <c r="E625" s="44" t="s">
        <v>1301</v>
      </c>
      <c r="F625" s="44" t="s">
        <v>180</v>
      </c>
      <c r="G625" s="44" t="s">
        <v>1299</v>
      </c>
      <c r="H625" s="44" t="s">
        <v>76</v>
      </c>
      <c r="I625" s="48" t="s">
        <v>482</v>
      </c>
      <c r="J625" s="45">
        <v>42774</v>
      </c>
      <c r="K625" s="45">
        <v>42774</v>
      </c>
      <c r="L625" s="45">
        <v>42772</v>
      </c>
    </row>
    <row r="626" spans="1:12" ht="18" customHeight="1">
      <c r="A626" s="43" t="s">
        <v>377</v>
      </c>
      <c r="B626" s="44" t="s">
        <v>380</v>
      </c>
      <c r="C626" s="44" t="s">
        <v>73</v>
      </c>
      <c r="D626" s="85">
        <v>10104949721</v>
      </c>
      <c r="E626" s="44" t="s">
        <v>813</v>
      </c>
      <c r="F626" s="44" t="s">
        <v>180</v>
      </c>
      <c r="G626" s="44" t="s">
        <v>1299</v>
      </c>
      <c r="H626" s="44" t="s">
        <v>74</v>
      </c>
      <c r="I626" s="48" t="s">
        <v>481</v>
      </c>
      <c r="J626" s="45">
        <v>42794</v>
      </c>
      <c r="K626" s="45">
        <v>42795</v>
      </c>
      <c r="L626" s="45">
        <v>42794</v>
      </c>
    </row>
    <row r="627" spans="1:12" ht="18" customHeight="1">
      <c r="A627" s="43" t="s">
        <v>377</v>
      </c>
      <c r="B627" s="44" t="s">
        <v>385</v>
      </c>
      <c r="C627" s="44" t="s">
        <v>73</v>
      </c>
      <c r="D627" s="85">
        <v>10104932087</v>
      </c>
      <c r="E627" s="44" t="s">
        <v>1298</v>
      </c>
      <c r="F627" s="44" t="s">
        <v>180</v>
      </c>
      <c r="G627" s="44" t="s">
        <v>1299</v>
      </c>
      <c r="H627" s="44" t="s">
        <v>76</v>
      </c>
      <c r="I627" s="48" t="s">
        <v>482</v>
      </c>
      <c r="J627" s="45">
        <v>42774</v>
      </c>
      <c r="K627" s="45">
        <v>42774</v>
      </c>
      <c r="L627" s="45">
        <v>42772</v>
      </c>
    </row>
    <row r="628" spans="1:12" ht="18" customHeight="1">
      <c r="A628" s="43" t="s">
        <v>377</v>
      </c>
      <c r="B628" s="44" t="s">
        <v>380</v>
      </c>
      <c r="C628" s="44" t="s">
        <v>73</v>
      </c>
      <c r="D628" s="85">
        <v>10104949733</v>
      </c>
      <c r="E628" s="44" t="s">
        <v>812</v>
      </c>
      <c r="F628" s="44" t="s">
        <v>180</v>
      </c>
      <c r="G628" s="44" t="s">
        <v>1299</v>
      </c>
      <c r="H628" s="44" t="s">
        <v>74</v>
      </c>
      <c r="I628" s="48" t="s">
        <v>481</v>
      </c>
      <c r="J628" s="45">
        <v>42794</v>
      </c>
      <c r="K628" s="45">
        <v>42795</v>
      </c>
      <c r="L628" s="45">
        <v>42794</v>
      </c>
    </row>
    <row r="629" spans="1:12" ht="18" customHeight="1">
      <c r="A629" s="43" t="s">
        <v>377</v>
      </c>
      <c r="B629" s="44" t="s">
        <v>380</v>
      </c>
      <c r="C629" s="44" t="s">
        <v>73</v>
      </c>
      <c r="D629" s="85">
        <v>10104949734</v>
      </c>
      <c r="E629" s="44" t="s">
        <v>1302</v>
      </c>
      <c r="F629" s="44" t="s">
        <v>180</v>
      </c>
      <c r="G629" s="44" t="s">
        <v>1299</v>
      </c>
      <c r="H629" s="44" t="s">
        <v>74</v>
      </c>
      <c r="I629" s="48" t="s">
        <v>481</v>
      </c>
      <c r="J629" s="45">
        <v>42794</v>
      </c>
      <c r="K629" s="45">
        <v>42795</v>
      </c>
      <c r="L629" s="45">
        <v>42794</v>
      </c>
    </row>
    <row r="630" spans="1:12" ht="18" customHeight="1">
      <c r="A630" s="43" t="s">
        <v>377</v>
      </c>
      <c r="B630" s="44" t="s">
        <v>385</v>
      </c>
      <c r="C630" s="44" t="s">
        <v>73</v>
      </c>
      <c r="D630" s="85">
        <v>10104932086</v>
      </c>
      <c r="E630" s="44" t="s">
        <v>1300</v>
      </c>
      <c r="F630" s="44" t="s">
        <v>180</v>
      </c>
      <c r="G630" s="44" t="s">
        <v>1299</v>
      </c>
      <c r="H630" s="44" t="s">
        <v>76</v>
      </c>
      <c r="I630" s="48" t="s">
        <v>482</v>
      </c>
      <c r="J630" s="45">
        <v>42774</v>
      </c>
      <c r="K630" s="45">
        <v>42774</v>
      </c>
      <c r="L630" s="45">
        <v>42772</v>
      </c>
    </row>
    <row r="631" spans="1:12" ht="18" customHeight="1">
      <c r="A631" s="43" t="s">
        <v>377</v>
      </c>
      <c r="B631" s="44" t="s">
        <v>380</v>
      </c>
      <c r="C631" s="44" t="s">
        <v>73</v>
      </c>
      <c r="D631" s="85">
        <v>10104949754</v>
      </c>
      <c r="E631" s="44" t="s">
        <v>813</v>
      </c>
      <c r="F631" s="44" t="s">
        <v>180</v>
      </c>
      <c r="G631" s="44" t="s">
        <v>1303</v>
      </c>
      <c r="H631" s="44" t="s">
        <v>74</v>
      </c>
      <c r="I631" s="48" t="s">
        <v>481</v>
      </c>
      <c r="J631" s="45">
        <v>42794</v>
      </c>
      <c r="K631" s="45">
        <v>42795</v>
      </c>
      <c r="L631" s="45">
        <v>42794</v>
      </c>
    </row>
    <row r="632" spans="1:12" ht="18" customHeight="1">
      <c r="A632" s="43" t="s">
        <v>377</v>
      </c>
      <c r="B632" s="44" t="s">
        <v>385</v>
      </c>
      <c r="C632" s="44" t="s">
        <v>73</v>
      </c>
      <c r="D632" s="85">
        <v>10104893613</v>
      </c>
      <c r="E632" s="44" t="s">
        <v>936</v>
      </c>
      <c r="F632" s="44" t="s">
        <v>180</v>
      </c>
      <c r="G632" s="44" t="s">
        <v>1303</v>
      </c>
      <c r="H632" s="44" t="s">
        <v>74</v>
      </c>
      <c r="I632" s="48" t="s">
        <v>481</v>
      </c>
      <c r="J632" s="45">
        <v>42773</v>
      </c>
      <c r="K632" s="45">
        <v>42773</v>
      </c>
      <c r="L632" s="45">
        <v>42772</v>
      </c>
    </row>
    <row r="633" spans="1:12" ht="18" customHeight="1">
      <c r="A633" s="43" t="s">
        <v>377</v>
      </c>
      <c r="B633" s="44" t="s">
        <v>385</v>
      </c>
      <c r="C633" s="44" t="s">
        <v>73</v>
      </c>
      <c r="D633" s="85">
        <v>10104893620</v>
      </c>
      <c r="E633" s="44" t="s">
        <v>938</v>
      </c>
      <c r="F633" s="44" t="s">
        <v>180</v>
      </c>
      <c r="G633" s="44" t="s">
        <v>1303</v>
      </c>
      <c r="H633" s="44" t="s">
        <v>76</v>
      </c>
      <c r="I633" s="48" t="s">
        <v>482</v>
      </c>
      <c r="J633" s="45">
        <v>42773</v>
      </c>
      <c r="K633" s="45">
        <v>42773</v>
      </c>
      <c r="L633" s="45">
        <v>42772</v>
      </c>
    </row>
    <row r="634" spans="1:12" ht="18" customHeight="1">
      <c r="A634" s="43" t="s">
        <v>377</v>
      </c>
      <c r="B634" s="44" t="s">
        <v>385</v>
      </c>
      <c r="C634" s="44" t="s">
        <v>73</v>
      </c>
      <c r="D634" s="85">
        <v>10104893621</v>
      </c>
      <c r="E634" s="44" t="s">
        <v>937</v>
      </c>
      <c r="F634" s="44" t="s">
        <v>180</v>
      </c>
      <c r="G634" s="44" t="s">
        <v>1303</v>
      </c>
      <c r="H634" s="44" t="s">
        <v>76</v>
      </c>
      <c r="I634" s="48" t="s">
        <v>482</v>
      </c>
      <c r="J634" s="45">
        <v>42773</v>
      </c>
      <c r="K634" s="45">
        <v>42773</v>
      </c>
      <c r="L634" s="45">
        <v>42772</v>
      </c>
    </row>
    <row r="635" spans="1:12" ht="18" customHeight="1">
      <c r="A635" s="43" t="s">
        <v>377</v>
      </c>
      <c r="B635" s="44" t="s">
        <v>380</v>
      </c>
      <c r="C635" s="44" t="s">
        <v>73</v>
      </c>
      <c r="D635" s="85">
        <v>10104949743</v>
      </c>
      <c r="E635" s="44" t="s">
        <v>812</v>
      </c>
      <c r="F635" s="44" t="s">
        <v>180</v>
      </c>
      <c r="G635" s="44" t="s">
        <v>1303</v>
      </c>
      <c r="H635" s="44" t="s">
        <v>74</v>
      </c>
      <c r="I635" s="48" t="s">
        <v>481</v>
      </c>
      <c r="J635" s="45">
        <v>42794</v>
      </c>
      <c r="K635" s="45">
        <v>42795</v>
      </c>
      <c r="L635" s="45">
        <v>42794</v>
      </c>
    </row>
    <row r="636" spans="1:12" ht="18" customHeight="1">
      <c r="A636" s="43" t="s">
        <v>377</v>
      </c>
      <c r="B636" s="44" t="s">
        <v>380</v>
      </c>
      <c r="C636" s="44" t="s">
        <v>73</v>
      </c>
      <c r="D636" s="85">
        <v>10104949742</v>
      </c>
      <c r="E636" s="44" t="s">
        <v>814</v>
      </c>
      <c r="F636" s="44" t="s">
        <v>180</v>
      </c>
      <c r="G636" s="44" t="s">
        <v>1303</v>
      </c>
      <c r="H636" s="44" t="s">
        <v>74</v>
      </c>
      <c r="I636" s="48" t="s">
        <v>481</v>
      </c>
      <c r="J636" s="45">
        <v>42794</v>
      </c>
      <c r="K636" s="45">
        <v>42795</v>
      </c>
      <c r="L636" s="45">
        <v>42794</v>
      </c>
    </row>
    <row r="637" spans="1:12" ht="18" customHeight="1">
      <c r="A637" s="43" t="s">
        <v>377</v>
      </c>
      <c r="B637" s="44" t="s">
        <v>385</v>
      </c>
      <c r="C637" s="44" t="s">
        <v>73</v>
      </c>
      <c r="D637" s="85">
        <v>10104914403</v>
      </c>
      <c r="E637" s="44" t="s">
        <v>587</v>
      </c>
      <c r="F637" s="44" t="s">
        <v>596</v>
      </c>
      <c r="G637" s="44" t="s">
        <v>423</v>
      </c>
      <c r="H637" s="44" t="s">
        <v>76</v>
      </c>
      <c r="I637" s="48" t="s">
        <v>482</v>
      </c>
      <c r="J637" s="45">
        <v>42779</v>
      </c>
      <c r="K637" s="45">
        <v>42779</v>
      </c>
      <c r="L637" s="45"/>
    </row>
    <row r="638" spans="1:12" ht="18" customHeight="1">
      <c r="A638" s="43" t="s">
        <v>377</v>
      </c>
      <c r="B638" s="44" t="s">
        <v>385</v>
      </c>
      <c r="C638" s="44" t="s">
        <v>73</v>
      </c>
      <c r="D638" s="85">
        <v>10104911841</v>
      </c>
      <c r="E638" s="44" t="s">
        <v>1304</v>
      </c>
      <c r="F638" s="44" t="s">
        <v>180</v>
      </c>
      <c r="G638" s="44" t="s">
        <v>941</v>
      </c>
      <c r="H638" s="44" t="s">
        <v>76</v>
      </c>
      <c r="I638" s="48" t="s">
        <v>482</v>
      </c>
      <c r="J638" s="45">
        <v>42772</v>
      </c>
      <c r="K638" s="45">
        <v>42772</v>
      </c>
      <c r="L638" s="45">
        <v>42772</v>
      </c>
    </row>
    <row r="639" spans="1:12" ht="18" customHeight="1">
      <c r="A639" s="43" t="s">
        <v>377</v>
      </c>
      <c r="B639" s="44" t="s">
        <v>385</v>
      </c>
      <c r="C639" s="44" t="s">
        <v>73</v>
      </c>
      <c r="D639" s="85">
        <v>10104893602</v>
      </c>
      <c r="E639" s="44" t="s">
        <v>943</v>
      </c>
      <c r="F639" s="44" t="s">
        <v>180</v>
      </c>
      <c r="G639" s="44" t="s">
        <v>1305</v>
      </c>
      <c r="H639" s="44" t="s">
        <v>76</v>
      </c>
      <c r="I639" s="48" t="s">
        <v>482</v>
      </c>
      <c r="J639" s="45">
        <v>42773</v>
      </c>
      <c r="K639" s="45">
        <v>42773</v>
      </c>
      <c r="L639" s="45">
        <v>42772</v>
      </c>
    </row>
    <row r="640" spans="1:12" ht="18" customHeight="1">
      <c r="A640" s="43" t="s">
        <v>377</v>
      </c>
      <c r="B640" s="44" t="s">
        <v>385</v>
      </c>
      <c r="C640" s="44" t="s">
        <v>73</v>
      </c>
      <c r="D640" s="85">
        <v>10104893623</v>
      </c>
      <c r="E640" s="44" t="s">
        <v>939</v>
      </c>
      <c r="F640" s="44" t="s">
        <v>180</v>
      </c>
      <c r="G640" s="44" t="s">
        <v>1305</v>
      </c>
      <c r="H640" s="44" t="s">
        <v>76</v>
      </c>
      <c r="I640" s="48" t="s">
        <v>482</v>
      </c>
      <c r="J640" s="45">
        <v>42773</v>
      </c>
      <c r="K640" s="45">
        <v>42773</v>
      </c>
      <c r="L640" s="45">
        <v>42772</v>
      </c>
    </row>
    <row r="641" spans="1:12" ht="18" customHeight="1">
      <c r="A641" s="43" t="s">
        <v>377</v>
      </c>
      <c r="B641" s="44" t="s">
        <v>385</v>
      </c>
      <c r="C641" s="44" t="s">
        <v>73</v>
      </c>
      <c r="D641" s="85">
        <v>10104893626</v>
      </c>
      <c r="E641" s="44" t="s">
        <v>940</v>
      </c>
      <c r="F641" s="44" t="s">
        <v>180</v>
      </c>
      <c r="G641" s="44" t="s">
        <v>1305</v>
      </c>
      <c r="H641" s="44" t="s">
        <v>76</v>
      </c>
      <c r="I641" s="48" t="s">
        <v>482</v>
      </c>
      <c r="J641" s="45">
        <v>42773</v>
      </c>
      <c r="K641" s="45">
        <v>42773</v>
      </c>
      <c r="L641" s="45">
        <v>42772</v>
      </c>
    </row>
    <row r="642" spans="1:12" ht="18" customHeight="1">
      <c r="A642" s="43" t="s">
        <v>377</v>
      </c>
      <c r="B642" s="44" t="s">
        <v>385</v>
      </c>
      <c r="C642" s="44" t="s">
        <v>73</v>
      </c>
      <c r="D642" s="85">
        <v>10104893589</v>
      </c>
      <c r="E642" s="44" t="s">
        <v>942</v>
      </c>
      <c r="F642" s="44" t="s">
        <v>180</v>
      </c>
      <c r="G642" s="44" t="s">
        <v>1305</v>
      </c>
      <c r="H642" s="44" t="s">
        <v>76</v>
      </c>
      <c r="I642" s="48" t="s">
        <v>482</v>
      </c>
      <c r="J642" s="45">
        <v>42773</v>
      </c>
      <c r="K642" s="45">
        <v>42773</v>
      </c>
      <c r="L642" s="45">
        <v>42772</v>
      </c>
    </row>
    <row r="643" spans="1:12" ht="18" customHeight="1">
      <c r="A643" s="43" t="s">
        <v>377</v>
      </c>
      <c r="B643" s="44" t="s">
        <v>379</v>
      </c>
      <c r="C643" s="44" t="s">
        <v>73</v>
      </c>
      <c r="D643" s="85">
        <v>10104928570</v>
      </c>
      <c r="E643" s="44" t="s">
        <v>801</v>
      </c>
      <c r="F643" s="44" t="s">
        <v>75</v>
      </c>
      <c r="G643" s="44" t="s">
        <v>802</v>
      </c>
      <c r="H643" s="44" t="s">
        <v>74</v>
      </c>
      <c r="I643" s="48" t="s">
        <v>481</v>
      </c>
      <c r="J643" s="45">
        <v>42791</v>
      </c>
      <c r="K643" s="45">
        <v>42795</v>
      </c>
      <c r="L643" s="45">
        <v>42791</v>
      </c>
    </row>
    <row r="644" spans="1:12" ht="18" customHeight="1">
      <c r="A644" s="43" t="s">
        <v>377</v>
      </c>
      <c r="B644" s="44" t="s">
        <v>380</v>
      </c>
      <c r="C644" s="44" t="s">
        <v>73</v>
      </c>
      <c r="D644" s="85">
        <v>10104932049</v>
      </c>
      <c r="E644" s="44" t="s">
        <v>1306</v>
      </c>
      <c r="F644" s="44" t="s">
        <v>180</v>
      </c>
      <c r="G644" s="44" t="s">
        <v>424</v>
      </c>
      <c r="H644" s="44" t="s">
        <v>74</v>
      </c>
      <c r="I644" s="48" t="s">
        <v>481</v>
      </c>
      <c r="J644" s="45">
        <v>42794</v>
      </c>
      <c r="K644" s="45">
        <v>42795</v>
      </c>
      <c r="L644" s="45">
        <v>42787</v>
      </c>
    </row>
    <row r="645" spans="1:12" ht="18" customHeight="1">
      <c r="A645" s="43" t="s">
        <v>377</v>
      </c>
      <c r="B645" s="44" t="s">
        <v>380</v>
      </c>
      <c r="C645" s="44" t="s">
        <v>73</v>
      </c>
      <c r="D645" s="85">
        <v>10104932048</v>
      </c>
      <c r="E645" s="44" t="s">
        <v>1306</v>
      </c>
      <c r="F645" s="44" t="s">
        <v>1307</v>
      </c>
      <c r="G645" s="44" t="s">
        <v>529</v>
      </c>
      <c r="H645" s="44" t="s">
        <v>74</v>
      </c>
      <c r="I645" s="48" t="s">
        <v>481</v>
      </c>
      <c r="J645" s="45">
        <v>42772</v>
      </c>
      <c r="K645" s="45">
        <v>42772</v>
      </c>
      <c r="L645" s="45"/>
    </row>
    <row r="646" spans="1:12" ht="18" customHeight="1">
      <c r="A646" s="43" t="s">
        <v>377</v>
      </c>
      <c r="B646" s="44" t="s">
        <v>378</v>
      </c>
      <c r="C646" s="44" t="s">
        <v>73</v>
      </c>
      <c r="D646" s="85">
        <v>10104962401</v>
      </c>
      <c r="E646" s="44" t="s">
        <v>649</v>
      </c>
      <c r="F646" s="44" t="s">
        <v>180</v>
      </c>
      <c r="G646" s="44" t="s">
        <v>425</v>
      </c>
      <c r="H646" s="44" t="s">
        <v>223</v>
      </c>
      <c r="I646" s="48" t="s">
        <v>481</v>
      </c>
      <c r="J646" s="45">
        <v>42794</v>
      </c>
      <c r="K646" s="45">
        <v>42796</v>
      </c>
      <c r="L646" s="45">
        <v>42789</v>
      </c>
    </row>
    <row r="647" spans="1:12" ht="18" customHeight="1">
      <c r="A647" s="43" t="s">
        <v>377</v>
      </c>
      <c r="B647" s="44" t="s">
        <v>378</v>
      </c>
      <c r="C647" s="44" t="s">
        <v>73</v>
      </c>
      <c r="D647" s="85">
        <v>10104962333</v>
      </c>
      <c r="E647" s="44" t="s">
        <v>650</v>
      </c>
      <c r="F647" s="44" t="s">
        <v>180</v>
      </c>
      <c r="G647" s="44" t="s">
        <v>426</v>
      </c>
      <c r="H647" s="44" t="s">
        <v>223</v>
      </c>
      <c r="I647" s="48" t="s">
        <v>481</v>
      </c>
      <c r="J647" s="45">
        <v>42794</v>
      </c>
      <c r="K647" s="45">
        <v>42796</v>
      </c>
      <c r="L647" s="45">
        <v>42789</v>
      </c>
    </row>
    <row r="648" spans="1:12" ht="18" customHeight="1">
      <c r="A648" s="43" t="s">
        <v>377</v>
      </c>
      <c r="B648" s="44" t="s">
        <v>385</v>
      </c>
      <c r="C648" s="44" t="s">
        <v>73</v>
      </c>
      <c r="D648" s="85">
        <v>10104941521</v>
      </c>
      <c r="E648" s="44" t="s">
        <v>502</v>
      </c>
      <c r="F648" s="44" t="s">
        <v>596</v>
      </c>
      <c r="G648" s="44" t="s">
        <v>429</v>
      </c>
      <c r="H648" s="44" t="s">
        <v>76</v>
      </c>
      <c r="I648" s="48" t="s">
        <v>482</v>
      </c>
      <c r="J648" s="45">
        <v>42786</v>
      </c>
      <c r="K648" s="45">
        <v>42786</v>
      </c>
      <c r="L648" s="45"/>
    </row>
    <row r="649" spans="1:12" ht="18" customHeight="1">
      <c r="A649" s="43" t="s">
        <v>377</v>
      </c>
      <c r="B649" s="44" t="s">
        <v>385</v>
      </c>
      <c r="C649" s="44" t="s">
        <v>73</v>
      </c>
      <c r="D649" s="85">
        <v>10104941522</v>
      </c>
      <c r="E649" s="44" t="s">
        <v>501</v>
      </c>
      <c r="F649" s="44" t="s">
        <v>596</v>
      </c>
      <c r="G649" s="44" t="s">
        <v>429</v>
      </c>
      <c r="H649" s="44" t="s">
        <v>76</v>
      </c>
      <c r="I649" s="48" t="s">
        <v>482</v>
      </c>
      <c r="J649" s="45">
        <v>42786</v>
      </c>
      <c r="K649" s="45">
        <v>42786</v>
      </c>
      <c r="L649" s="45"/>
    </row>
    <row r="650" spans="1:12" ht="18" customHeight="1">
      <c r="A650" s="43" t="s">
        <v>377</v>
      </c>
      <c r="B650" s="44" t="s">
        <v>385</v>
      </c>
      <c r="C650" s="44" t="s">
        <v>73</v>
      </c>
      <c r="D650" s="85">
        <v>10104924474</v>
      </c>
      <c r="E650" s="44" t="s">
        <v>501</v>
      </c>
      <c r="F650" s="44" t="s">
        <v>596</v>
      </c>
      <c r="G650" s="44" t="s">
        <v>429</v>
      </c>
      <c r="H650" s="44" t="s">
        <v>76</v>
      </c>
      <c r="I650" s="48" t="s">
        <v>482</v>
      </c>
      <c r="J650" s="45">
        <v>42772</v>
      </c>
      <c r="K650" s="45">
        <v>42772</v>
      </c>
      <c r="L650" s="45"/>
    </row>
    <row r="651" spans="1:12" ht="18" customHeight="1">
      <c r="A651" s="43" t="s">
        <v>377</v>
      </c>
      <c r="B651" s="44" t="s">
        <v>385</v>
      </c>
      <c r="C651" s="44" t="s">
        <v>73</v>
      </c>
      <c r="D651" s="85">
        <v>10104924473</v>
      </c>
      <c r="E651" s="44" t="s">
        <v>502</v>
      </c>
      <c r="F651" s="44" t="s">
        <v>596</v>
      </c>
      <c r="G651" s="44" t="s">
        <v>429</v>
      </c>
      <c r="H651" s="44" t="s">
        <v>76</v>
      </c>
      <c r="I651" s="48" t="s">
        <v>482</v>
      </c>
      <c r="J651" s="45">
        <v>42772</v>
      </c>
      <c r="K651" s="45">
        <v>42772</v>
      </c>
      <c r="L651" s="45"/>
    </row>
    <row r="652" spans="1:12" ht="18" customHeight="1">
      <c r="A652" s="43" t="s">
        <v>377</v>
      </c>
      <c r="B652" s="44" t="s">
        <v>379</v>
      </c>
      <c r="C652" s="44" t="s">
        <v>73</v>
      </c>
      <c r="D652" s="85">
        <v>10104914429</v>
      </c>
      <c r="E652" s="44" t="s">
        <v>708</v>
      </c>
      <c r="F652" s="44" t="s">
        <v>596</v>
      </c>
      <c r="G652" s="44" t="s">
        <v>430</v>
      </c>
      <c r="H652" s="44" t="s">
        <v>76</v>
      </c>
      <c r="I652" s="48" t="s">
        <v>482</v>
      </c>
      <c r="J652" s="45">
        <v>42779</v>
      </c>
      <c r="K652" s="45">
        <v>42779</v>
      </c>
      <c r="L652" s="45"/>
    </row>
    <row r="653" spans="1:12" ht="18" customHeight="1">
      <c r="A653" s="43" t="s">
        <v>377</v>
      </c>
      <c r="B653" s="44" t="s">
        <v>380</v>
      </c>
      <c r="C653" s="44" t="s">
        <v>73</v>
      </c>
      <c r="D653" s="85">
        <v>10104949744</v>
      </c>
      <c r="E653" s="44" t="s">
        <v>1311</v>
      </c>
      <c r="F653" s="44" t="s">
        <v>219</v>
      </c>
      <c r="G653" s="44" t="s">
        <v>815</v>
      </c>
      <c r="H653" s="44" t="s">
        <v>74</v>
      </c>
      <c r="I653" s="48" t="s">
        <v>481</v>
      </c>
      <c r="J653" s="45">
        <v>42787</v>
      </c>
      <c r="K653" s="45">
        <v>42787</v>
      </c>
      <c r="L653" s="45"/>
    </row>
    <row r="654" spans="1:12" ht="18" customHeight="1">
      <c r="A654" s="43" t="s">
        <v>377</v>
      </c>
      <c r="B654" s="44" t="s">
        <v>380</v>
      </c>
      <c r="C654" s="44" t="s">
        <v>73</v>
      </c>
      <c r="D654" s="85">
        <v>10104949745</v>
      </c>
      <c r="E654" s="44" t="s">
        <v>1312</v>
      </c>
      <c r="F654" s="44" t="s">
        <v>180</v>
      </c>
      <c r="G654" s="44" t="s">
        <v>815</v>
      </c>
      <c r="H654" s="44" t="s">
        <v>74</v>
      </c>
      <c r="I654" s="48" t="s">
        <v>481</v>
      </c>
      <c r="J654" s="45">
        <v>42794</v>
      </c>
      <c r="K654" s="45">
        <v>42795</v>
      </c>
      <c r="L654" s="45">
        <v>42795</v>
      </c>
    </row>
    <row r="655" spans="1:12" ht="18" customHeight="1">
      <c r="A655" s="43" t="s">
        <v>377</v>
      </c>
      <c r="B655" s="44" t="s">
        <v>380</v>
      </c>
      <c r="C655" s="44" t="s">
        <v>73</v>
      </c>
      <c r="D655" s="85">
        <v>10104949746</v>
      </c>
      <c r="E655" s="44" t="s">
        <v>1313</v>
      </c>
      <c r="F655" s="44" t="s">
        <v>219</v>
      </c>
      <c r="G655" s="44" t="s">
        <v>815</v>
      </c>
      <c r="H655" s="44" t="s">
        <v>74</v>
      </c>
      <c r="I655" s="48" t="s">
        <v>481</v>
      </c>
      <c r="J655" s="45">
        <v>42787</v>
      </c>
      <c r="K655" s="45">
        <v>42787</v>
      </c>
      <c r="L655" s="45"/>
    </row>
    <row r="656" spans="1:12" ht="18" customHeight="1">
      <c r="A656" s="43" t="s">
        <v>377</v>
      </c>
      <c r="B656" s="44" t="s">
        <v>380</v>
      </c>
      <c r="C656" s="44" t="s">
        <v>73</v>
      </c>
      <c r="D656" s="85">
        <v>10104949747</v>
      </c>
      <c r="E656" s="44" t="s">
        <v>1314</v>
      </c>
      <c r="F656" s="44" t="s">
        <v>219</v>
      </c>
      <c r="G656" s="44" t="s">
        <v>815</v>
      </c>
      <c r="H656" s="44" t="s">
        <v>74</v>
      </c>
      <c r="I656" s="48" t="s">
        <v>481</v>
      </c>
      <c r="J656" s="45">
        <v>42787</v>
      </c>
      <c r="K656" s="45">
        <v>42787</v>
      </c>
      <c r="L656" s="45"/>
    </row>
    <row r="657" spans="1:12" ht="18" customHeight="1">
      <c r="A657" s="43" t="s">
        <v>377</v>
      </c>
      <c r="B657" s="44" t="s">
        <v>380</v>
      </c>
      <c r="C657" s="44" t="s">
        <v>73</v>
      </c>
      <c r="D657" s="85">
        <v>10104949748</v>
      </c>
      <c r="E657" s="44" t="s">
        <v>1315</v>
      </c>
      <c r="F657" s="44" t="s">
        <v>219</v>
      </c>
      <c r="G657" s="44" t="s">
        <v>815</v>
      </c>
      <c r="H657" s="44" t="s">
        <v>74</v>
      </c>
      <c r="I657" s="48" t="s">
        <v>481</v>
      </c>
      <c r="J657" s="45">
        <v>42787</v>
      </c>
      <c r="K657" s="45">
        <v>42787</v>
      </c>
      <c r="L657" s="45"/>
    </row>
    <row r="658" spans="1:12" ht="18" customHeight="1">
      <c r="A658" s="43" t="s">
        <v>377</v>
      </c>
      <c r="B658" s="44" t="s">
        <v>380</v>
      </c>
      <c r="C658" s="44" t="s">
        <v>73</v>
      </c>
      <c r="D658" s="85">
        <v>10104949749</v>
      </c>
      <c r="E658" s="44" t="s">
        <v>1310</v>
      </c>
      <c r="F658" s="44" t="s">
        <v>219</v>
      </c>
      <c r="G658" s="44" t="s">
        <v>815</v>
      </c>
      <c r="H658" s="44" t="s">
        <v>74</v>
      </c>
      <c r="I658" s="48" t="s">
        <v>481</v>
      </c>
      <c r="J658" s="45">
        <v>42787</v>
      </c>
      <c r="K658" s="45">
        <v>42787</v>
      </c>
      <c r="L658" s="45"/>
    </row>
    <row r="659" spans="1:12" ht="18" customHeight="1">
      <c r="A659" s="43" t="s">
        <v>377</v>
      </c>
      <c r="B659" s="44" t="s">
        <v>380</v>
      </c>
      <c r="C659" s="44" t="s">
        <v>73</v>
      </c>
      <c r="D659" s="85">
        <v>10104949750</v>
      </c>
      <c r="E659" s="44" t="s">
        <v>1309</v>
      </c>
      <c r="F659" s="44" t="s">
        <v>219</v>
      </c>
      <c r="G659" s="44" t="s">
        <v>815</v>
      </c>
      <c r="H659" s="44" t="s">
        <v>74</v>
      </c>
      <c r="I659" s="48" t="s">
        <v>481</v>
      </c>
      <c r="J659" s="45">
        <v>42787</v>
      </c>
      <c r="K659" s="45">
        <v>42787</v>
      </c>
      <c r="L659" s="45"/>
    </row>
    <row r="660" spans="1:12" ht="18" customHeight="1">
      <c r="A660" s="43" t="s">
        <v>377</v>
      </c>
      <c r="B660" s="44" t="s">
        <v>380</v>
      </c>
      <c r="C660" s="44" t="s">
        <v>73</v>
      </c>
      <c r="D660" s="85">
        <v>10104949755</v>
      </c>
      <c r="E660" s="44" t="s">
        <v>1308</v>
      </c>
      <c r="F660" s="44" t="s">
        <v>219</v>
      </c>
      <c r="G660" s="44" t="s">
        <v>815</v>
      </c>
      <c r="H660" s="44" t="s">
        <v>74</v>
      </c>
      <c r="I660" s="48" t="s">
        <v>481</v>
      </c>
      <c r="J660" s="45">
        <v>42787</v>
      </c>
      <c r="K660" s="45">
        <v>42787</v>
      </c>
      <c r="L660" s="45"/>
    </row>
    <row r="661" spans="1:12" ht="18" customHeight="1">
      <c r="A661" s="43" t="s">
        <v>377</v>
      </c>
      <c r="B661" s="44" t="s">
        <v>380</v>
      </c>
      <c r="C661" s="44" t="s">
        <v>73</v>
      </c>
      <c r="D661" s="85">
        <v>10104932865</v>
      </c>
      <c r="E661" s="44" t="s">
        <v>432</v>
      </c>
      <c r="F661" s="44" t="s">
        <v>180</v>
      </c>
      <c r="G661" s="44" t="s">
        <v>431</v>
      </c>
      <c r="H661" s="44" t="s">
        <v>74</v>
      </c>
      <c r="I661" s="48" t="s">
        <v>481</v>
      </c>
      <c r="J661" s="45">
        <v>42772</v>
      </c>
      <c r="K661" s="45">
        <v>42775</v>
      </c>
      <c r="L661" s="45">
        <v>42772</v>
      </c>
    </row>
    <row r="662" spans="1:12" ht="18" customHeight="1">
      <c r="A662" s="43" t="s">
        <v>377</v>
      </c>
      <c r="B662" s="44" t="s">
        <v>380</v>
      </c>
      <c r="C662" s="44" t="s">
        <v>73</v>
      </c>
      <c r="D662" s="85">
        <v>10104949709</v>
      </c>
      <c r="E662" s="44" t="s">
        <v>432</v>
      </c>
      <c r="F662" s="44" t="s">
        <v>180</v>
      </c>
      <c r="G662" s="44" t="s">
        <v>431</v>
      </c>
      <c r="H662" s="44" t="s">
        <v>74</v>
      </c>
      <c r="I662" s="48" t="s">
        <v>481</v>
      </c>
      <c r="J662" s="45">
        <v>42786</v>
      </c>
      <c r="K662" s="45">
        <v>42795</v>
      </c>
      <c r="L662" s="45">
        <v>42787</v>
      </c>
    </row>
    <row r="663" spans="1:12" ht="18" customHeight="1">
      <c r="A663" s="43" t="s">
        <v>377</v>
      </c>
      <c r="B663" s="44" t="s">
        <v>380</v>
      </c>
      <c r="C663" s="44" t="s">
        <v>73</v>
      </c>
      <c r="D663" s="85">
        <v>10104941515</v>
      </c>
      <c r="E663" s="44" t="s">
        <v>432</v>
      </c>
      <c r="F663" s="44" t="s">
        <v>180</v>
      </c>
      <c r="G663" s="44" t="s">
        <v>431</v>
      </c>
      <c r="H663" s="44" t="s">
        <v>74</v>
      </c>
      <c r="I663" s="48" t="s">
        <v>481</v>
      </c>
      <c r="J663" s="45">
        <v>42779</v>
      </c>
      <c r="K663" s="45">
        <v>42786</v>
      </c>
      <c r="L663" s="45">
        <v>42779</v>
      </c>
    </row>
    <row r="664" spans="1:12" ht="18" customHeight="1">
      <c r="A664" s="43" t="s">
        <v>377</v>
      </c>
      <c r="B664" s="44" t="s">
        <v>380</v>
      </c>
      <c r="C664" s="44" t="s">
        <v>73</v>
      </c>
      <c r="D664" s="85">
        <v>10104958369</v>
      </c>
      <c r="E664" s="44" t="s">
        <v>432</v>
      </c>
      <c r="F664" s="44" t="s">
        <v>180</v>
      </c>
      <c r="G664" s="44" t="s">
        <v>431</v>
      </c>
      <c r="H664" s="44" t="s">
        <v>74</v>
      </c>
      <c r="I664" s="48" t="s">
        <v>481</v>
      </c>
      <c r="J664" s="45">
        <v>42793</v>
      </c>
      <c r="K664" s="45">
        <v>42795</v>
      </c>
      <c r="L664" s="45">
        <v>42794</v>
      </c>
    </row>
    <row r="665" spans="1:12" ht="18" customHeight="1">
      <c r="A665" s="43" t="s">
        <v>377</v>
      </c>
      <c r="B665" s="44" t="s">
        <v>380</v>
      </c>
      <c r="C665" s="44" t="s">
        <v>73</v>
      </c>
      <c r="D665" s="85">
        <v>10104930782</v>
      </c>
      <c r="E665" s="44" t="s">
        <v>1316</v>
      </c>
      <c r="F665" s="44" t="s">
        <v>180</v>
      </c>
      <c r="G665" s="44" t="s">
        <v>1317</v>
      </c>
      <c r="H665" s="44" t="s">
        <v>74</v>
      </c>
      <c r="I665" s="48" t="s">
        <v>481</v>
      </c>
      <c r="J665" s="45">
        <v>42794</v>
      </c>
      <c r="K665" s="45">
        <v>42795</v>
      </c>
      <c r="L665" s="45">
        <v>42794</v>
      </c>
    </row>
    <row r="666" spans="1:12" ht="18" customHeight="1">
      <c r="A666" s="43" t="s">
        <v>377</v>
      </c>
      <c r="B666" s="44" t="s">
        <v>378</v>
      </c>
      <c r="C666" s="44" t="s">
        <v>120</v>
      </c>
      <c r="D666" s="85">
        <v>10104959445</v>
      </c>
      <c r="E666" s="44" t="s">
        <v>602</v>
      </c>
      <c r="F666" s="44" t="s">
        <v>180</v>
      </c>
      <c r="G666" s="44" t="s">
        <v>568</v>
      </c>
      <c r="H666" s="44" t="s">
        <v>223</v>
      </c>
      <c r="I666" s="48" t="s">
        <v>481</v>
      </c>
      <c r="J666" s="45">
        <v>42789</v>
      </c>
      <c r="K666" s="45">
        <v>42796</v>
      </c>
      <c r="L666" s="45">
        <v>42767</v>
      </c>
    </row>
    <row r="667" spans="1:12" ht="18" customHeight="1">
      <c r="A667" s="43" t="s">
        <v>377</v>
      </c>
      <c r="B667" s="44" t="s">
        <v>378</v>
      </c>
      <c r="C667" s="44" t="s">
        <v>120</v>
      </c>
      <c r="D667" s="85">
        <v>10104961071</v>
      </c>
      <c r="E667" s="44" t="s">
        <v>1319</v>
      </c>
      <c r="F667" s="44" t="s">
        <v>180</v>
      </c>
      <c r="G667" s="44" t="s">
        <v>568</v>
      </c>
      <c r="H667" s="44" t="s">
        <v>223</v>
      </c>
      <c r="I667" s="48" t="s">
        <v>481</v>
      </c>
      <c r="J667" s="45">
        <v>42794</v>
      </c>
      <c r="K667" s="45">
        <v>42796</v>
      </c>
      <c r="L667" s="45">
        <v>42794</v>
      </c>
    </row>
    <row r="668" spans="1:12" ht="18" customHeight="1">
      <c r="A668" s="43" t="s">
        <v>377</v>
      </c>
      <c r="B668" s="44" t="s">
        <v>378</v>
      </c>
      <c r="C668" s="44" t="s">
        <v>120</v>
      </c>
      <c r="D668" s="85">
        <v>10104961078</v>
      </c>
      <c r="E668" s="44" t="s">
        <v>651</v>
      </c>
      <c r="F668" s="44" t="s">
        <v>180</v>
      </c>
      <c r="G668" s="44" t="s">
        <v>568</v>
      </c>
      <c r="H668" s="44" t="s">
        <v>223</v>
      </c>
      <c r="I668" s="48" t="s">
        <v>481</v>
      </c>
      <c r="J668" s="45">
        <v>42790</v>
      </c>
      <c r="K668" s="45">
        <v>42796</v>
      </c>
      <c r="L668" s="45">
        <v>42767</v>
      </c>
    </row>
    <row r="669" spans="1:12" ht="18" customHeight="1">
      <c r="A669" s="43" t="s">
        <v>377</v>
      </c>
      <c r="B669" s="44" t="s">
        <v>378</v>
      </c>
      <c r="C669" s="44" t="s">
        <v>120</v>
      </c>
      <c r="D669" s="85">
        <v>10104955289</v>
      </c>
      <c r="E669" s="44" t="s">
        <v>1318</v>
      </c>
      <c r="F669" s="44" t="s">
        <v>500</v>
      </c>
      <c r="G669" s="44" t="s">
        <v>568</v>
      </c>
      <c r="H669" s="44" t="s">
        <v>223</v>
      </c>
      <c r="I669" s="48" t="s">
        <v>481</v>
      </c>
      <c r="J669" s="45">
        <v>42789</v>
      </c>
      <c r="K669" s="45">
        <v>42789</v>
      </c>
      <c r="L669" s="45"/>
    </row>
    <row r="670" spans="1:12" ht="18" customHeight="1">
      <c r="A670" s="43" t="s">
        <v>377</v>
      </c>
      <c r="B670" s="44" t="s">
        <v>378</v>
      </c>
      <c r="C670" s="44" t="s">
        <v>120</v>
      </c>
      <c r="D670" s="85">
        <v>10104966062</v>
      </c>
      <c r="E670" s="44" t="s">
        <v>652</v>
      </c>
      <c r="F670" s="44" t="s">
        <v>180</v>
      </c>
      <c r="G670" s="44" t="s">
        <v>568</v>
      </c>
      <c r="H670" s="44" t="s">
        <v>223</v>
      </c>
      <c r="I670" s="48" t="s">
        <v>481</v>
      </c>
      <c r="J670" s="45">
        <v>42794</v>
      </c>
      <c r="K670" s="45">
        <v>42796</v>
      </c>
      <c r="L670" s="45">
        <v>42794</v>
      </c>
    </row>
    <row r="671" spans="1:12" ht="18" customHeight="1">
      <c r="A671" s="43" t="s">
        <v>377</v>
      </c>
      <c r="B671" s="44" t="s">
        <v>378</v>
      </c>
      <c r="C671" s="44" t="s">
        <v>120</v>
      </c>
      <c r="D671" s="85">
        <v>10104936990</v>
      </c>
      <c r="E671" s="44" t="s">
        <v>1320</v>
      </c>
      <c r="F671" s="44" t="s">
        <v>180</v>
      </c>
      <c r="G671" s="44" t="s">
        <v>944</v>
      </c>
      <c r="H671" s="44" t="s">
        <v>223</v>
      </c>
      <c r="I671" s="48" t="s">
        <v>481</v>
      </c>
      <c r="J671" s="45">
        <v>42786</v>
      </c>
      <c r="K671" s="45">
        <v>42790</v>
      </c>
      <c r="L671" s="45">
        <v>42774</v>
      </c>
    </row>
    <row r="672" spans="1:12" ht="18" customHeight="1">
      <c r="A672" s="43" t="s">
        <v>377</v>
      </c>
      <c r="B672" s="44" t="s">
        <v>378</v>
      </c>
      <c r="C672" s="44" t="s">
        <v>120</v>
      </c>
      <c r="D672" s="85">
        <v>10104953663</v>
      </c>
      <c r="E672" s="44" t="s">
        <v>604</v>
      </c>
      <c r="F672" s="44" t="s">
        <v>180</v>
      </c>
      <c r="G672" s="44" t="s">
        <v>434</v>
      </c>
      <c r="H672" s="44" t="s">
        <v>223</v>
      </c>
      <c r="I672" s="48" t="s">
        <v>481</v>
      </c>
      <c r="J672" s="45">
        <v>42784</v>
      </c>
      <c r="K672" s="45">
        <v>42796</v>
      </c>
      <c r="L672" s="45">
        <v>42767</v>
      </c>
    </row>
    <row r="673" spans="1:12" ht="18" customHeight="1">
      <c r="A673" s="43" t="s">
        <v>377</v>
      </c>
      <c r="B673" s="44" t="s">
        <v>378</v>
      </c>
      <c r="C673" s="44" t="s">
        <v>120</v>
      </c>
      <c r="D673" s="85">
        <v>10104955288</v>
      </c>
      <c r="E673" s="44" t="s">
        <v>1324</v>
      </c>
      <c r="F673" s="44" t="s">
        <v>180</v>
      </c>
      <c r="G673" s="44" t="s">
        <v>434</v>
      </c>
      <c r="H673" s="44" t="s">
        <v>223</v>
      </c>
      <c r="I673" s="48" t="s">
        <v>481</v>
      </c>
      <c r="J673" s="45">
        <v>42792</v>
      </c>
      <c r="K673" s="45">
        <v>42796</v>
      </c>
      <c r="L673" s="45">
        <v>42786</v>
      </c>
    </row>
    <row r="674" spans="1:12" ht="18" customHeight="1">
      <c r="A674" s="43" t="s">
        <v>377</v>
      </c>
      <c r="B674" s="44" t="s">
        <v>378</v>
      </c>
      <c r="C674" s="44" t="s">
        <v>120</v>
      </c>
      <c r="D674" s="85">
        <v>10104961044</v>
      </c>
      <c r="E674" s="44" t="s">
        <v>653</v>
      </c>
      <c r="F674" s="44" t="s">
        <v>180</v>
      </c>
      <c r="G674" s="44" t="s">
        <v>434</v>
      </c>
      <c r="H674" s="44" t="s">
        <v>223</v>
      </c>
      <c r="I674" s="48" t="s">
        <v>481</v>
      </c>
      <c r="J674" s="45">
        <v>42793</v>
      </c>
      <c r="K674" s="45">
        <v>42796</v>
      </c>
      <c r="L674" s="45">
        <v>42786</v>
      </c>
    </row>
    <row r="675" spans="1:12" ht="18" customHeight="1">
      <c r="A675" s="43" t="s">
        <v>377</v>
      </c>
      <c r="B675" s="44" t="s">
        <v>378</v>
      </c>
      <c r="C675" s="44" t="s">
        <v>120</v>
      </c>
      <c r="D675" s="85">
        <v>10104948896</v>
      </c>
      <c r="E675" s="44" t="s">
        <v>1323</v>
      </c>
      <c r="F675" s="44" t="s">
        <v>180</v>
      </c>
      <c r="G675" s="44" t="s">
        <v>434</v>
      </c>
      <c r="H675" s="44" t="s">
        <v>223</v>
      </c>
      <c r="I675" s="48" t="s">
        <v>481</v>
      </c>
      <c r="J675" s="45">
        <v>42791</v>
      </c>
      <c r="K675" s="45">
        <v>42796</v>
      </c>
      <c r="L675" s="45">
        <v>42786</v>
      </c>
    </row>
    <row r="676" spans="1:12" ht="18" customHeight="1">
      <c r="A676" s="43" t="s">
        <v>377</v>
      </c>
      <c r="B676" s="44" t="s">
        <v>378</v>
      </c>
      <c r="C676" s="44" t="s">
        <v>120</v>
      </c>
      <c r="D676" s="85">
        <v>10104950815</v>
      </c>
      <c r="E676" s="44" t="s">
        <v>1322</v>
      </c>
      <c r="F676" s="44" t="s">
        <v>180</v>
      </c>
      <c r="G676" s="44" t="s">
        <v>434</v>
      </c>
      <c r="H676" s="44" t="s">
        <v>223</v>
      </c>
      <c r="I676" s="48" t="s">
        <v>481</v>
      </c>
      <c r="J676" s="45">
        <v>42786</v>
      </c>
      <c r="K676" s="45">
        <v>42796</v>
      </c>
      <c r="L676" s="45">
        <v>42786</v>
      </c>
    </row>
    <row r="677" spans="1:12" ht="18" customHeight="1">
      <c r="A677" s="43" t="s">
        <v>377</v>
      </c>
      <c r="B677" s="44" t="s">
        <v>378</v>
      </c>
      <c r="C677" s="44" t="s">
        <v>120</v>
      </c>
      <c r="D677" s="85">
        <v>10104961043</v>
      </c>
      <c r="E677" s="44" t="s">
        <v>654</v>
      </c>
      <c r="F677" s="44" t="s">
        <v>180</v>
      </c>
      <c r="G677" s="44" t="s">
        <v>434</v>
      </c>
      <c r="H677" s="44" t="s">
        <v>223</v>
      </c>
      <c r="I677" s="48" t="s">
        <v>481</v>
      </c>
      <c r="J677" s="45">
        <v>42793</v>
      </c>
      <c r="K677" s="45">
        <v>42796</v>
      </c>
      <c r="L677" s="45">
        <v>42786</v>
      </c>
    </row>
    <row r="678" spans="1:12" ht="18" customHeight="1">
      <c r="A678" s="43" t="s">
        <v>377</v>
      </c>
      <c r="B678" s="44" t="s">
        <v>378</v>
      </c>
      <c r="C678" s="44" t="s">
        <v>120</v>
      </c>
      <c r="D678" s="85">
        <v>10104962320</v>
      </c>
      <c r="E678" s="44" t="s">
        <v>655</v>
      </c>
      <c r="F678" s="44" t="s">
        <v>180</v>
      </c>
      <c r="G678" s="44" t="s">
        <v>435</v>
      </c>
      <c r="H678" s="44" t="s">
        <v>223</v>
      </c>
      <c r="I678" s="48" t="s">
        <v>481</v>
      </c>
      <c r="J678" s="45">
        <v>42794</v>
      </c>
      <c r="K678" s="45">
        <v>42796</v>
      </c>
      <c r="L678" s="45">
        <v>42786</v>
      </c>
    </row>
    <row r="679" spans="1:12" ht="18" customHeight="1">
      <c r="A679" s="43" t="s">
        <v>377</v>
      </c>
      <c r="B679" s="44" t="s">
        <v>378</v>
      </c>
      <c r="C679" s="44" t="s">
        <v>120</v>
      </c>
      <c r="D679" s="85">
        <v>10104953686</v>
      </c>
      <c r="E679" s="44" t="s">
        <v>1325</v>
      </c>
      <c r="F679" s="44" t="s">
        <v>180</v>
      </c>
      <c r="G679" s="44" t="s">
        <v>435</v>
      </c>
      <c r="H679" s="44" t="s">
        <v>223</v>
      </c>
      <c r="I679" s="48" t="s">
        <v>481</v>
      </c>
      <c r="J679" s="45">
        <v>42788</v>
      </c>
      <c r="K679" s="45">
        <v>42796</v>
      </c>
      <c r="L679" s="45">
        <v>42786</v>
      </c>
    </row>
    <row r="680" spans="1:12" ht="18" customHeight="1">
      <c r="A680" s="43" t="s">
        <v>377</v>
      </c>
      <c r="B680" s="44" t="s">
        <v>378</v>
      </c>
      <c r="C680" s="44" t="s">
        <v>120</v>
      </c>
      <c r="D680" s="85">
        <v>10104955263</v>
      </c>
      <c r="E680" s="44" t="s">
        <v>1326</v>
      </c>
      <c r="F680" s="44" t="s">
        <v>180</v>
      </c>
      <c r="G680" s="44" t="s">
        <v>435</v>
      </c>
      <c r="H680" s="44" t="s">
        <v>223</v>
      </c>
      <c r="I680" s="48" t="s">
        <v>481</v>
      </c>
      <c r="J680" s="45">
        <v>42792</v>
      </c>
      <c r="K680" s="45">
        <v>42796</v>
      </c>
      <c r="L680" s="45">
        <v>42786</v>
      </c>
    </row>
    <row r="681" spans="1:12" ht="18" customHeight="1">
      <c r="A681" s="43" t="s">
        <v>377</v>
      </c>
      <c r="B681" s="44" t="s">
        <v>378</v>
      </c>
      <c r="C681" s="44" t="s">
        <v>120</v>
      </c>
      <c r="D681" s="85">
        <v>10104937006</v>
      </c>
      <c r="E681" s="44" t="s">
        <v>1327</v>
      </c>
      <c r="F681" s="44" t="s">
        <v>180</v>
      </c>
      <c r="G681" s="44" t="s">
        <v>872</v>
      </c>
      <c r="H681" s="44" t="s">
        <v>223</v>
      </c>
      <c r="I681" s="48" t="s">
        <v>481</v>
      </c>
      <c r="J681" s="45">
        <v>42786</v>
      </c>
      <c r="K681" s="45">
        <v>42790</v>
      </c>
      <c r="L681" s="45">
        <v>42788</v>
      </c>
    </row>
    <row r="682" spans="1:12" ht="18" customHeight="1">
      <c r="A682" s="43" t="s">
        <v>377</v>
      </c>
      <c r="B682" s="44" t="s">
        <v>379</v>
      </c>
      <c r="C682" s="44" t="s">
        <v>120</v>
      </c>
      <c r="D682" s="85">
        <v>10104932019</v>
      </c>
      <c r="E682" s="44" t="s">
        <v>1328</v>
      </c>
      <c r="F682" s="44" t="s">
        <v>180</v>
      </c>
      <c r="G682" s="44" t="s">
        <v>1329</v>
      </c>
      <c r="H682" s="44" t="s">
        <v>76</v>
      </c>
      <c r="I682" s="48" t="s">
        <v>482</v>
      </c>
      <c r="J682" s="45">
        <v>42779</v>
      </c>
      <c r="K682" s="45">
        <v>42779</v>
      </c>
      <c r="L682" s="45">
        <v>42776</v>
      </c>
    </row>
    <row r="683" spans="1:12" ht="18" customHeight="1">
      <c r="A683" s="43" t="s">
        <v>377</v>
      </c>
      <c r="B683" s="44" t="s">
        <v>378</v>
      </c>
      <c r="C683" s="44" t="s">
        <v>120</v>
      </c>
      <c r="D683" s="85">
        <v>10104938640</v>
      </c>
      <c r="E683" s="44" t="s">
        <v>1330</v>
      </c>
      <c r="F683" s="44" t="s">
        <v>180</v>
      </c>
      <c r="G683" s="44" t="s">
        <v>945</v>
      </c>
      <c r="H683" s="44" t="s">
        <v>223</v>
      </c>
      <c r="I683" s="48" t="s">
        <v>481</v>
      </c>
      <c r="J683" s="45">
        <v>42787</v>
      </c>
      <c r="K683" s="45">
        <v>42790</v>
      </c>
      <c r="L683" s="45">
        <v>42787</v>
      </c>
    </row>
    <row r="684" spans="1:12" ht="18" customHeight="1">
      <c r="A684" s="43" t="s">
        <v>377</v>
      </c>
      <c r="B684" s="44" t="s">
        <v>378</v>
      </c>
      <c r="C684" s="44" t="s">
        <v>120</v>
      </c>
      <c r="D684" s="85">
        <v>10104938641</v>
      </c>
      <c r="E684" s="44" t="s">
        <v>1331</v>
      </c>
      <c r="F684" s="44" t="s">
        <v>180</v>
      </c>
      <c r="G684" s="44" t="s">
        <v>946</v>
      </c>
      <c r="H684" s="44" t="s">
        <v>223</v>
      </c>
      <c r="I684" s="48" t="s">
        <v>481</v>
      </c>
      <c r="J684" s="45">
        <v>42787</v>
      </c>
      <c r="K684" s="45">
        <v>42794</v>
      </c>
      <c r="L684" s="45">
        <v>42775</v>
      </c>
    </row>
    <row r="685" spans="1:12" ht="18" customHeight="1">
      <c r="A685" s="43" t="s">
        <v>377</v>
      </c>
      <c r="B685" s="44" t="s">
        <v>379</v>
      </c>
      <c r="C685" s="44" t="s">
        <v>120</v>
      </c>
      <c r="D685" s="85">
        <v>10104914400</v>
      </c>
      <c r="E685" s="44" t="s">
        <v>515</v>
      </c>
      <c r="F685" s="44" t="s">
        <v>216</v>
      </c>
      <c r="G685" s="44" t="s">
        <v>440</v>
      </c>
      <c r="H685" s="44" t="s">
        <v>76</v>
      </c>
      <c r="I685" s="48" t="s">
        <v>482</v>
      </c>
      <c r="J685" s="45">
        <v>42779</v>
      </c>
      <c r="K685" s="45">
        <v>42779</v>
      </c>
      <c r="L685" s="45"/>
    </row>
    <row r="686" spans="1:12" ht="18" customHeight="1">
      <c r="A686" s="43" t="s">
        <v>377</v>
      </c>
      <c r="B686" s="44" t="s">
        <v>379</v>
      </c>
      <c r="C686" s="44" t="s">
        <v>120</v>
      </c>
      <c r="D686" s="85">
        <v>10104914467</v>
      </c>
      <c r="E686" s="44" t="s">
        <v>709</v>
      </c>
      <c r="F686" s="44" t="s">
        <v>216</v>
      </c>
      <c r="G686" s="44" t="s">
        <v>569</v>
      </c>
      <c r="H686" s="44" t="s">
        <v>76</v>
      </c>
      <c r="I686" s="48" t="s">
        <v>482</v>
      </c>
      <c r="J686" s="45">
        <v>42779</v>
      </c>
      <c r="K686" s="45">
        <v>42779</v>
      </c>
      <c r="L686" s="45"/>
    </row>
    <row r="687" spans="1:12" ht="18" customHeight="1">
      <c r="A687" s="43" t="s">
        <v>377</v>
      </c>
      <c r="B687" s="44" t="s">
        <v>378</v>
      </c>
      <c r="C687" s="44" t="s">
        <v>120</v>
      </c>
      <c r="D687" s="85">
        <v>10104936991</v>
      </c>
      <c r="E687" s="44" t="s">
        <v>1332</v>
      </c>
      <c r="F687" s="44" t="s">
        <v>180</v>
      </c>
      <c r="G687" s="44" t="s">
        <v>441</v>
      </c>
      <c r="H687" s="44" t="s">
        <v>223</v>
      </c>
      <c r="I687" s="48" t="s">
        <v>481</v>
      </c>
      <c r="J687" s="45">
        <v>42786</v>
      </c>
      <c r="K687" s="45">
        <v>42790</v>
      </c>
      <c r="L687" s="45">
        <v>42784</v>
      </c>
    </row>
    <row r="688" spans="1:12" ht="18" customHeight="1">
      <c r="A688" s="43" t="s">
        <v>377</v>
      </c>
      <c r="B688" s="44" t="s">
        <v>378</v>
      </c>
      <c r="C688" s="44" t="s">
        <v>120</v>
      </c>
      <c r="D688" s="85">
        <v>10104958489</v>
      </c>
      <c r="E688" s="44" t="s">
        <v>661</v>
      </c>
      <c r="F688" s="44" t="s">
        <v>180</v>
      </c>
      <c r="G688" s="44" t="s">
        <v>442</v>
      </c>
      <c r="H688" s="44" t="s">
        <v>223</v>
      </c>
      <c r="I688" s="48" t="s">
        <v>481</v>
      </c>
      <c r="J688" s="45">
        <v>42788</v>
      </c>
      <c r="K688" s="45">
        <v>42796</v>
      </c>
      <c r="L688" s="45">
        <v>42786</v>
      </c>
    </row>
    <row r="689" spans="1:12" ht="18" customHeight="1">
      <c r="A689" s="43" t="s">
        <v>377</v>
      </c>
      <c r="B689" s="44" t="s">
        <v>378</v>
      </c>
      <c r="C689" s="44" t="s">
        <v>120</v>
      </c>
      <c r="D689" s="85">
        <v>10104963973</v>
      </c>
      <c r="E689" s="44" t="s">
        <v>664</v>
      </c>
      <c r="F689" s="44" t="s">
        <v>180</v>
      </c>
      <c r="G689" s="44" t="s">
        <v>443</v>
      </c>
      <c r="H689" s="44" t="s">
        <v>223</v>
      </c>
      <c r="I689" s="48" t="s">
        <v>481</v>
      </c>
      <c r="J689" s="45">
        <v>42793</v>
      </c>
      <c r="K689" s="45">
        <v>42796</v>
      </c>
      <c r="L689" s="45">
        <v>42793</v>
      </c>
    </row>
    <row r="690" spans="1:12" ht="18" customHeight="1">
      <c r="A690" s="43" t="s">
        <v>377</v>
      </c>
      <c r="B690" s="44" t="s">
        <v>378</v>
      </c>
      <c r="C690" s="44" t="s">
        <v>120</v>
      </c>
      <c r="D690" s="85">
        <v>10104961038</v>
      </c>
      <c r="E690" s="44" t="s">
        <v>666</v>
      </c>
      <c r="F690" s="44" t="s">
        <v>180</v>
      </c>
      <c r="G690" s="44" t="s">
        <v>443</v>
      </c>
      <c r="H690" s="44" t="s">
        <v>223</v>
      </c>
      <c r="I690" s="48" t="s">
        <v>481</v>
      </c>
      <c r="J690" s="45">
        <v>42793</v>
      </c>
      <c r="K690" s="45">
        <v>42796</v>
      </c>
      <c r="L690" s="45">
        <v>42786</v>
      </c>
    </row>
    <row r="691" spans="1:12" ht="18" customHeight="1">
      <c r="A691" s="43" t="s">
        <v>377</v>
      </c>
      <c r="B691" s="44" t="s">
        <v>378</v>
      </c>
      <c r="C691" s="44" t="s">
        <v>120</v>
      </c>
      <c r="D691" s="85">
        <v>10104963975</v>
      </c>
      <c r="E691" s="44" t="s">
        <v>667</v>
      </c>
      <c r="F691" s="44" t="s">
        <v>180</v>
      </c>
      <c r="G691" s="44" t="s">
        <v>443</v>
      </c>
      <c r="H691" s="44" t="s">
        <v>223</v>
      </c>
      <c r="I691" s="48" t="s">
        <v>481</v>
      </c>
      <c r="J691" s="45">
        <v>42793</v>
      </c>
      <c r="K691" s="45">
        <v>42796</v>
      </c>
      <c r="L691" s="45">
        <v>42786</v>
      </c>
    </row>
    <row r="692" spans="1:12" ht="18" customHeight="1">
      <c r="A692" s="43" t="s">
        <v>377</v>
      </c>
      <c r="B692" s="44" t="s">
        <v>379</v>
      </c>
      <c r="C692" s="44" t="s">
        <v>120</v>
      </c>
      <c r="D692" s="85">
        <v>10104932020</v>
      </c>
      <c r="E692" s="44" t="s">
        <v>1345</v>
      </c>
      <c r="F692" s="44" t="s">
        <v>180</v>
      </c>
      <c r="G692" s="44" t="s">
        <v>1346</v>
      </c>
      <c r="H692" s="44" t="s">
        <v>76</v>
      </c>
      <c r="I692" s="48" t="s">
        <v>482</v>
      </c>
      <c r="J692" s="45">
        <v>42779</v>
      </c>
      <c r="K692" s="45">
        <v>42779</v>
      </c>
      <c r="L692" s="45">
        <v>42776</v>
      </c>
    </row>
    <row r="693" spans="1:12" ht="18" customHeight="1">
      <c r="A693" s="43" t="s">
        <v>377</v>
      </c>
      <c r="B693" s="44" t="s">
        <v>378</v>
      </c>
      <c r="C693" s="44" t="s">
        <v>120</v>
      </c>
      <c r="D693" s="85">
        <v>10104938607</v>
      </c>
      <c r="E693" s="44" t="s">
        <v>1347</v>
      </c>
      <c r="F693" s="44" t="s">
        <v>180</v>
      </c>
      <c r="G693" s="44" t="s">
        <v>1348</v>
      </c>
      <c r="H693" s="44" t="s">
        <v>223</v>
      </c>
      <c r="I693" s="48" t="s">
        <v>481</v>
      </c>
      <c r="J693" s="45">
        <v>42787</v>
      </c>
      <c r="K693" s="45">
        <v>42796</v>
      </c>
      <c r="L693" s="45">
        <v>42790</v>
      </c>
    </row>
    <row r="694" spans="1:12" ht="18" customHeight="1">
      <c r="A694" s="43" t="s">
        <v>377</v>
      </c>
      <c r="B694" s="44" t="s">
        <v>385</v>
      </c>
      <c r="C694" s="44" t="s">
        <v>120</v>
      </c>
      <c r="D694" s="85">
        <v>10104928310</v>
      </c>
      <c r="E694" s="44" t="s">
        <v>1349</v>
      </c>
      <c r="F694" s="44" t="s">
        <v>146</v>
      </c>
      <c r="G694" s="44" t="s">
        <v>387</v>
      </c>
      <c r="H694" s="44" t="s">
        <v>76</v>
      </c>
      <c r="I694" s="48" t="s">
        <v>482</v>
      </c>
      <c r="J694" s="45">
        <v>42792</v>
      </c>
      <c r="K694" s="45">
        <v>42793</v>
      </c>
      <c r="L694" s="45"/>
    </row>
    <row r="695" spans="1:12" ht="18" customHeight="1">
      <c r="A695" s="43" t="s">
        <v>377</v>
      </c>
      <c r="B695" s="44" t="s">
        <v>379</v>
      </c>
      <c r="C695" s="44" t="s">
        <v>120</v>
      </c>
      <c r="D695" s="85">
        <v>10104930792</v>
      </c>
      <c r="E695" s="44" t="s">
        <v>1350</v>
      </c>
      <c r="F695" s="44" t="s">
        <v>213</v>
      </c>
      <c r="G695" s="44" t="s">
        <v>388</v>
      </c>
      <c r="H695" s="44" t="s">
        <v>332</v>
      </c>
      <c r="I695" s="48" t="s">
        <v>482</v>
      </c>
      <c r="J695" s="45">
        <v>42780</v>
      </c>
      <c r="K695" s="45">
        <v>42780</v>
      </c>
      <c r="L695" s="45">
        <v>42780</v>
      </c>
    </row>
    <row r="696" spans="1:12" ht="18" customHeight="1">
      <c r="A696" s="43" t="s">
        <v>377</v>
      </c>
      <c r="B696" s="44" t="s">
        <v>380</v>
      </c>
      <c r="C696" s="44" t="s">
        <v>120</v>
      </c>
      <c r="D696" s="85">
        <v>10104899223</v>
      </c>
      <c r="E696" s="44" t="s">
        <v>444</v>
      </c>
      <c r="F696" s="44" t="s">
        <v>146</v>
      </c>
      <c r="G696" s="44" t="s">
        <v>388</v>
      </c>
      <c r="H696" s="44" t="s">
        <v>74</v>
      </c>
      <c r="I696" s="48" t="s">
        <v>481</v>
      </c>
      <c r="J696" s="45">
        <v>42770</v>
      </c>
      <c r="K696" s="45">
        <v>42790</v>
      </c>
      <c r="L696" s="45"/>
    </row>
    <row r="697" spans="1:12" ht="18" customHeight="1">
      <c r="A697" s="43" t="s">
        <v>377</v>
      </c>
      <c r="B697" s="44" t="s">
        <v>380</v>
      </c>
      <c r="C697" s="44" t="s">
        <v>120</v>
      </c>
      <c r="D697" s="85">
        <v>10104899198</v>
      </c>
      <c r="E697" s="44" t="s">
        <v>1351</v>
      </c>
      <c r="F697" s="44" t="s">
        <v>146</v>
      </c>
      <c r="G697" s="44" t="s">
        <v>389</v>
      </c>
      <c r="H697" s="44" t="s">
        <v>74</v>
      </c>
      <c r="I697" s="48" t="s">
        <v>481</v>
      </c>
      <c r="J697" s="45">
        <v>42770</v>
      </c>
      <c r="K697" s="45">
        <v>42790</v>
      </c>
      <c r="L697" s="45"/>
    </row>
    <row r="698" spans="1:12" ht="18" customHeight="1">
      <c r="A698" s="43" t="s">
        <v>377</v>
      </c>
      <c r="B698" s="44" t="s">
        <v>380</v>
      </c>
      <c r="C698" s="44" t="s">
        <v>120</v>
      </c>
      <c r="D698" s="85">
        <v>10104928287</v>
      </c>
      <c r="E698" s="44" t="s">
        <v>1352</v>
      </c>
      <c r="F698" s="44" t="s">
        <v>846</v>
      </c>
      <c r="G698" s="44" t="s">
        <v>392</v>
      </c>
      <c r="H698" s="44" t="s">
        <v>74</v>
      </c>
      <c r="I698" s="48" t="s">
        <v>481</v>
      </c>
      <c r="J698" s="45">
        <v>42792</v>
      </c>
      <c r="K698" s="45">
        <v>42792</v>
      </c>
      <c r="L698" s="45"/>
    </row>
    <row r="699" spans="1:12" ht="18" customHeight="1">
      <c r="A699" s="43" t="s">
        <v>377</v>
      </c>
      <c r="B699" s="44" t="s">
        <v>379</v>
      </c>
      <c r="C699" s="44" t="s">
        <v>120</v>
      </c>
      <c r="D699" s="85">
        <v>10104930793</v>
      </c>
      <c r="E699" s="44" t="s">
        <v>1353</v>
      </c>
      <c r="F699" s="44" t="s">
        <v>213</v>
      </c>
      <c r="G699" s="44" t="s">
        <v>1354</v>
      </c>
      <c r="H699" s="44" t="s">
        <v>332</v>
      </c>
      <c r="I699" s="48" t="s">
        <v>482</v>
      </c>
      <c r="J699" s="45">
        <v>42780</v>
      </c>
      <c r="K699" s="45">
        <v>42780</v>
      </c>
      <c r="L699" s="45">
        <v>42780</v>
      </c>
    </row>
    <row r="700" spans="1:12" ht="18" customHeight="1">
      <c r="A700" s="43" t="s">
        <v>377</v>
      </c>
      <c r="B700" s="44" t="s">
        <v>380</v>
      </c>
      <c r="C700" s="44" t="s">
        <v>120</v>
      </c>
      <c r="D700" s="85">
        <v>10104895496</v>
      </c>
      <c r="E700" s="44" t="s">
        <v>1355</v>
      </c>
      <c r="F700" s="44" t="s">
        <v>146</v>
      </c>
      <c r="G700" s="44" t="s">
        <v>1244</v>
      </c>
      <c r="H700" s="44" t="s">
        <v>74</v>
      </c>
      <c r="I700" s="48" t="s">
        <v>481</v>
      </c>
      <c r="J700" s="45">
        <v>42767</v>
      </c>
      <c r="K700" s="45">
        <v>42790</v>
      </c>
      <c r="L700" s="45"/>
    </row>
    <row r="701" spans="1:12" ht="18" customHeight="1">
      <c r="A701" s="43" t="s">
        <v>377</v>
      </c>
      <c r="B701" s="44" t="s">
        <v>380</v>
      </c>
      <c r="C701" s="44" t="s">
        <v>120</v>
      </c>
      <c r="D701" s="85">
        <v>10104899193</v>
      </c>
      <c r="E701" s="44" t="s">
        <v>445</v>
      </c>
      <c r="F701" s="44" t="s">
        <v>146</v>
      </c>
      <c r="G701" s="44" t="s">
        <v>395</v>
      </c>
      <c r="H701" s="44" t="s">
        <v>74</v>
      </c>
      <c r="I701" s="48" t="s">
        <v>481</v>
      </c>
      <c r="J701" s="45">
        <v>42770</v>
      </c>
      <c r="K701" s="45">
        <v>42790</v>
      </c>
      <c r="L701" s="45"/>
    </row>
    <row r="702" spans="1:12" ht="18" customHeight="1">
      <c r="A702" s="43" t="s">
        <v>377</v>
      </c>
      <c r="B702" s="44" t="s">
        <v>380</v>
      </c>
      <c r="C702" s="44" t="s">
        <v>120</v>
      </c>
      <c r="D702" s="85">
        <v>10104899246</v>
      </c>
      <c r="E702" s="44" t="s">
        <v>447</v>
      </c>
      <c r="F702" s="44" t="s">
        <v>146</v>
      </c>
      <c r="G702" s="44" t="s">
        <v>446</v>
      </c>
      <c r="H702" s="44" t="s">
        <v>74</v>
      </c>
      <c r="I702" s="48" t="s">
        <v>481</v>
      </c>
      <c r="J702" s="45">
        <v>42770</v>
      </c>
      <c r="K702" s="45">
        <v>42790</v>
      </c>
      <c r="L702" s="45"/>
    </row>
    <row r="703" spans="1:12" ht="18" customHeight="1">
      <c r="A703" s="43" t="s">
        <v>377</v>
      </c>
      <c r="B703" s="44" t="s">
        <v>380</v>
      </c>
      <c r="C703" s="44" t="s">
        <v>120</v>
      </c>
      <c r="D703" s="85">
        <v>10104897027</v>
      </c>
      <c r="E703" s="44" t="s">
        <v>1356</v>
      </c>
      <c r="F703" s="44" t="s">
        <v>596</v>
      </c>
      <c r="G703" s="44" t="s">
        <v>1259</v>
      </c>
      <c r="H703" s="44" t="s">
        <v>74</v>
      </c>
      <c r="I703" s="48" t="s">
        <v>481</v>
      </c>
      <c r="J703" s="45">
        <v>42793</v>
      </c>
      <c r="K703" s="45">
        <v>42793</v>
      </c>
      <c r="L703" s="45"/>
    </row>
    <row r="704" spans="1:12" ht="18" customHeight="1">
      <c r="A704" s="43" t="s">
        <v>377</v>
      </c>
      <c r="B704" s="44" t="s">
        <v>380</v>
      </c>
      <c r="C704" s="44" t="s">
        <v>120</v>
      </c>
      <c r="D704" s="85">
        <v>10104896262</v>
      </c>
      <c r="E704" s="44" t="s">
        <v>1357</v>
      </c>
      <c r="F704" s="44" t="s">
        <v>846</v>
      </c>
      <c r="G704" s="44" t="s">
        <v>397</v>
      </c>
      <c r="H704" s="44" t="s">
        <v>74</v>
      </c>
      <c r="I704" s="48" t="s">
        <v>481</v>
      </c>
      <c r="J704" s="45">
        <v>42792</v>
      </c>
      <c r="K704" s="45">
        <v>42792</v>
      </c>
      <c r="L704" s="45"/>
    </row>
    <row r="705" spans="1:12" ht="18" customHeight="1">
      <c r="A705" s="43" t="s">
        <v>377</v>
      </c>
      <c r="B705" s="44" t="s">
        <v>378</v>
      </c>
      <c r="C705" s="44" t="s">
        <v>120</v>
      </c>
      <c r="D705" s="85">
        <v>10104952353</v>
      </c>
      <c r="E705" s="44" t="s">
        <v>1364</v>
      </c>
      <c r="F705" s="44" t="s">
        <v>500</v>
      </c>
      <c r="G705" s="44" t="s">
        <v>589</v>
      </c>
      <c r="H705" s="44" t="s">
        <v>223</v>
      </c>
      <c r="I705" s="48" t="s">
        <v>481</v>
      </c>
      <c r="J705" s="45">
        <v>42784</v>
      </c>
      <c r="K705" s="45">
        <v>42784</v>
      </c>
      <c r="L705" s="45"/>
    </row>
    <row r="706" spans="1:12" ht="18" customHeight="1">
      <c r="A706" s="43" t="s">
        <v>377</v>
      </c>
      <c r="B706" s="44" t="s">
        <v>378</v>
      </c>
      <c r="C706" s="44" t="s">
        <v>120</v>
      </c>
      <c r="D706" s="85">
        <v>10104953679</v>
      </c>
      <c r="E706" s="44" t="s">
        <v>607</v>
      </c>
      <c r="F706" s="44" t="s">
        <v>500</v>
      </c>
      <c r="G706" s="44" t="s">
        <v>589</v>
      </c>
      <c r="H706" s="44" t="s">
        <v>223</v>
      </c>
      <c r="I706" s="48" t="s">
        <v>481</v>
      </c>
      <c r="J706" s="45">
        <v>42784</v>
      </c>
      <c r="K706" s="45">
        <v>42784</v>
      </c>
      <c r="L706" s="45"/>
    </row>
    <row r="707" spans="1:12" ht="18" customHeight="1">
      <c r="A707" s="43" t="s">
        <v>377</v>
      </c>
      <c r="B707" s="44" t="s">
        <v>378</v>
      </c>
      <c r="C707" s="44" t="s">
        <v>120</v>
      </c>
      <c r="D707" s="85">
        <v>10104946844</v>
      </c>
      <c r="E707" s="44" t="s">
        <v>1365</v>
      </c>
      <c r="F707" s="44" t="s">
        <v>500</v>
      </c>
      <c r="G707" s="44" t="s">
        <v>589</v>
      </c>
      <c r="H707" s="44" t="s">
        <v>223</v>
      </c>
      <c r="I707" s="48" t="s">
        <v>481</v>
      </c>
      <c r="J707" s="45">
        <v>42782</v>
      </c>
      <c r="K707" s="45">
        <v>42782</v>
      </c>
      <c r="L707" s="45"/>
    </row>
    <row r="708" spans="1:12" ht="18" customHeight="1">
      <c r="A708" s="43" t="s">
        <v>377</v>
      </c>
      <c r="B708" s="44" t="s">
        <v>378</v>
      </c>
      <c r="C708" s="44" t="s">
        <v>120</v>
      </c>
      <c r="D708" s="85">
        <v>10104953696</v>
      </c>
      <c r="E708" s="44" t="s">
        <v>619</v>
      </c>
      <c r="F708" s="44" t="s">
        <v>500</v>
      </c>
      <c r="G708" s="44" t="s">
        <v>589</v>
      </c>
      <c r="H708" s="44" t="s">
        <v>223</v>
      </c>
      <c r="I708" s="48" t="s">
        <v>481</v>
      </c>
      <c r="J708" s="45">
        <v>42783</v>
      </c>
      <c r="K708" s="45">
        <v>42783</v>
      </c>
      <c r="L708" s="45"/>
    </row>
    <row r="709" spans="1:12" ht="18" customHeight="1">
      <c r="A709" s="43" t="s">
        <v>377</v>
      </c>
      <c r="B709" s="44" t="s">
        <v>378</v>
      </c>
      <c r="C709" s="44" t="s">
        <v>120</v>
      </c>
      <c r="D709" s="85">
        <v>10104946847</v>
      </c>
      <c r="E709" s="44" t="s">
        <v>1359</v>
      </c>
      <c r="F709" s="44" t="s">
        <v>180</v>
      </c>
      <c r="G709" s="44" t="s">
        <v>589</v>
      </c>
      <c r="H709" s="44" t="s">
        <v>223</v>
      </c>
      <c r="I709" s="48" t="s">
        <v>481</v>
      </c>
      <c r="J709" s="45">
        <v>42782</v>
      </c>
      <c r="K709" s="45">
        <v>42794</v>
      </c>
      <c r="L709" s="45">
        <v>42789</v>
      </c>
    </row>
    <row r="710" spans="1:12" ht="18" customHeight="1">
      <c r="A710" s="43" t="s">
        <v>377</v>
      </c>
      <c r="B710" s="44" t="s">
        <v>378</v>
      </c>
      <c r="C710" s="44" t="s">
        <v>120</v>
      </c>
      <c r="D710" s="85">
        <v>10104953722</v>
      </c>
      <c r="E710" s="44" t="s">
        <v>610</v>
      </c>
      <c r="F710" s="44" t="s">
        <v>500</v>
      </c>
      <c r="G710" s="44" t="s">
        <v>589</v>
      </c>
      <c r="H710" s="44" t="s">
        <v>223</v>
      </c>
      <c r="I710" s="48" t="s">
        <v>481</v>
      </c>
      <c r="J710" s="45">
        <v>42784</v>
      </c>
      <c r="K710" s="45">
        <v>42784</v>
      </c>
      <c r="L710" s="45"/>
    </row>
    <row r="711" spans="1:12" ht="18" customHeight="1">
      <c r="A711" s="43" t="s">
        <v>377</v>
      </c>
      <c r="B711" s="44" t="s">
        <v>378</v>
      </c>
      <c r="C711" s="44" t="s">
        <v>120</v>
      </c>
      <c r="D711" s="85">
        <v>10104953668</v>
      </c>
      <c r="E711" s="44" t="s">
        <v>609</v>
      </c>
      <c r="F711" s="44" t="s">
        <v>500</v>
      </c>
      <c r="G711" s="44" t="s">
        <v>589</v>
      </c>
      <c r="H711" s="44" t="s">
        <v>223</v>
      </c>
      <c r="I711" s="48" t="s">
        <v>481</v>
      </c>
      <c r="J711" s="45">
        <v>42784</v>
      </c>
      <c r="K711" s="45">
        <v>42784</v>
      </c>
      <c r="L711" s="45"/>
    </row>
    <row r="712" spans="1:12" ht="18" customHeight="1">
      <c r="A712" s="43" t="s">
        <v>377</v>
      </c>
      <c r="B712" s="44" t="s">
        <v>378</v>
      </c>
      <c r="C712" s="44" t="s">
        <v>120</v>
      </c>
      <c r="D712" s="85">
        <v>10104953693</v>
      </c>
      <c r="E712" s="44" t="s">
        <v>616</v>
      </c>
      <c r="F712" s="44" t="s">
        <v>500</v>
      </c>
      <c r="G712" s="44" t="s">
        <v>589</v>
      </c>
      <c r="H712" s="44" t="s">
        <v>223</v>
      </c>
      <c r="I712" s="48" t="s">
        <v>481</v>
      </c>
      <c r="J712" s="45">
        <v>42783</v>
      </c>
      <c r="K712" s="45">
        <v>42783</v>
      </c>
      <c r="L712" s="45"/>
    </row>
    <row r="713" spans="1:12" ht="18" customHeight="1">
      <c r="A713" s="43" t="s">
        <v>377</v>
      </c>
      <c r="B713" s="44" t="s">
        <v>378</v>
      </c>
      <c r="C713" s="44" t="s">
        <v>120</v>
      </c>
      <c r="D713" s="85">
        <v>10104953670</v>
      </c>
      <c r="E713" s="44" t="s">
        <v>605</v>
      </c>
      <c r="F713" s="44" t="s">
        <v>500</v>
      </c>
      <c r="G713" s="44" t="s">
        <v>589</v>
      </c>
      <c r="H713" s="44" t="s">
        <v>223</v>
      </c>
      <c r="I713" s="48" t="s">
        <v>481</v>
      </c>
      <c r="J713" s="45">
        <v>42783</v>
      </c>
      <c r="K713" s="45">
        <v>42783</v>
      </c>
      <c r="L713" s="45"/>
    </row>
    <row r="714" spans="1:12" ht="18" customHeight="1">
      <c r="A714" s="43" t="s">
        <v>377</v>
      </c>
      <c r="B714" s="44" t="s">
        <v>378</v>
      </c>
      <c r="C714" s="44" t="s">
        <v>120</v>
      </c>
      <c r="D714" s="85">
        <v>10104953667</v>
      </c>
      <c r="E714" s="44" t="s">
        <v>621</v>
      </c>
      <c r="F714" s="44" t="s">
        <v>500</v>
      </c>
      <c r="G714" s="44" t="s">
        <v>589</v>
      </c>
      <c r="H714" s="44" t="s">
        <v>223</v>
      </c>
      <c r="I714" s="48" t="s">
        <v>481</v>
      </c>
      <c r="J714" s="45">
        <v>42784</v>
      </c>
      <c r="K714" s="45">
        <v>42784</v>
      </c>
      <c r="L714" s="45"/>
    </row>
    <row r="715" spans="1:12" ht="18" customHeight="1">
      <c r="A715" s="43" t="s">
        <v>377</v>
      </c>
      <c r="B715" s="44" t="s">
        <v>378</v>
      </c>
      <c r="C715" s="44" t="s">
        <v>120</v>
      </c>
      <c r="D715" s="85">
        <v>10104953666</v>
      </c>
      <c r="E715" s="44" t="s">
        <v>612</v>
      </c>
      <c r="F715" s="44" t="s">
        <v>500</v>
      </c>
      <c r="G715" s="44" t="s">
        <v>589</v>
      </c>
      <c r="H715" s="44" t="s">
        <v>223</v>
      </c>
      <c r="I715" s="48" t="s">
        <v>481</v>
      </c>
      <c r="J715" s="45">
        <v>42784</v>
      </c>
      <c r="K715" s="45">
        <v>42784</v>
      </c>
      <c r="L715" s="45"/>
    </row>
    <row r="716" spans="1:12" ht="18" customHeight="1">
      <c r="A716" s="43" t="s">
        <v>377</v>
      </c>
      <c r="B716" s="44" t="s">
        <v>378</v>
      </c>
      <c r="C716" s="44" t="s">
        <v>120</v>
      </c>
      <c r="D716" s="85">
        <v>10104953694</v>
      </c>
      <c r="E716" s="44" t="s">
        <v>613</v>
      </c>
      <c r="F716" s="44" t="s">
        <v>500</v>
      </c>
      <c r="G716" s="44" t="s">
        <v>589</v>
      </c>
      <c r="H716" s="44" t="s">
        <v>223</v>
      </c>
      <c r="I716" s="48" t="s">
        <v>481</v>
      </c>
      <c r="J716" s="45">
        <v>42783</v>
      </c>
      <c r="K716" s="45">
        <v>42783</v>
      </c>
      <c r="L716" s="45"/>
    </row>
    <row r="717" spans="1:12" ht="18" customHeight="1">
      <c r="A717" s="43" t="s">
        <v>377</v>
      </c>
      <c r="B717" s="44" t="s">
        <v>378</v>
      </c>
      <c r="C717" s="44" t="s">
        <v>120</v>
      </c>
      <c r="D717" s="85">
        <v>10104953665</v>
      </c>
      <c r="E717" s="44" t="s">
        <v>620</v>
      </c>
      <c r="F717" s="44" t="s">
        <v>500</v>
      </c>
      <c r="G717" s="44" t="s">
        <v>589</v>
      </c>
      <c r="H717" s="44" t="s">
        <v>223</v>
      </c>
      <c r="I717" s="48" t="s">
        <v>481</v>
      </c>
      <c r="J717" s="45">
        <v>42784</v>
      </c>
      <c r="K717" s="45">
        <v>42784</v>
      </c>
      <c r="L717" s="45"/>
    </row>
    <row r="718" spans="1:12" ht="18" customHeight="1">
      <c r="A718" s="43" t="s">
        <v>377</v>
      </c>
      <c r="B718" s="44" t="s">
        <v>378</v>
      </c>
      <c r="C718" s="44" t="s">
        <v>120</v>
      </c>
      <c r="D718" s="85">
        <v>10104953678</v>
      </c>
      <c r="E718" s="44" t="s">
        <v>622</v>
      </c>
      <c r="F718" s="44" t="s">
        <v>500</v>
      </c>
      <c r="G718" s="44" t="s">
        <v>589</v>
      </c>
      <c r="H718" s="44" t="s">
        <v>223</v>
      </c>
      <c r="I718" s="48" t="s">
        <v>481</v>
      </c>
      <c r="J718" s="45">
        <v>42784</v>
      </c>
      <c r="K718" s="45">
        <v>42784</v>
      </c>
      <c r="L718" s="45"/>
    </row>
    <row r="719" spans="1:12" ht="18" customHeight="1">
      <c r="A719" s="43" t="s">
        <v>377</v>
      </c>
      <c r="B719" s="44" t="s">
        <v>378</v>
      </c>
      <c r="C719" s="44" t="s">
        <v>120</v>
      </c>
      <c r="D719" s="85">
        <v>10104952332</v>
      </c>
      <c r="E719" s="44" t="s">
        <v>1363</v>
      </c>
      <c r="F719" s="44" t="s">
        <v>500</v>
      </c>
      <c r="G719" s="44" t="s">
        <v>589</v>
      </c>
      <c r="H719" s="44" t="s">
        <v>223</v>
      </c>
      <c r="I719" s="48" t="s">
        <v>481</v>
      </c>
      <c r="J719" s="45">
        <v>42784</v>
      </c>
      <c r="K719" s="45">
        <v>42784</v>
      </c>
      <c r="L719" s="45"/>
    </row>
    <row r="720" spans="1:12" ht="18" customHeight="1">
      <c r="A720" s="43" t="s">
        <v>377</v>
      </c>
      <c r="B720" s="44" t="s">
        <v>378</v>
      </c>
      <c r="C720" s="44" t="s">
        <v>120</v>
      </c>
      <c r="D720" s="85">
        <v>10104948908</v>
      </c>
      <c r="E720" s="44" t="s">
        <v>1360</v>
      </c>
      <c r="F720" s="44" t="s">
        <v>500</v>
      </c>
      <c r="G720" s="44" t="s">
        <v>589</v>
      </c>
      <c r="H720" s="44" t="s">
        <v>223</v>
      </c>
      <c r="I720" s="48" t="s">
        <v>481</v>
      </c>
      <c r="J720" s="45">
        <v>42784</v>
      </c>
      <c r="K720" s="45">
        <v>42784</v>
      </c>
      <c r="L720" s="45"/>
    </row>
    <row r="721" spans="1:12" ht="18" customHeight="1">
      <c r="A721" s="43" t="s">
        <v>377</v>
      </c>
      <c r="B721" s="44" t="s">
        <v>378</v>
      </c>
      <c r="C721" s="44" t="s">
        <v>120</v>
      </c>
      <c r="D721" s="85">
        <v>10104948907</v>
      </c>
      <c r="E721" s="44" t="s">
        <v>1358</v>
      </c>
      <c r="F721" s="44" t="s">
        <v>500</v>
      </c>
      <c r="G721" s="44" t="s">
        <v>589</v>
      </c>
      <c r="H721" s="44" t="s">
        <v>223</v>
      </c>
      <c r="I721" s="48" t="s">
        <v>481</v>
      </c>
      <c r="J721" s="45">
        <v>42784</v>
      </c>
      <c r="K721" s="45">
        <v>42784</v>
      </c>
      <c r="L721" s="45"/>
    </row>
    <row r="722" spans="1:12" ht="18" customHeight="1">
      <c r="A722" s="43" t="s">
        <v>377</v>
      </c>
      <c r="B722" s="44" t="s">
        <v>378</v>
      </c>
      <c r="C722" s="44" t="s">
        <v>120</v>
      </c>
      <c r="D722" s="85">
        <v>10104950818</v>
      </c>
      <c r="E722" s="44" t="s">
        <v>1361</v>
      </c>
      <c r="F722" s="44" t="s">
        <v>180</v>
      </c>
      <c r="G722" s="44" t="s">
        <v>589</v>
      </c>
      <c r="H722" s="44" t="s">
        <v>223</v>
      </c>
      <c r="I722" s="48" t="s">
        <v>481</v>
      </c>
      <c r="J722" s="45">
        <v>42786</v>
      </c>
      <c r="K722" s="45">
        <v>42794</v>
      </c>
      <c r="L722" s="45">
        <v>42789</v>
      </c>
    </row>
    <row r="723" spans="1:12" ht="18" customHeight="1">
      <c r="A723" s="43" t="s">
        <v>377</v>
      </c>
      <c r="B723" s="44" t="s">
        <v>378</v>
      </c>
      <c r="C723" s="44" t="s">
        <v>120</v>
      </c>
      <c r="D723" s="85">
        <v>10104953664</v>
      </c>
      <c r="E723" s="44" t="s">
        <v>614</v>
      </c>
      <c r="F723" s="44" t="s">
        <v>500</v>
      </c>
      <c r="G723" s="44" t="s">
        <v>589</v>
      </c>
      <c r="H723" s="44" t="s">
        <v>223</v>
      </c>
      <c r="I723" s="48" t="s">
        <v>481</v>
      </c>
      <c r="J723" s="45">
        <v>42784</v>
      </c>
      <c r="K723" s="45">
        <v>42784</v>
      </c>
      <c r="L723" s="45"/>
    </row>
    <row r="724" spans="1:12" ht="18" customHeight="1">
      <c r="A724" s="43" t="s">
        <v>377</v>
      </c>
      <c r="B724" s="44" t="s">
        <v>378</v>
      </c>
      <c r="C724" s="44" t="s">
        <v>120</v>
      </c>
      <c r="D724" s="85">
        <v>10104948884</v>
      </c>
      <c r="E724" s="44" t="s">
        <v>1366</v>
      </c>
      <c r="F724" s="44" t="s">
        <v>180</v>
      </c>
      <c r="G724" s="44" t="s">
        <v>589</v>
      </c>
      <c r="H724" s="44" t="s">
        <v>223</v>
      </c>
      <c r="I724" s="48" t="s">
        <v>481</v>
      </c>
      <c r="J724" s="45">
        <v>42784</v>
      </c>
      <c r="K724" s="45">
        <v>42794</v>
      </c>
      <c r="L724" s="45">
        <v>42789</v>
      </c>
    </row>
    <row r="725" spans="1:12" ht="18" customHeight="1">
      <c r="A725" s="43" t="s">
        <v>377</v>
      </c>
      <c r="B725" s="44" t="s">
        <v>378</v>
      </c>
      <c r="C725" s="44" t="s">
        <v>120</v>
      </c>
      <c r="D725" s="85">
        <v>10104950817</v>
      </c>
      <c r="E725" s="44" t="s">
        <v>1362</v>
      </c>
      <c r="F725" s="44" t="s">
        <v>180</v>
      </c>
      <c r="G725" s="44" t="s">
        <v>589</v>
      </c>
      <c r="H725" s="44" t="s">
        <v>223</v>
      </c>
      <c r="I725" s="48" t="s">
        <v>481</v>
      </c>
      <c r="J725" s="45">
        <v>42786</v>
      </c>
      <c r="K725" s="45">
        <v>42794</v>
      </c>
      <c r="L725" s="45">
        <v>42789</v>
      </c>
    </row>
    <row r="726" spans="1:12" ht="18" customHeight="1">
      <c r="A726" s="43" t="s">
        <v>377</v>
      </c>
      <c r="B726" s="44" t="s">
        <v>378</v>
      </c>
      <c r="C726" s="44" t="s">
        <v>120</v>
      </c>
      <c r="D726" s="85">
        <v>10104913248</v>
      </c>
      <c r="E726" s="44" t="s">
        <v>1367</v>
      </c>
      <c r="F726" s="44" t="s">
        <v>216</v>
      </c>
      <c r="G726" s="44" t="s">
        <v>1368</v>
      </c>
      <c r="H726" s="44" t="s">
        <v>223</v>
      </c>
      <c r="I726" s="48" t="s">
        <v>481</v>
      </c>
      <c r="J726" s="45">
        <v>42792</v>
      </c>
      <c r="K726" s="45">
        <v>42792</v>
      </c>
      <c r="L726" s="45"/>
    </row>
    <row r="727" spans="1:12" ht="18" customHeight="1">
      <c r="A727" s="43" t="s">
        <v>377</v>
      </c>
      <c r="B727" s="44" t="s">
        <v>378</v>
      </c>
      <c r="C727" s="44" t="s">
        <v>120</v>
      </c>
      <c r="D727" s="85">
        <v>10104937007</v>
      </c>
      <c r="E727" s="44" t="s">
        <v>1369</v>
      </c>
      <c r="F727" s="44" t="s">
        <v>180</v>
      </c>
      <c r="G727" s="44" t="s">
        <v>873</v>
      </c>
      <c r="H727" s="44" t="s">
        <v>223</v>
      </c>
      <c r="I727" s="48" t="s">
        <v>481</v>
      </c>
      <c r="J727" s="45">
        <v>42786</v>
      </c>
      <c r="K727" s="45">
        <v>42790</v>
      </c>
      <c r="L727" s="45">
        <v>42774</v>
      </c>
    </row>
    <row r="728" spans="1:12" ht="18" customHeight="1">
      <c r="A728" s="43" t="s">
        <v>377</v>
      </c>
      <c r="B728" s="44" t="s">
        <v>379</v>
      </c>
      <c r="C728" s="44" t="s">
        <v>120</v>
      </c>
      <c r="D728" s="85">
        <v>10104913347</v>
      </c>
      <c r="E728" s="44" t="s">
        <v>1371</v>
      </c>
      <c r="F728" s="44" t="s">
        <v>180</v>
      </c>
      <c r="G728" s="44" t="s">
        <v>947</v>
      </c>
      <c r="H728" s="44" t="s">
        <v>332</v>
      </c>
      <c r="I728" s="48" t="s">
        <v>482</v>
      </c>
      <c r="J728" s="45">
        <v>42777</v>
      </c>
      <c r="K728" s="45">
        <v>42777</v>
      </c>
      <c r="L728" s="45">
        <v>42776</v>
      </c>
    </row>
    <row r="729" spans="1:12" ht="18" customHeight="1">
      <c r="A729" s="43" t="s">
        <v>377</v>
      </c>
      <c r="B729" s="44" t="s">
        <v>379</v>
      </c>
      <c r="C729" s="44" t="s">
        <v>120</v>
      </c>
      <c r="D729" s="85">
        <v>10104913356</v>
      </c>
      <c r="E729" s="44" t="s">
        <v>1370</v>
      </c>
      <c r="F729" s="44" t="s">
        <v>180</v>
      </c>
      <c r="G729" s="44" t="s">
        <v>947</v>
      </c>
      <c r="H729" s="44" t="s">
        <v>332</v>
      </c>
      <c r="I729" s="48" t="s">
        <v>482</v>
      </c>
      <c r="J729" s="45">
        <v>42777</v>
      </c>
      <c r="K729" s="45">
        <v>42777</v>
      </c>
      <c r="L729" s="45">
        <v>42776</v>
      </c>
    </row>
    <row r="730" spans="1:12" ht="18" customHeight="1">
      <c r="A730" s="43" t="s">
        <v>377</v>
      </c>
      <c r="B730" s="44" t="s">
        <v>378</v>
      </c>
      <c r="C730" s="44" t="s">
        <v>120</v>
      </c>
      <c r="D730" s="85">
        <v>10104952287</v>
      </c>
      <c r="E730" s="44" t="s">
        <v>1372</v>
      </c>
      <c r="F730" s="44" t="s">
        <v>180</v>
      </c>
      <c r="G730" s="44" t="s">
        <v>448</v>
      </c>
      <c r="H730" s="44" t="s">
        <v>223</v>
      </c>
      <c r="I730" s="48" t="s">
        <v>481</v>
      </c>
      <c r="J730" s="45">
        <v>42784</v>
      </c>
      <c r="K730" s="45">
        <v>42796</v>
      </c>
      <c r="L730" s="45">
        <v>42794</v>
      </c>
    </row>
    <row r="731" spans="1:12" ht="18" customHeight="1">
      <c r="A731" s="43" t="s">
        <v>377</v>
      </c>
      <c r="B731" s="44" t="s">
        <v>378</v>
      </c>
      <c r="C731" s="44" t="s">
        <v>120</v>
      </c>
      <c r="D731" s="85">
        <v>10104956313</v>
      </c>
      <c r="E731" s="44" t="s">
        <v>631</v>
      </c>
      <c r="F731" s="44" t="s">
        <v>180</v>
      </c>
      <c r="G731" s="44" t="s">
        <v>448</v>
      </c>
      <c r="H731" s="44" t="s">
        <v>223</v>
      </c>
      <c r="I731" s="48" t="s">
        <v>481</v>
      </c>
      <c r="J731" s="45">
        <v>42786</v>
      </c>
      <c r="K731" s="45">
        <v>42796</v>
      </c>
      <c r="L731" s="45">
        <v>42768</v>
      </c>
    </row>
    <row r="732" spans="1:12" ht="18" customHeight="1">
      <c r="A732" s="43" t="s">
        <v>377</v>
      </c>
      <c r="B732" s="44" t="s">
        <v>378</v>
      </c>
      <c r="C732" s="44" t="s">
        <v>120</v>
      </c>
      <c r="D732" s="85">
        <v>10104950819</v>
      </c>
      <c r="E732" s="44" t="s">
        <v>1373</v>
      </c>
      <c r="F732" s="44" t="s">
        <v>180</v>
      </c>
      <c r="G732" s="44" t="s">
        <v>448</v>
      </c>
      <c r="H732" s="44" t="s">
        <v>223</v>
      </c>
      <c r="I732" s="48" t="s">
        <v>481</v>
      </c>
      <c r="J732" s="45">
        <v>42786</v>
      </c>
      <c r="K732" s="45">
        <v>42796</v>
      </c>
      <c r="L732" s="45">
        <v>42794</v>
      </c>
    </row>
    <row r="733" spans="1:12" ht="18" customHeight="1">
      <c r="A733" s="43" t="s">
        <v>377</v>
      </c>
      <c r="B733" s="44" t="s">
        <v>378</v>
      </c>
      <c r="C733" s="44" t="s">
        <v>120</v>
      </c>
      <c r="D733" s="85">
        <v>10104955233</v>
      </c>
      <c r="E733" s="44" t="s">
        <v>630</v>
      </c>
      <c r="F733" s="44" t="s">
        <v>180</v>
      </c>
      <c r="G733" s="44" t="s">
        <v>448</v>
      </c>
      <c r="H733" s="44" t="s">
        <v>223</v>
      </c>
      <c r="I733" s="48" t="s">
        <v>481</v>
      </c>
      <c r="J733" s="45">
        <v>42784</v>
      </c>
      <c r="K733" s="45">
        <v>42795</v>
      </c>
      <c r="L733" s="45">
        <v>42767</v>
      </c>
    </row>
    <row r="734" spans="1:12" ht="18" customHeight="1">
      <c r="A734" s="43" t="s">
        <v>377</v>
      </c>
      <c r="B734" s="44" t="s">
        <v>378</v>
      </c>
      <c r="C734" s="44" t="s">
        <v>120</v>
      </c>
      <c r="D734" s="85">
        <v>10104958426</v>
      </c>
      <c r="E734" s="44" t="s">
        <v>672</v>
      </c>
      <c r="F734" s="44" t="s">
        <v>180</v>
      </c>
      <c r="G734" s="44" t="s">
        <v>448</v>
      </c>
      <c r="H734" s="44" t="s">
        <v>223</v>
      </c>
      <c r="I734" s="48" t="s">
        <v>481</v>
      </c>
      <c r="J734" s="45">
        <v>42788</v>
      </c>
      <c r="K734" s="45">
        <v>42796</v>
      </c>
      <c r="L734" s="45">
        <v>42768</v>
      </c>
    </row>
    <row r="735" spans="1:12" ht="18" customHeight="1">
      <c r="A735" s="43" t="s">
        <v>377</v>
      </c>
      <c r="B735" s="44" t="s">
        <v>378</v>
      </c>
      <c r="C735" s="44" t="s">
        <v>120</v>
      </c>
      <c r="D735" s="85">
        <v>10104956315</v>
      </c>
      <c r="E735" s="44" t="s">
        <v>629</v>
      </c>
      <c r="F735" s="44" t="s">
        <v>180</v>
      </c>
      <c r="G735" s="44" t="s">
        <v>448</v>
      </c>
      <c r="H735" s="44" t="s">
        <v>223</v>
      </c>
      <c r="I735" s="48" t="s">
        <v>481</v>
      </c>
      <c r="J735" s="45">
        <v>42786</v>
      </c>
      <c r="K735" s="45">
        <v>42796</v>
      </c>
      <c r="L735" s="45">
        <v>42768</v>
      </c>
    </row>
    <row r="736" spans="1:12" ht="18" customHeight="1">
      <c r="A736" s="43" t="s">
        <v>377</v>
      </c>
      <c r="B736" s="44" t="s">
        <v>378</v>
      </c>
      <c r="C736" s="44" t="s">
        <v>120</v>
      </c>
      <c r="D736" s="85">
        <v>10104957557</v>
      </c>
      <c r="E736" s="44" t="s">
        <v>626</v>
      </c>
      <c r="F736" s="44" t="s">
        <v>180</v>
      </c>
      <c r="G736" s="44" t="s">
        <v>448</v>
      </c>
      <c r="H736" s="44" t="s">
        <v>223</v>
      </c>
      <c r="I736" s="48" t="s">
        <v>481</v>
      </c>
      <c r="J736" s="45">
        <v>42787</v>
      </c>
      <c r="K736" s="45">
        <v>42796</v>
      </c>
      <c r="L736" s="45">
        <v>42768</v>
      </c>
    </row>
    <row r="737" spans="1:12" ht="18" customHeight="1">
      <c r="A737" s="43" t="s">
        <v>377</v>
      </c>
      <c r="B737" s="44" t="s">
        <v>378</v>
      </c>
      <c r="C737" s="44" t="s">
        <v>120</v>
      </c>
      <c r="D737" s="85">
        <v>10104957530</v>
      </c>
      <c r="E737" s="44" t="s">
        <v>632</v>
      </c>
      <c r="F737" s="44" t="s">
        <v>180</v>
      </c>
      <c r="G737" s="44" t="s">
        <v>448</v>
      </c>
      <c r="H737" s="44" t="s">
        <v>223</v>
      </c>
      <c r="I737" s="48" t="s">
        <v>481</v>
      </c>
      <c r="J737" s="45">
        <v>42787</v>
      </c>
      <c r="K737" s="45">
        <v>42796</v>
      </c>
      <c r="L737" s="45">
        <v>42768</v>
      </c>
    </row>
    <row r="738" spans="1:12" ht="18" customHeight="1">
      <c r="A738" s="43" t="s">
        <v>377</v>
      </c>
      <c r="B738" s="44" t="s">
        <v>378</v>
      </c>
      <c r="C738" s="44" t="s">
        <v>120</v>
      </c>
      <c r="D738" s="85">
        <v>10104953752</v>
      </c>
      <c r="E738" s="44" t="s">
        <v>1374</v>
      </c>
      <c r="F738" s="44" t="s">
        <v>500</v>
      </c>
      <c r="G738" s="44" t="s">
        <v>448</v>
      </c>
      <c r="H738" s="44" t="s">
        <v>223</v>
      </c>
      <c r="I738" s="48" t="s">
        <v>481</v>
      </c>
      <c r="J738" s="45">
        <v>42788</v>
      </c>
      <c r="K738" s="45">
        <v>42788</v>
      </c>
      <c r="L738" s="45"/>
    </row>
    <row r="739" spans="1:12" ht="18" customHeight="1">
      <c r="A739" s="43" t="s">
        <v>377</v>
      </c>
      <c r="B739" s="44" t="s">
        <v>378</v>
      </c>
      <c r="C739" s="44" t="s">
        <v>120</v>
      </c>
      <c r="D739" s="85">
        <v>10104953751</v>
      </c>
      <c r="E739" s="44" t="s">
        <v>1375</v>
      </c>
      <c r="F739" s="44" t="s">
        <v>500</v>
      </c>
      <c r="G739" s="44" t="s">
        <v>448</v>
      </c>
      <c r="H739" s="44" t="s">
        <v>223</v>
      </c>
      <c r="I739" s="48" t="s">
        <v>481</v>
      </c>
      <c r="J739" s="45">
        <v>42788</v>
      </c>
      <c r="K739" s="45">
        <v>42788</v>
      </c>
      <c r="L739" s="45"/>
    </row>
    <row r="740" spans="1:12" ht="18" customHeight="1">
      <c r="A740" s="43" t="s">
        <v>377</v>
      </c>
      <c r="B740" s="44" t="s">
        <v>378</v>
      </c>
      <c r="C740" s="44" t="s">
        <v>120</v>
      </c>
      <c r="D740" s="85">
        <v>10104956307</v>
      </c>
      <c r="E740" s="44" t="s">
        <v>628</v>
      </c>
      <c r="F740" s="44" t="s">
        <v>180</v>
      </c>
      <c r="G740" s="44" t="s">
        <v>448</v>
      </c>
      <c r="H740" s="44" t="s">
        <v>223</v>
      </c>
      <c r="I740" s="48" t="s">
        <v>481</v>
      </c>
      <c r="J740" s="45">
        <v>42786</v>
      </c>
      <c r="K740" s="45">
        <v>42796</v>
      </c>
      <c r="L740" s="45">
        <v>42768</v>
      </c>
    </row>
    <row r="741" spans="1:12" ht="18" customHeight="1">
      <c r="A741" s="43" t="s">
        <v>377</v>
      </c>
      <c r="B741" s="44" t="s">
        <v>378</v>
      </c>
      <c r="C741" s="44" t="s">
        <v>120</v>
      </c>
      <c r="D741" s="85">
        <v>10104958490</v>
      </c>
      <c r="E741" s="44" t="s">
        <v>715</v>
      </c>
      <c r="F741" s="44" t="s">
        <v>180</v>
      </c>
      <c r="G741" s="44" t="s">
        <v>448</v>
      </c>
      <c r="H741" s="44" t="s">
        <v>223</v>
      </c>
      <c r="I741" s="48" t="s">
        <v>481</v>
      </c>
      <c r="J741" s="45">
        <v>42788</v>
      </c>
      <c r="K741" s="45">
        <v>42796</v>
      </c>
      <c r="L741" s="45">
        <v>42768</v>
      </c>
    </row>
    <row r="742" spans="1:12" ht="18" customHeight="1">
      <c r="A742" s="43" t="s">
        <v>377</v>
      </c>
      <c r="B742" s="44" t="s">
        <v>378</v>
      </c>
      <c r="C742" s="44" t="s">
        <v>120</v>
      </c>
      <c r="D742" s="85">
        <v>10104955268</v>
      </c>
      <c r="E742" s="44" t="s">
        <v>625</v>
      </c>
      <c r="F742" s="44" t="s">
        <v>180</v>
      </c>
      <c r="G742" s="44" t="s">
        <v>448</v>
      </c>
      <c r="H742" s="44" t="s">
        <v>223</v>
      </c>
      <c r="I742" s="48" t="s">
        <v>481</v>
      </c>
      <c r="J742" s="45">
        <v>42785</v>
      </c>
      <c r="K742" s="45">
        <v>42796</v>
      </c>
      <c r="L742" s="45">
        <v>42768</v>
      </c>
    </row>
    <row r="743" spans="1:12" ht="18" customHeight="1">
      <c r="A743" s="43" t="s">
        <v>377</v>
      </c>
      <c r="B743" s="44" t="s">
        <v>378</v>
      </c>
      <c r="C743" s="44" t="s">
        <v>120</v>
      </c>
      <c r="D743" s="85">
        <v>10104958438</v>
      </c>
      <c r="E743" s="44" t="s">
        <v>627</v>
      </c>
      <c r="F743" s="44" t="s">
        <v>180</v>
      </c>
      <c r="G743" s="44" t="s">
        <v>448</v>
      </c>
      <c r="H743" s="44" t="s">
        <v>223</v>
      </c>
      <c r="I743" s="48" t="s">
        <v>481</v>
      </c>
      <c r="J743" s="45">
        <v>42788</v>
      </c>
      <c r="K743" s="45">
        <v>42796</v>
      </c>
      <c r="L743" s="45">
        <v>42768</v>
      </c>
    </row>
    <row r="744" spans="1:12" ht="18" customHeight="1">
      <c r="A744" s="43" t="s">
        <v>377</v>
      </c>
      <c r="B744" s="44" t="s">
        <v>378</v>
      </c>
      <c r="C744" s="44" t="s">
        <v>120</v>
      </c>
      <c r="D744" s="85">
        <v>10104958467</v>
      </c>
      <c r="E744" s="44" t="s">
        <v>714</v>
      </c>
      <c r="F744" s="44" t="s">
        <v>180</v>
      </c>
      <c r="G744" s="44" t="s">
        <v>448</v>
      </c>
      <c r="H744" s="44" t="s">
        <v>223</v>
      </c>
      <c r="I744" s="48" t="s">
        <v>481</v>
      </c>
      <c r="J744" s="45">
        <v>42788</v>
      </c>
      <c r="K744" s="45">
        <v>42796</v>
      </c>
      <c r="L744" s="45">
        <v>42768</v>
      </c>
    </row>
    <row r="745" spans="1:12" ht="18" customHeight="1">
      <c r="A745" s="43" t="s">
        <v>377</v>
      </c>
      <c r="B745" s="44" t="s">
        <v>378</v>
      </c>
      <c r="C745" s="44" t="s">
        <v>120</v>
      </c>
      <c r="D745" s="85">
        <v>10104959487</v>
      </c>
      <c r="E745" s="44" t="s">
        <v>590</v>
      </c>
      <c r="F745" s="44" t="s">
        <v>180</v>
      </c>
      <c r="G745" s="44" t="s">
        <v>448</v>
      </c>
      <c r="H745" s="44" t="s">
        <v>223</v>
      </c>
      <c r="I745" s="48" t="s">
        <v>481</v>
      </c>
      <c r="J745" s="45">
        <v>42789</v>
      </c>
      <c r="K745" s="45">
        <v>42796</v>
      </c>
      <c r="L745" s="45">
        <v>42768</v>
      </c>
    </row>
    <row r="746" spans="1:12" ht="18" customHeight="1">
      <c r="A746" s="43" t="s">
        <v>377</v>
      </c>
      <c r="B746" s="44" t="s">
        <v>378</v>
      </c>
      <c r="C746" s="44" t="s">
        <v>120</v>
      </c>
      <c r="D746" s="85">
        <v>10104896254</v>
      </c>
      <c r="E746" s="44" t="s">
        <v>1376</v>
      </c>
      <c r="F746" s="44" t="s">
        <v>180</v>
      </c>
      <c r="G746" s="44" t="s">
        <v>1377</v>
      </c>
      <c r="H746" s="44" t="s">
        <v>223</v>
      </c>
      <c r="I746" s="48" t="s">
        <v>481</v>
      </c>
      <c r="J746" s="45">
        <v>42790</v>
      </c>
      <c r="K746" s="45">
        <v>42790</v>
      </c>
      <c r="L746" s="45">
        <v>42788</v>
      </c>
    </row>
    <row r="747" spans="1:12" ht="18" customHeight="1">
      <c r="A747" s="43" t="s">
        <v>377</v>
      </c>
      <c r="B747" s="44" t="s">
        <v>378</v>
      </c>
      <c r="C747" s="44" t="s">
        <v>120</v>
      </c>
      <c r="D747" s="85">
        <v>10104955236</v>
      </c>
      <c r="E747" s="44" t="s">
        <v>1378</v>
      </c>
      <c r="F747" s="44" t="s">
        <v>180</v>
      </c>
      <c r="G747" s="44" t="s">
        <v>591</v>
      </c>
      <c r="H747" s="44" t="s">
        <v>223</v>
      </c>
      <c r="I747" s="48" t="s">
        <v>481</v>
      </c>
      <c r="J747" s="45">
        <v>42789</v>
      </c>
      <c r="K747" s="45">
        <v>42796</v>
      </c>
      <c r="L747" s="45">
        <v>42794</v>
      </c>
    </row>
    <row r="748" spans="1:12" ht="18" customHeight="1">
      <c r="A748" s="43" t="s">
        <v>377</v>
      </c>
      <c r="B748" s="44" t="s">
        <v>378</v>
      </c>
      <c r="C748" s="44" t="s">
        <v>120</v>
      </c>
      <c r="D748" s="85">
        <v>10104962400</v>
      </c>
      <c r="E748" s="44" t="s">
        <v>1379</v>
      </c>
      <c r="F748" s="44" t="s">
        <v>180</v>
      </c>
      <c r="G748" s="44" t="s">
        <v>593</v>
      </c>
      <c r="H748" s="44" t="s">
        <v>223</v>
      </c>
      <c r="I748" s="48" t="s">
        <v>481</v>
      </c>
      <c r="J748" s="45">
        <v>42793</v>
      </c>
      <c r="K748" s="45">
        <v>42796</v>
      </c>
      <c r="L748" s="45">
        <v>42794</v>
      </c>
    </row>
    <row r="749" spans="1:12" ht="18" customHeight="1">
      <c r="A749" s="43" t="s">
        <v>377</v>
      </c>
      <c r="B749" s="44" t="s">
        <v>378</v>
      </c>
      <c r="C749" s="44" t="s">
        <v>120</v>
      </c>
      <c r="D749" s="85">
        <v>10104963899</v>
      </c>
      <c r="E749" s="44" t="s">
        <v>674</v>
      </c>
      <c r="F749" s="44" t="s">
        <v>180</v>
      </c>
      <c r="G749" s="44" t="s">
        <v>593</v>
      </c>
      <c r="H749" s="44" t="s">
        <v>223</v>
      </c>
      <c r="I749" s="48" t="s">
        <v>481</v>
      </c>
      <c r="J749" s="45">
        <v>42792</v>
      </c>
      <c r="K749" s="45">
        <v>42796</v>
      </c>
      <c r="L749" s="45">
        <v>42786</v>
      </c>
    </row>
    <row r="750" spans="1:12" ht="18" customHeight="1">
      <c r="A750" s="43" t="s">
        <v>377</v>
      </c>
      <c r="B750" s="44" t="s">
        <v>378</v>
      </c>
      <c r="C750" s="44" t="s">
        <v>120</v>
      </c>
      <c r="D750" s="85">
        <v>10104963901</v>
      </c>
      <c r="E750" s="44" t="s">
        <v>678</v>
      </c>
      <c r="F750" s="44" t="s">
        <v>180</v>
      </c>
      <c r="G750" s="44" t="s">
        <v>593</v>
      </c>
      <c r="H750" s="44" t="s">
        <v>223</v>
      </c>
      <c r="I750" s="48" t="s">
        <v>481</v>
      </c>
      <c r="J750" s="45">
        <v>42792</v>
      </c>
      <c r="K750" s="45">
        <v>42796</v>
      </c>
      <c r="L750" s="45">
        <v>42786</v>
      </c>
    </row>
    <row r="751" spans="1:12" ht="18" customHeight="1">
      <c r="A751" s="43" t="s">
        <v>377</v>
      </c>
      <c r="B751" s="44" t="s">
        <v>378</v>
      </c>
      <c r="C751" s="44" t="s">
        <v>120</v>
      </c>
      <c r="D751" s="85">
        <v>10104957560</v>
      </c>
      <c r="E751" s="44" t="s">
        <v>1380</v>
      </c>
      <c r="F751" s="44" t="s">
        <v>180</v>
      </c>
      <c r="G751" s="44" t="s">
        <v>593</v>
      </c>
      <c r="H751" s="44" t="s">
        <v>223</v>
      </c>
      <c r="I751" s="48" t="s">
        <v>481</v>
      </c>
      <c r="J751" s="45">
        <v>42791</v>
      </c>
      <c r="K751" s="45">
        <v>42796</v>
      </c>
      <c r="L751" s="45">
        <v>42794</v>
      </c>
    </row>
    <row r="752" spans="1:12" ht="18" customHeight="1">
      <c r="A752" s="43" t="s">
        <v>377</v>
      </c>
      <c r="B752" s="44" t="s">
        <v>378</v>
      </c>
      <c r="C752" s="44" t="s">
        <v>120</v>
      </c>
      <c r="D752" s="85">
        <v>10104953725</v>
      </c>
      <c r="E752" s="44" t="s">
        <v>1381</v>
      </c>
      <c r="F752" s="44" t="s">
        <v>180</v>
      </c>
      <c r="G752" s="44" t="s">
        <v>594</v>
      </c>
      <c r="H752" s="44" t="s">
        <v>223</v>
      </c>
      <c r="I752" s="48" t="s">
        <v>481</v>
      </c>
      <c r="J752" s="45">
        <v>42788</v>
      </c>
      <c r="K752" s="45">
        <v>42796</v>
      </c>
      <c r="L752" s="45">
        <v>42794</v>
      </c>
    </row>
    <row r="753" spans="1:12" ht="18" customHeight="1">
      <c r="A753" s="43" t="s">
        <v>377</v>
      </c>
      <c r="B753" s="44" t="s">
        <v>378</v>
      </c>
      <c r="C753" s="44" t="s">
        <v>120</v>
      </c>
      <c r="D753" s="85">
        <v>10104955270</v>
      </c>
      <c r="E753" s="44" t="s">
        <v>1382</v>
      </c>
      <c r="F753" s="44" t="s">
        <v>180</v>
      </c>
      <c r="G753" s="44" t="s">
        <v>594</v>
      </c>
      <c r="H753" s="44" t="s">
        <v>223</v>
      </c>
      <c r="I753" s="48" t="s">
        <v>481</v>
      </c>
      <c r="J753" s="45">
        <v>42789</v>
      </c>
      <c r="K753" s="45">
        <v>42796</v>
      </c>
      <c r="L753" s="45">
        <v>42794</v>
      </c>
    </row>
    <row r="754" spans="1:12" ht="18" customHeight="1">
      <c r="A754" s="43" t="s">
        <v>377</v>
      </c>
      <c r="B754" s="44" t="s">
        <v>378</v>
      </c>
      <c r="C754" s="44" t="s">
        <v>120</v>
      </c>
      <c r="D754" s="85">
        <v>10104938608</v>
      </c>
      <c r="E754" s="44" t="s">
        <v>1383</v>
      </c>
      <c r="F754" s="44" t="s">
        <v>180</v>
      </c>
      <c r="G754" s="44" t="s">
        <v>1384</v>
      </c>
      <c r="H754" s="44" t="s">
        <v>223</v>
      </c>
      <c r="I754" s="48" t="s">
        <v>481</v>
      </c>
      <c r="J754" s="45">
        <v>42787</v>
      </c>
      <c r="K754" s="45">
        <v>42790</v>
      </c>
      <c r="L754" s="45">
        <v>42780</v>
      </c>
    </row>
    <row r="755" spans="1:12" ht="18" customHeight="1">
      <c r="A755" s="43" t="s">
        <v>377</v>
      </c>
      <c r="B755" s="44" t="s">
        <v>378</v>
      </c>
      <c r="C755" s="44" t="s">
        <v>120</v>
      </c>
      <c r="D755" s="85">
        <v>10104961080</v>
      </c>
      <c r="E755" s="44" t="s">
        <v>681</v>
      </c>
      <c r="F755" s="44" t="s">
        <v>180</v>
      </c>
      <c r="G755" s="44" t="s">
        <v>680</v>
      </c>
      <c r="H755" s="44" t="s">
        <v>223</v>
      </c>
      <c r="I755" s="48" t="s">
        <v>481</v>
      </c>
      <c r="J755" s="45">
        <v>42790</v>
      </c>
      <c r="K755" s="45">
        <v>42796</v>
      </c>
      <c r="L755" s="45">
        <v>42786</v>
      </c>
    </row>
    <row r="756" spans="1:12" ht="18" customHeight="1">
      <c r="A756" s="43" t="s">
        <v>377</v>
      </c>
      <c r="B756" s="44" t="s">
        <v>380</v>
      </c>
      <c r="C756" s="44" t="s">
        <v>120</v>
      </c>
      <c r="D756" s="85">
        <v>10104877406</v>
      </c>
      <c r="E756" s="44" t="s">
        <v>1385</v>
      </c>
      <c r="F756" s="44" t="s">
        <v>891</v>
      </c>
      <c r="G756" s="44" t="s">
        <v>1386</v>
      </c>
      <c r="H756" s="44" t="s">
        <v>74</v>
      </c>
      <c r="I756" s="48" t="s">
        <v>481</v>
      </c>
      <c r="J756" s="45">
        <v>42792</v>
      </c>
      <c r="K756" s="45">
        <v>42792</v>
      </c>
      <c r="L756" s="45"/>
    </row>
    <row r="757" spans="1:12" ht="18" customHeight="1">
      <c r="A757" s="43" t="s">
        <v>377</v>
      </c>
      <c r="B757" s="44" t="s">
        <v>380</v>
      </c>
      <c r="C757" s="44" t="s">
        <v>120</v>
      </c>
      <c r="D757" s="85">
        <v>10104934057</v>
      </c>
      <c r="E757" s="44" t="s">
        <v>1387</v>
      </c>
      <c r="F757" s="44" t="s">
        <v>180</v>
      </c>
      <c r="G757" s="44" t="s">
        <v>422</v>
      </c>
      <c r="H757" s="44" t="s">
        <v>74</v>
      </c>
      <c r="I757" s="48" t="s">
        <v>481</v>
      </c>
      <c r="J757" s="45">
        <v>42776</v>
      </c>
      <c r="K757" s="45">
        <v>42776</v>
      </c>
      <c r="L757" s="45">
        <v>42772</v>
      </c>
    </row>
    <row r="758" spans="1:12" ht="18" customHeight="1">
      <c r="A758" s="43" t="s">
        <v>377</v>
      </c>
      <c r="B758" s="44" t="s">
        <v>380</v>
      </c>
      <c r="C758" s="44" t="s">
        <v>120</v>
      </c>
      <c r="D758" s="85">
        <v>10104933882</v>
      </c>
      <c r="E758" s="44" t="s">
        <v>803</v>
      </c>
      <c r="F758" s="44" t="s">
        <v>180</v>
      </c>
      <c r="G758" s="44" t="s">
        <v>422</v>
      </c>
      <c r="H758" s="44" t="s">
        <v>74</v>
      </c>
      <c r="I758" s="48" t="s">
        <v>481</v>
      </c>
      <c r="J758" s="45">
        <v>42776</v>
      </c>
      <c r="K758" s="45">
        <v>42776</v>
      </c>
      <c r="L758" s="45">
        <v>42772</v>
      </c>
    </row>
    <row r="759" spans="1:12" ht="18" customHeight="1">
      <c r="A759" s="43" t="s">
        <v>377</v>
      </c>
      <c r="B759" s="44" t="s">
        <v>380</v>
      </c>
      <c r="C759" s="44" t="s">
        <v>120</v>
      </c>
      <c r="D759" s="85">
        <v>10104933881</v>
      </c>
      <c r="E759" s="44" t="s">
        <v>682</v>
      </c>
      <c r="F759" s="44" t="s">
        <v>180</v>
      </c>
      <c r="G759" s="44" t="s">
        <v>422</v>
      </c>
      <c r="H759" s="44" t="s">
        <v>74</v>
      </c>
      <c r="I759" s="48" t="s">
        <v>481</v>
      </c>
      <c r="J759" s="45">
        <v>42776</v>
      </c>
      <c r="K759" s="45">
        <v>42776</v>
      </c>
      <c r="L759" s="45">
        <v>42772</v>
      </c>
    </row>
    <row r="760" spans="1:12" ht="18" customHeight="1">
      <c r="A760" s="43" t="s">
        <v>377</v>
      </c>
      <c r="B760" s="44" t="s">
        <v>380</v>
      </c>
      <c r="C760" s="44" t="s">
        <v>120</v>
      </c>
      <c r="D760" s="85">
        <v>10104932047</v>
      </c>
      <c r="E760" s="44" t="s">
        <v>1306</v>
      </c>
      <c r="F760" s="44" t="s">
        <v>890</v>
      </c>
      <c r="G760" s="44" t="s">
        <v>528</v>
      </c>
      <c r="H760" s="44" t="s">
        <v>74</v>
      </c>
      <c r="I760" s="48" t="s">
        <v>481</v>
      </c>
      <c r="J760" s="45">
        <v>42794</v>
      </c>
      <c r="K760" s="45">
        <v>42794</v>
      </c>
      <c r="L760" s="45"/>
    </row>
    <row r="761" spans="1:12" ht="18" customHeight="1">
      <c r="A761" s="43" t="s">
        <v>377</v>
      </c>
      <c r="B761" s="44" t="s">
        <v>380</v>
      </c>
      <c r="C761" s="44" t="s">
        <v>120</v>
      </c>
      <c r="D761" s="85">
        <v>10104896209</v>
      </c>
      <c r="E761" s="44" t="s">
        <v>902</v>
      </c>
      <c r="F761" s="44" t="s">
        <v>891</v>
      </c>
      <c r="G761" s="44" t="s">
        <v>1388</v>
      </c>
      <c r="H761" s="44" t="s">
        <v>74</v>
      </c>
      <c r="I761" s="48" t="s">
        <v>481</v>
      </c>
      <c r="J761" s="45">
        <v>42792</v>
      </c>
      <c r="K761" s="45">
        <v>42792</v>
      </c>
      <c r="L761" s="45"/>
    </row>
    <row r="762" spans="1:12" ht="18" customHeight="1">
      <c r="A762" s="43" t="s">
        <v>377</v>
      </c>
      <c r="B762" s="44" t="s">
        <v>380</v>
      </c>
      <c r="C762" s="44" t="s">
        <v>120</v>
      </c>
      <c r="D762" s="85">
        <v>10104930778</v>
      </c>
      <c r="E762" s="44" t="s">
        <v>1389</v>
      </c>
      <c r="F762" s="44" t="s">
        <v>180</v>
      </c>
      <c r="G762" s="44" t="s">
        <v>948</v>
      </c>
      <c r="H762" s="44" t="s">
        <v>74</v>
      </c>
      <c r="I762" s="48" t="s">
        <v>481</v>
      </c>
      <c r="J762" s="45">
        <v>42776</v>
      </c>
      <c r="K762" s="45">
        <v>42776</v>
      </c>
      <c r="L762" s="45">
        <v>42776</v>
      </c>
    </row>
    <row r="763" spans="1:12" ht="18" customHeight="1">
      <c r="A763" s="43" t="s">
        <v>377</v>
      </c>
      <c r="B763" s="44" t="s">
        <v>379</v>
      </c>
      <c r="C763" s="44" t="s">
        <v>120</v>
      </c>
      <c r="D763" s="85">
        <v>10104913389</v>
      </c>
      <c r="E763" s="44" t="s">
        <v>1390</v>
      </c>
      <c r="F763" s="44" t="s">
        <v>180</v>
      </c>
      <c r="G763" s="44" t="s">
        <v>903</v>
      </c>
      <c r="H763" s="44" t="s">
        <v>332</v>
      </c>
      <c r="I763" s="48" t="s">
        <v>482</v>
      </c>
      <c r="J763" s="45">
        <v>42777</v>
      </c>
      <c r="K763" s="45">
        <v>42777</v>
      </c>
      <c r="L763" s="45">
        <v>42776</v>
      </c>
    </row>
    <row r="764" spans="1:12" ht="18" customHeight="1">
      <c r="A764" s="43" t="s">
        <v>377</v>
      </c>
      <c r="B764" s="44" t="s">
        <v>378</v>
      </c>
      <c r="C764" s="44" t="s">
        <v>120</v>
      </c>
      <c r="D764" s="85">
        <v>10104937008</v>
      </c>
      <c r="E764" s="44" t="s">
        <v>1391</v>
      </c>
      <c r="F764" s="44" t="s">
        <v>180</v>
      </c>
      <c r="G764" s="44" t="s">
        <v>578</v>
      </c>
      <c r="H764" s="44" t="s">
        <v>223</v>
      </c>
      <c r="I764" s="48" t="s">
        <v>481</v>
      </c>
      <c r="J764" s="45">
        <v>42786</v>
      </c>
      <c r="K764" s="45">
        <v>42790</v>
      </c>
      <c r="L764" s="45">
        <v>42775</v>
      </c>
    </row>
    <row r="765" spans="1:12" ht="18" customHeight="1">
      <c r="A765" s="43" t="s">
        <v>377</v>
      </c>
      <c r="B765" s="44" t="s">
        <v>378</v>
      </c>
      <c r="C765" s="44" t="s">
        <v>120</v>
      </c>
      <c r="D765" s="85">
        <v>10104930800</v>
      </c>
      <c r="E765" s="44" t="s">
        <v>1392</v>
      </c>
      <c r="F765" s="44" t="s">
        <v>180</v>
      </c>
      <c r="G765" s="44" t="s">
        <v>427</v>
      </c>
      <c r="H765" s="44" t="s">
        <v>223</v>
      </c>
      <c r="I765" s="48" t="s">
        <v>481</v>
      </c>
      <c r="J765" s="45">
        <v>42790</v>
      </c>
      <c r="K765" s="45">
        <v>42790</v>
      </c>
      <c r="L765" s="45">
        <v>42769</v>
      </c>
    </row>
    <row r="766" spans="1:12" ht="18" customHeight="1">
      <c r="A766" s="43" t="s">
        <v>377</v>
      </c>
      <c r="B766" s="44" t="s">
        <v>378</v>
      </c>
      <c r="C766" s="44" t="s">
        <v>120</v>
      </c>
      <c r="D766" s="85">
        <v>10104930797</v>
      </c>
      <c r="E766" s="44" t="s">
        <v>1393</v>
      </c>
      <c r="F766" s="44" t="s">
        <v>180</v>
      </c>
      <c r="G766" s="44" t="s">
        <v>428</v>
      </c>
      <c r="H766" s="44" t="s">
        <v>223</v>
      </c>
      <c r="I766" s="48" t="s">
        <v>481</v>
      </c>
      <c r="J766" s="45">
        <v>42790</v>
      </c>
      <c r="K766" s="45">
        <v>42790</v>
      </c>
      <c r="L766" s="45">
        <v>42769</v>
      </c>
    </row>
    <row r="767" spans="1:12" ht="18" customHeight="1">
      <c r="A767" s="43" t="s">
        <v>377</v>
      </c>
      <c r="B767" s="44" t="s">
        <v>379</v>
      </c>
      <c r="C767" s="44" t="s">
        <v>120</v>
      </c>
      <c r="D767" s="85">
        <v>10104914404</v>
      </c>
      <c r="E767" s="44" t="s">
        <v>516</v>
      </c>
      <c r="F767" s="44" t="s">
        <v>216</v>
      </c>
      <c r="G767" s="44" t="s">
        <v>517</v>
      </c>
      <c r="H767" s="44" t="s">
        <v>76</v>
      </c>
      <c r="I767" s="48" t="s">
        <v>482</v>
      </c>
      <c r="J767" s="45">
        <v>42779</v>
      </c>
      <c r="K767" s="45">
        <v>42779</v>
      </c>
      <c r="L767" s="45"/>
    </row>
    <row r="768" spans="1:12" ht="18" customHeight="1">
      <c r="A768" s="43" t="s">
        <v>377</v>
      </c>
      <c r="B768" s="44" t="s">
        <v>379</v>
      </c>
      <c r="C768" s="44" t="s">
        <v>120</v>
      </c>
      <c r="D768" s="85">
        <v>10104913388</v>
      </c>
      <c r="E768" s="44" t="s">
        <v>1394</v>
      </c>
      <c r="F768" s="44" t="s">
        <v>222</v>
      </c>
      <c r="G768" s="44" t="s">
        <v>1395</v>
      </c>
      <c r="H768" s="44" t="s">
        <v>332</v>
      </c>
      <c r="I768" s="48" t="s">
        <v>482</v>
      </c>
      <c r="J768" s="45">
        <v>42774</v>
      </c>
      <c r="K768" s="45">
        <v>42774</v>
      </c>
      <c r="L768" s="45">
        <v>42774</v>
      </c>
    </row>
    <row r="769" spans="1:12" ht="18" customHeight="1">
      <c r="A769" s="43" t="s">
        <v>377</v>
      </c>
      <c r="B769" s="44" t="s">
        <v>378</v>
      </c>
      <c r="C769" s="44" t="s">
        <v>120</v>
      </c>
      <c r="D769" s="85">
        <v>10104963902</v>
      </c>
      <c r="E769" s="44" t="s">
        <v>683</v>
      </c>
      <c r="F769" s="44" t="s">
        <v>180</v>
      </c>
      <c r="G769" s="44" t="s">
        <v>637</v>
      </c>
      <c r="H769" s="44" t="s">
        <v>223</v>
      </c>
      <c r="I769" s="48" t="s">
        <v>481</v>
      </c>
      <c r="J769" s="45">
        <v>42792</v>
      </c>
      <c r="K769" s="45">
        <v>42796</v>
      </c>
      <c r="L769" s="45">
        <v>42786</v>
      </c>
    </row>
    <row r="770" spans="1:12" ht="18" customHeight="1">
      <c r="A770" s="43" t="s">
        <v>377</v>
      </c>
      <c r="B770" s="44" t="s">
        <v>378</v>
      </c>
      <c r="C770" s="44" t="s">
        <v>120</v>
      </c>
      <c r="D770" s="85">
        <v>10104962399</v>
      </c>
      <c r="E770" s="44" t="s">
        <v>686</v>
      </c>
      <c r="F770" s="44" t="s">
        <v>180</v>
      </c>
      <c r="G770" s="44" t="s">
        <v>637</v>
      </c>
      <c r="H770" s="44" t="s">
        <v>223</v>
      </c>
      <c r="I770" s="48" t="s">
        <v>481</v>
      </c>
      <c r="J770" s="45">
        <v>42791</v>
      </c>
      <c r="K770" s="45">
        <v>42796</v>
      </c>
      <c r="L770" s="45">
        <v>42786</v>
      </c>
    </row>
    <row r="771" spans="1:12" ht="18" customHeight="1">
      <c r="A771" s="43" t="s">
        <v>377</v>
      </c>
      <c r="B771" s="44" t="s">
        <v>378</v>
      </c>
      <c r="C771" s="44" t="s">
        <v>120</v>
      </c>
      <c r="D771" s="85">
        <v>10104963900</v>
      </c>
      <c r="E771" s="44" t="s">
        <v>685</v>
      </c>
      <c r="F771" s="44" t="s">
        <v>180</v>
      </c>
      <c r="G771" s="44" t="s">
        <v>637</v>
      </c>
      <c r="H771" s="44" t="s">
        <v>223</v>
      </c>
      <c r="I771" s="48" t="s">
        <v>481</v>
      </c>
      <c r="J771" s="45">
        <v>42792</v>
      </c>
      <c r="K771" s="45">
        <v>42796</v>
      </c>
      <c r="L771" s="45">
        <v>42786</v>
      </c>
    </row>
    <row r="772" spans="1:12" ht="18" customHeight="1">
      <c r="A772" s="43" t="s">
        <v>377</v>
      </c>
      <c r="B772" s="44" t="s">
        <v>378</v>
      </c>
      <c r="C772" s="44" t="s">
        <v>120</v>
      </c>
      <c r="D772" s="85">
        <v>10104962388</v>
      </c>
      <c r="E772" s="44" t="s">
        <v>684</v>
      </c>
      <c r="F772" s="44" t="s">
        <v>180</v>
      </c>
      <c r="G772" s="44" t="s">
        <v>637</v>
      </c>
      <c r="H772" s="44" t="s">
        <v>223</v>
      </c>
      <c r="I772" s="48" t="s">
        <v>481</v>
      </c>
      <c r="J772" s="45">
        <v>42791</v>
      </c>
      <c r="K772" s="45">
        <v>42796</v>
      </c>
      <c r="L772" s="45">
        <v>42786</v>
      </c>
    </row>
    <row r="773" spans="1:12" ht="18" customHeight="1">
      <c r="A773" s="43" t="s">
        <v>377</v>
      </c>
      <c r="B773" s="44" t="s">
        <v>378</v>
      </c>
      <c r="C773" s="44" t="s">
        <v>120</v>
      </c>
      <c r="D773" s="85">
        <v>10104957567</v>
      </c>
      <c r="E773" s="44" t="s">
        <v>1396</v>
      </c>
      <c r="F773" s="44" t="s">
        <v>180</v>
      </c>
      <c r="G773" s="44" t="s">
        <v>637</v>
      </c>
      <c r="H773" s="44" t="s">
        <v>223</v>
      </c>
      <c r="I773" s="48" t="s">
        <v>481</v>
      </c>
      <c r="J773" s="45">
        <v>42791</v>
      </c>
      <c r="K773" s="45">
        <v>42796</v>
      </c>
      <c r="L773" s="45">
        <v>42786</v>
      </c>
    </row>
    <row r="774" spans="1:12" ht="18" customHeight="1">
      <c r="A774" s="43" t="s">
        <v>450</v>
      </c>
      <c r="B774" s="44" t="s">
        <v>451</v>
      </c>
      <c r="C774" s="44" t="s">
        <v>73</v>
      </c>
      <c r="D774" s="85">
        <v>10104930946</v>
      </c>
      <c r="E774" s="44" t="s">
        <v>571</v>
      </c>
      <c r="F774" s="44" t="s">
        <v>829</v>
      </c>
      <c r="G774" s="44" t="s">
        <v>531</v>
      </c>
      <c r="H774" s="44" t="s">
        <v>76</v>
      </c>
      <c r="I774" s="48" t="s">
        <v>482</v>
      </c>
      <c r="J774" s="45">
        <v>42770</v>
      </c>
      <c r="K774" s="45">
        <v>42776</v>
      </c>
      <c r="L774" s="45"/>
    </row>
    <row r="775" spans="1:12" ht="18" customHeight="1">
      <c r="A775" s="43" t="s">
        <v>450</v>
      </c>
      <c r="B775" s="44" t="s">
        <v>451</v>
      </c>
      <c r="C775" s="44" t="s">
        <v>73</v>
      </c>
      <c r="D775" s="85">
        <v>10104956486</v>
      </c>
      <c r="E775" s="44" t="s">
        <v>530</v>
      </c>
      <c r="F775" s="44" t="s">
        <v>829</v>
      </c>
      <c r="G775" s="44" t="s">
        <v>531</v>
      </c>
      <c r="H775" s="44" t="s">
        <v>76</v>
      </c>
      <c r="I775" s="48" t="s">
        <v>482</v>
      </c>
      <c r="J775" s="45">
        <v>42791</v>
      </c>
      <c r="K775" s="45">
        <v>42796</v>
      </c>
      <c r="L775" s="45"/>
    </row>
    <row r="776" spans="1:12" ht="18" customHeight="1">
      <c r="A776" s="43" t="s">
        <v>450</v>
      </c>
      <c r="B776" s="44" t="s">
        <v>451</v>
      </c>
      <c r="C776" s="44" t="s">
        <v>73</v>
      </c>
      <c r="D776" s="85">
        <v>10104939724</v>
      </c>
      <c r="E776" s="44" t="s">
        <v>530</v>
      </c>
      <c r="F776" s="44" t="s">
        <v>829</v>
      </c>
      <c r="G776" s="44" t="s">
        <v>531</v>
      </c>
      <c r="H776" s="44" t="s">
        <v>76</v>
      </c>
      <c r="I776" s="48" t="s">
        <v>482</v>
      </c>
      <c r="J776" s="45">
        <v>42777</v>
      </c>
      <c r="K776" s="45">
        <v>42791</v>
      </c>
      <c r="L776" s="45"/>
    </row>
    <row r="777" spans="1:12" ht="18" customHeight="1">
      <c r="A777" s="43" t="s">
        <v>450</v>
      </c>
      <c r="B777" s="44" t="s">
        <v>451</v>
      </c>
      <c r="C777" s="44" t="s">
        <v>73</v>
      </c>
      <c r="D777" s="85">
        <v>10104947881</v>
      </c>
      <c r="E777" s="44" t="s">
        <v>571</v>
      </c>
      <c r="F777" s="44" t="s">
        <v>829</v>
      </c>
      <c r="G777" s="44" t="s">
        <v>531</v>
      </c>
      <c r="H777" s="44" t="s">
        <v>76</v>
      </c>
      <c r="I777" s="48" t="s">
        <v>482</v>
      </c>
      <c r="J777" s="45">
        <v>42784</v>
      </c>
      <c r="K777" s="45">
        <v>42791</v>
      </c>
      <c r="L777" s="45"/>
    </row>
    <row r="778" spans="1:12" ht="18" customHeight="1">
      <c r="A778" s="43" t="s">
        <v>450</v>
      </c>
      <c r="B778" s="44" t="s">
        <v>451</v>
      </c>
      <c r="C778" s="44" t="s">
        <v>73</v>
      </c>
      <c r="D778" s="85">
        <v>10104932032</v>
      </c>
      <c r="E778" s="44" t="s">
        <v>1397</v>
      </c>
      <c r="F778" s="44" t="s">
        <v>146</v>
      </c>
      <c r="G778" s="44" t="s">
        <v>315</v>
      </c>
      <c r="H778" s="44" t="s">
        <v>76</v>
      </c>
      <c r="I778" s="48" t="s">
        <v>482</v>
      </c>
      <c r="J778" s="45">
        <v>42770</v>
      </c>
      <c r="K778" s="45">
        <v>42776</v>
      </c>
      <c r="L778" s="45"/>
    </row>
    <row r="779" spans="1:12" ht="18" customHeight="1">
      <c r="A779" s="43" t="s">
        <v>450</v>
      </c>
      <c r="B779" s="44" t="s">
        <v>451</v>
      </c>
      <c r="C779" s="44" t="s">
        <v>73</v>
      </c>
      <c r="D779" s="85">
        <v>10104947746</v>
      </c>
      <c r="E779" s="44" t="s">
        <v>532</v>
      </c>
      <c r="F779" s="44" t="s">
        <v>146</v>
      </c>
      <c r="G779" s="44" t="s">
        <v>315</v>
      </c>
      <c r="H779" s="44" t="s">
        <v>76</v>
      </c>
      <c r="I779" s="48" t="s">
        <v>482</v>
      </c>
      <c r="J779" s="45">
        <v>42784</v>
      </c>
      <c r="K779" s="45">
        <v>42791</v>
      </c>
      <c r="L779" s="45"/>
    </row>
    <row r="780" spans="1:12" ht="18" customHeight="1">
      <c r="A780" s="43" t="s">
        <v>450</v>
      </c>
      <c r="B780" s="44" t="s">
        <v>451</v>
      </c>
      <c r="C780" s="44" t="s">
        <v>73</v>
      </c>
      <c r="D780" s="85">
        <v>10104939590</v>
      </c>
      <c r="E780" s="44" t="s">
        <v>532</v>
      </c>
      <c r="F780" s="44" t="s">
        <v>146</v>
      </c>
      <c r="G780" s="44" t="s">
        <v>315</v>
      </c>
      <c r="H780" s="44" t="s">
        <v>76</v>
      </c>
      <c r="I780" s="48" t="s">
        <v>482</v>
      </c>
      <c r="J780" s="45">
        <v>42777</v>
      </c>
      <c r="K780" s="45">
        <v>42791</v>
      </c>
      <c r="L780" s="45"/>
    </row>
    <row r="781" spans="1:12" ht="18" customHeight="1">
      <c r="A781" s="43" t="s">
        <v>450</v>
      </c>
      <c r="B781" s="44" t="s">
        <v>451</v>
      </c>
      <c r="C781" s="44" t="s">
        <v>73</v>
      </c>
      <c r="D781" s="85">
        <v>10104956295</v>
      </c>
      <c r="E781" s="44" t="s">
        <v>532</v>
      </c>
      <c r="F781" s="44" t="s">
        <v>146</v>
      </c>
      <c r="G781" s="44" t="s">
        <v>315</v>
      </c>
      <c r="H781" s="44" t="s">
        <v>76</v>
      </c>
      <c r="I781" s="48" t="s">
        <v>482</v>
      </c>
      <c r="J781" s="45">
        <v>42791</v>
      </c>
      <c r="K781" s="45">
        <v>42796</v>
      </c>
      <c r="L781" s="45"/>
    </row>
    <row r="782" spans="1:12" ht="18" customHeight="1">
      <c r="A782" s="43" t="s">
        <v>450</v>
      </c>
      <c r="B782" s="44" t="s">
        <v>451</v>
      </c>
      <c r="C782" s="44" t="s">
        <v>73</v>
      </c>
      <c r="D782" s="85">
        <v>10104939761</v>
      </c>
      <c r="E782" s="44" t="s">
        <v>534</v>
      </c>
      <c r="F782" s="44" t="s">
        <v>829</v>
      </c>
      <c r="G782" s="44" t="s">
        <v>452</v>
      </c>
      <c r="H782" s="44" t="s">
        <v>76</v>
      </c>
      <c r="I782" s="48" t="s">
        <v>482</v>
      </c>
      <c r="J782" s="45">
        <v>42777</v>
      </c>
      <c r="K782" s="45">
        <v>42791</v>
      </c>
      <c r="L782" s="45"/>
    </row>
    <row r="783" spans="1:12" ht="18" customHeight="1">
      <c r="A783" s="43" t="s">
        <v>450</v>
      </c>
      <c r="B783" s="44" t="s">
        <v>451</v>
      </c>
      <c r="C783" s="44" t="s">
        <v>73</v>
      </c>
      <c r="D783" s="85">
        <v>10104930983</v>
      </c>
      <c r="E783" s="44" t="s">
        <v>534</v>
      </c>
      <c r="F783" s="44" t="s">
        <v>829</v>
      </c>
      <c r="G783" s="44" t="s">
        <v>452</v>
      </c>
      <c r="H783" s="44" t="s">
        <v>76</v>
      </c>
      <c r="I783" s="48" t="s">
        <v>482</v>
      </c>
      <c r="J783" s="45">
        <v>42770</v>
      </c>
      <c r="K783" s="45">
        <v>42776</v>
      </c>
      <c r="L783" s="45"/>
    </row>
    <row r="784" spans="1:12" ht="18" customHeight="1">
      <c r="A784" s="43" t="s">
        <v>450</v>
      </c>
      <c r="B784" s="44" t="s">
        <v>451</v>
      </c>
      <c r="C784" s="44" t="s">
        <v>73</v>
      </c>
      <c r="D784" s="85">
        <v>10104947912</v>
      </c>
      <c r="E784" s="44" t="s">
        <v>534</v>
      </c>
      <c r="F784" s="44" t="s">
        <v>829</v>
      </c>
      <c r="G784" s="44" t="s">
        <v>452</v>
      </c>
      <c r="H784" s="44" t="s">
        <v>76</v>
      </c>
      <c r="I784" s="48" t="s">
        <v>482</v>
      </c>
      <c r="J784" s="45">
        <v>42784</v>
      </c>
      <c r="K784" s="45">
        <v>42791</v>
      </c>
      <c r="L784" s="45"/>
    </row>
    <row r="785" spans="1:12" ht="18" customHeight="1">
      <c r="A785" s="43" t="s">
        <v>450</v>
      </c>
      <c r="B785" s="44" t="s">
        <v>451</v>
      </c>
      <c r="C785" s="44" t="s">
        <v>73</v>
      </c>
      <c r="D785" s="85">
        <v>10104956506</v>
      </c>
      <c r="E785" s="44" t="s">
        <v>534</v>
      </c>
      <c r="F785" s="44" t="s">
        <v>829</v>
      </c>
      <c r="G785" s="44" t="s">
        <v>452</v>
      </c>
      <c r="H785" s="44" t="s">
        <v>76</v>
      </c>
      <c r="I785" s="48" t="s">
        <v>482</v>
      </c>
      <c r="J785" s="45">
        <v>42791</v>
      </c>
      <c r="K785" s="45">
        <v>42796</v>
      </c>
      <c r="L785" s="45"/>
    </row>
    <row r="786" spans="1:12" ht="18" customHeight="1">
      <c r="A786" s="43" t="s">
        <v>450</v>
      </c>
      <c r="B786" s="44" t="s">
        <v>451</v>
      </c>
      <c r="C786" s="44" t="s">
        <v>73</v>
      </c>
      <c r="D786" s="85">
        <v>10104947895</v>
      </c>
      <c r="E786" s="44" t="s">
        <v>824</v>
      </c>
      <c r="F786" s="44" t="s">
        <v>829</v>
      </c>
      <c r="G786" s="44" t="s">
        <v>178</v>
      </c>
      <c r="H786" s="44" t="s">
        <v>76</v>
      </c>
      <c r="I786" s="48" t="s">
        <v>482</v>
      </c>
      <c r="J786" s="45">
        <v>42784</v>
      </c>
      <c r="K786" s="45">
        <v>42791</v>
      </c>
      <c r="L786" s="45"/>
    </row>
    <row r="787" spans="1:12" ht="18" customHeight="1">
      <c r="A787" s="43" t="s">
        <v>450</v>
      </c>
      <c r="B787" s="44" t="s">
        <v>451</v>
      </c>
      <c r="C787" s="44" t="s">
        <v>73</v>
      </c>
      <c r="D787" s="85">
        <v>10104930962</v>
      </c>
      <c r="E787" s="44" t="s">
        <v>824</v>
      </c>
      <c r="F787" s="44" t="s">
        <v>829</v>
      </c>
      <c r="G787" s="44" t="s">
        <v>178</v>
      </c>
      <c r="H787" s="44" t="s">
        <v>76</v>
      </c>
      <c r="I787" s="48" t="s">
        <v>482</v>
      </c>
      <c r="J787" s="45">
        <v>42770</v>
      </c>
      <c r="K787" s="45">
        <v>42776</v>
      </c>
      <c r="L787" s="45"/>
    </row>
    <row r="788" spans="1:12" ht="18" customHeight="1">
      <c r="A788" s="43" t="s">
        <v>450</v>
      </c>
      <c r="B788" s="44" t="s">
        <v>451</v>
      </c>
      <c r="C788" s="44" t="s">
        <v>73</v>
      </c>
      <c r="D788" s="85">
        <v>10104939723</v>
      </c>
      <c r="E788" s="44" t="s">
        <v>536</v>
      </c>
      <c r="F788" s="44" t="s">
        <v>829</v>
      </c>
      <c r="G788" s="44" t="s">
        <v>496</v>
      </c>
      <c r="H788" s="44" t="s">
        <v>76</v>
      </c>
      <c r="I788" s="48" t="s">
        <v>482</v>
      </c>
      <c r="J788" s="45">
        <v>42777</v>
      </c>
      <c r="K788" s="45">
        <v>42791</v>
      </c>
      <c r="L788" s="45"/>
    </row>
    <row r="789" spans="1:12" ht="18" customHeight="1">
      <c r="A789" s="43" t="s">
        <v>450</v>
      </c>
      <c r="B789" s="44" t="s">
        <v>451</v>
      </c>
      <c r="C789" s="44" t="s">
        <v>73</v>
      </c>
      <c r="D789" s="85">
        <v>10104956485</v>
      </c>
      <c r="E789" s="44" t="s">
        <v>536</v>
      </c>
      <c r="F789" s="44" t="s">
        <v>829</v>
      </c>
      <c r="G789" s="44" t="s">
        <v>496</v>
      </c>
      <c r="H789" s="44" t="s">
        <v>76</v>
      </c>
      <c r="I789" s="48" t="s">
        <v>482</v>
      </c>
      <c r="J789" s="45">
        <v>42791</v>
      </c>
      <c r="K789" s="45">
        <v>42796</v>
      </c>
      <c r="L789" s="45"/>
    </row>
    <row r="790" spans="1:12" ht="18" customHeight="1">
      <c r="A790" s="43" t="s">
        <v>450</v>
      </c>
      <c r="B790" s="44" t="s">
        <v>179</v>
      </c>
      <c r="C790" s="44" t="s">
        <v>73</v>
      </c>
      <c r="D790" s="85">
        <v>10104939494</v>
      </c>
      <c r="E790" s="44" t="s">
        <v>757</v>
      </c>
      <c r="F790" s="44" t="s">
        <v>146</v>
      </c>
      <c r="G790" s="44" t="s">
        <v>211</v>
      </c>
      <c r="H790" s="44" t="s">
        <v>250</v>
      </c>
      <c r="I790" s="48" t="s">
        <v>482</v>
      </c>
      <c r="J790" s="45">
        <v>42777</v>
      </c>
      <c r="K790" s="45">
        <v>42791</v>
      </c>
      <c r="L790" s="45"/>
    </row>
    <row r="791" spans="1:12" ht="18" customHeight="1">
      <c r="A791" s="43" t="s">
        <v>450</v>
      </c>
      <c r="B791" s="44" t="s">
        <v>179</v>
      </c>
      <c r="C791" s="44" t="s">
        <v>73</v>
      </c>
      <c r="D791" s="85">
        <v>10104956178</v>
      </c>
      <c r="E791" s="44" t="s">
        <v>757</v>
      </c>
      <c r="F791" s="44" t="s">
        <v>146</v>
      </c>
      <c r="G791" s="44" t="s">
        <v>211</v>
      </c>
      <c r="H791" s="44" t="s">
        <v>250</v>
      </c>
      <c r="I791" s="48" t="s">
        <v>482</v>
      </c>
      <c r="J791" s="45">
        <v>42791</v>
      </c>
      <c r="K791" s="45">
        <v>42796</v>
      </c>
      <c r="L791" s="45"/>
    </row>
    <row r="792" spans="1:12" ht="18" customHeight="1">
      <c r="A792" s="43" t="s">
        <v>450</v>
      </c>
      <c r="B792" s="44" t="s">
        <v>179</v>
      </c>
      <c r="C792" s="44" t="s">
        <v>73</v>
      </c>
      <c r="D792" s="85">
        <v>10104930699</v>
      </c>
      <c r="E792" s="44" t="s">
        <v>757</v>
      </c>
      <c r="F792" s="44" t="s">
        <v>146</v>
      </c>
      <c r="G792" s="44" t="s">
        <v>211</v>
      </c>
      <c r="H792" s="44" t="s">
        <v>250</v>
      </c>
      <c r="I792" s="48" t="s">
        <v>482</v>
      </c>
      <c r="J792" s="45">
        <v>42770</v>
      </c>
      <c r="K792" s="45">
        <v>42776</v>
      </c>
      <c r="L792" s="45"/>
    </row>
    <row r="793" spans="1:12" ht="18" customHeight="1">
      <c r="A793" s="43" t="s">
        <v>450</v>
      </c>
      <c r="B793" s="44" t="s">
        <v>179</v>
      </c>
      <c r="C793" s="44" t="s">
        <v>73</v>
      </c>
      <c r="D793" s="85">
        <v>10104947707</v>
      </c>
      <c r="E793" s="44" t="s">
        <v>757</v>
      </c>
      <c r="F793" s="44" t="s">
        <v>146</v>
      </c>
      <c r="G793" s="44" t="s">
        <v>211</v>
      </c>
      <c r="H793" s="44" t="s">
        <v>250</v>
      </c>
      <c r="I793" s="48" t="s">
        <v>482</v>
      </c>
      <c r="J793" s="45">
        <v>42784</v>
      </c>
      <c r="K793" s="45">
        <v>42791</v>
      </c>
      <c r="L793" s="45"/>
    </row>
    <row r="794" spans="1:12" ht="18" customHeight="1">
      <c r="A794" s="43" t="s">
        <v>450</v>
      </c>
      <c r="B794" s="44" t="s">
        <v>451</v>
      </c>
      <c r="C794" s="44" t="s">
        <v>73</v>
      </c>
      <c r="D794" s="85">
        <v>10104956487</v>
      </c>
      <c r="E794" s="44" t="s">
        <v>540</v>
      </c>
      <c r="F794" s="44" t="s">
        <v>829</v>
      </c>
      <c r="G794" s="44" t="s">
        <v>347</v>
      </c>
      <c r="H794" s="44" t="s">
        <v>76</v>
      </c>
      <c r="I794" s="48" t="s">
        <v>482</v>
      </c>
      <c r="J794" s="45">
        <v>42791</v>
      </c>
      <c r="K794" s="45">
        <v>42796</v>
      </c>
      <c r="L794" s="45"/>
    </row>
    <row r="795" spans="1:12" ht="18" customHeight="1">
      <c r="A795" s="43" t="s">
        <v>450</v>
      </c>
      <c r="B795" s="44" t="s">
        <v>451</v>
      </c>
      <c r="C795" s="44" t="s">
        <v>73</v>
      </c>
      <c r="D795" s="85">
        <v>10104939725</v>
      </c>
      <c r="E795" s="44" t="s">
        <v>540</v>
      </c>
      <c r="F795" s="44" t="s">
        <v>829</v>
      </c>
      <c r="G795" s="44" t="s">
        <v>347</v>
      </c>
      <c r="H795" s="44" t="s">
        <v>76</v>
      </c>
      <c r="I795" s="48" t="s">
        <v>482</v>
      </c>
      <c r="J795" s="45">
        <v>42777</v>
      </c>
      <c r="K795" s="45">
        <v>42791</v>
      </c>
      <c r="L795" s="45"/>
    </row>
    <row r="796" spans="1:12" ht="18" customHeight="1">
      <c r="A796" s="43" t="s">
        <v>450</v>
      </c>
      <c r="B796" s="44" t="s">
        <v>451</v>
      </c>
      <c r="C796" s="44" t="s">
        <v>120</v>
      </c>
      <c r="D796" s="85">
        <v>10104948855</v>
      </c>
      <c r="E796" s="44" t="s">
        <v>1400</v>
      </c>
      <c r="F796" s="44" t="s">
        <v>213</v>
      </c>
      <c r="G796" s="44" t="s">
        <v>315</v>
      </c>
      <c r="H796" s="44" t="s">
        <v>332</v>
      </c>
      <c r="I796" s="48" t="s">
        <v>482</v>
      </c>
      <c r="J796" s="45">
        <v>42793</v>
      </c>
      <c r="K796" s="45">
        <v>42793</v>
      </c>
      <c r="L796" s="45">
        <v>42790</v>
      </c>
    </row>
    <row r="797" spans="1:12" ht="18" customHeight="1">
      <c r="A797" s="43" t="s">
        <v>450</v>
      </c>
      <c r="B797" s="44" t="s">
        <v>451</v>
      </c>
      <c r="C797" s="44" t="s">
        <v>120</v>
      </c>
      <c r="D797" s="85">
        <v>10104930769</v>
      </c>
      <c r="E797" s="44" t="s">
        <v>1398</v>
      </c>
      <c r="F797" s="44" t="s">
        <v>1399</v>
      </c>
      <c r="G797" s="44" t="s">
        <v>315</v>
      </c>
      <c r="H797" s="44" t="s">
        <v>250</v>
      </c>
      <c r="I797" s="48" t="s">
        <v>482</v>
      </c>
      <c r="J797" s="45">
        <v>42782</v>
      </c>
      <c r="K797" s="45">
        <v>42782</v>
      </c>
      <c r="L797" s="45"/>
    </row>
    <row r="798" spans="1:12" ht="18" customHeight="1">
      <c r="A798" s="43" t="s">
        <v>450</v>
      </c>
      <c r="B798" s="44" t="s">
        <v>451</v>
      </c>
      <c r="C798" s="44" t="s">
        <v>120</v>
      </c>
      <c r="D798" s="85">
        <v>10104948868</v>
      </c>
      <c r="E798" s="44" t="s">
        <v>1401</v>
      </c>
      <c r="F798" s="44" t="s">
        <v>213</v>
      </c>
      <c r="G798" s="44" t="s">
        <v>226</v>
      </c>
      <c r="H798" s="44" t="s">
        <v>332</v>
      </c>
      <c r="I798" s="48" t="s">
        <v>482</v>
      </c>
      <c r="J798" s="45">
        <v>42793</v>
      </c>
      <c r="K798" s="45">
        <v>42793</v>
      </c>
      <c r="L798" s="45">
        <v>42790</v>
      </c>
    </row>
    <row r="799" spans="1:12" ht="18" customHeight="1">
      <c r="A799" s="43" t="s">
        <v>450</v>
      </c>
      <c r="B799" s="44" t="s">
        <v>451</v>
      </c>
      <c r="C799" s="44" t="s">
        <v>120</v>
      </c>
      <c r="D799" s="85">
        <v>10104923862</v>
      </c>
      <c r="E799" s="44" t="s">
        <v>1402</v>
      </c>
      <c r="F799" s="44" t="s">
        <v>1403</v>
      </c>
      <c r="G799" s="44" t="s">
        <v>496</v>
      </c>
      <c r="H799" s="44" t="s">
        <v>76</v>
      </c>
      <c r="I799" s="48" t="s">
        <v>482</v>
      </c>
      <c r="J799" s="45">
        <v>42791</v>
      </c>
      <c r="K799" s="45">
        <v>42791</v>
      </c>
      <c r="L799" s="45"/>
    </row>
    <row r="800" spans="1:12" ht="18" customHeight="1">
      <c r="A800" s="43" t="s">
        <v>450</v>
      </c>
      <c r="B800" s="44" t="s">
        <v>451</v>
      </c>
      <c r="C800" s="44" t="s">
        <v>120</v>
      </c>
      <c r="D800" s="85">
        <v>10104925478</v>
      </c>
      <c r="E800" s="44" t="s">
        <v>1404</v>
      </c>
      <c r="F800" s="44" t="s">
        <v>1403</v>
      </c>
      <c r="G800" s="44" t="s">
        <v>199</v>
      </c>
      <c r="H800" s="44" t="s">
        <v>76</v>
      </c>
      <c r="I800" s="48" t="s">
        <v>482</v>
      </c>
      <c r="J800" s="45">
        <v>42790</v>
      </c>
      <c r="K800" s="45">
        <v>42796</v>
      </c>
      <c r="L800" s="45"/>
    </row>
    <row r="801" spans="1:12" ht="18" customHeight="1">
      <c r="A801" s="43" t="s">
        <v>450</v>
      </c>
      <c r="B801" s="44" t="s">
        <v>451</v>
      </c>
      <c r="C801" s="44" t="s">
        <v>120</v>
      </c>
      <c r="D801" s="85">
        <v>10104922496</v>
      </c>
      <c r="E801" s="44" t="s">
        <v>1406</v>
      </c>
      <c r="F801" s="44" t="s">
        <v>1407</v>
      </c>
      <c r="G801" s="44" t="s">
        <v>211</v>
      </c>
      <c r="H801" s="44" t="s">
        <v>250</v>
      </c>
      <c r="I801" s="48" t="s">
        <v>482</v>
      </c>
      <c r="J801" s="45">
        <v>42791</v>
      </c>
      <c r="K801" s="45">
        <v>42791</v>
      </c>
      <c r="L801" s="45"/>
    </row>
    <row r="802" spans="1:12" ht="18" customHeight="1">
      <c r="A802" s="43" t="s">
        <v>450</v>
      </c>
      <c r="B802" s="44" t="s">
        <v>179</v>
      </c>
      <c r="C802" s="44" t="s">
        <v>120</v>
      </c>
      <c r="D802" s="85">
        <v>10104909892</v>
      </c>
      <c r="E802" s="44" t="s">
        <v>1405</v>
      </c>
      <c r="F802" s="44" t="s">
        <v>1399</v>
      </c>
      <c r="G802" s="44" t="s">
        <v>211</v>
      </c>
      <c r="H802" s="44" t="s">
        <v>250</v>
      </c>
      <c r="I802" s="48" t="s">
        <v>482</v>
      </c>
      <c r="J802" s="45">
        <v>42777</v>
      </c>
      <c r="K802" s="45">
        <v>42782</v>
      </c>
      <c r="L802" s="45"/>
    </row>
    <row r="803" spans="1:12" ht="18" customHeight="1">
      <c r="A803" s="43" t="s">
        <v>453</v>
      </c>
      <c r="B803" s="44" t="s">
        <v>459</v>
      </c>
      <c r="C803" s="44" t="s">
        <v>73</v>
      </c>
      <c r="D803" s="85">
        <v>10104947899</v>
      </c>
      <c r="E803" s="44" t="s">
        <v>854</v>
      </c>
      <c r="F803" s="44" t="s">
        <v>75</v>
      </c>
      <c r="G803" s="44" t="s">
        <v>456</v>
      </c>
      <c r="H803" s="44" t="s">
        <v>76</v>
      </c>
      <c r="I803" s="48" t="s">
        <v>482</v>
      </c>
      <c r="J803" s="45">
        <v>42779</v>
      </c>
      <c r="K803" s="45">
        <v>42790</v>
      </c>
      <c r="L803" s="45">
        <v>42790</v>
      </c>
    </row>
    <row r="804" spans="1:12" ht="18" customHeight="1">
      <c r="A804" s="43" t="s">
        <v>453</v>
      </c>
      <c r="B804" s="44" t="s">
        <v>454</v>
      </c>
      <c r="C804" s="44" t="s">
        <v>73</v>
      </c>
      <c r="D804" s="85">
        <v>10104944152</v>
      </c>
      <c r="E804" s="44" t="s">
        <v>455</v>
      </c>
      <c r="F804" s="44" t="s">
        <v>75</v>
      </c>
      <c r="G804" s="44" t="s">
        <v>456</v>
      </c>
      <c r="H804" s="44" t="s">
        <v>76</v>
      </c>
      <c r="I804" s="48" t="s">
        <v>482</v>
      </c>
      <c r="J804" s="45">
        <v>42784</v>
      </c>
      <c r="K804" s="45">
        <v>42790</v>
      </c>
      <c r="L804" s="45">
        <v>42790</v>
      </c>
    </row>
    <row r="805" spans="1:12" ht="18" customHeight="1">
      <c r="A805" s="43" t="s">
        <v>453</v>
      </c>
      <c r="B805" s="44" t="s">
        <v>454</v>
      </c>
      <c r="C805" s="44" t="s">
        <v>73</v>
      </c>
      <c r="D805" s="85">
        <v>10104944153</v>
      </c>
      <c r="E805" s="44" t="s">
        <v>457</v>
      </c>
      <c r="F805" s="44" t="s">
        <v>75</v>
      </c>
      <c r="G805" s="44" t="s">
        <v>458</v>
      </c>
      <c r="H805" s="44" t="s">
        <v>76</v>
      </c>
      <c r="I805" s="48" t="s">
        <v>482</v>
      </c>
      <c r="J805" s="45">
        <v>42784</v>
      </c>
      <c r="K805" s="45">
        <v>42790</v>
      </c>
      <c r="L805" s="45">
        <v>42790</v>
      </c>
    </row>
    <row r="806" spans="1:12" ht="18" customHeight="1">
      <c r="A806" s="43" t="s">
        <v>453</v>
      </c>
      <c r="B806" s="44" t="s">
        <v>459</v>
      </c>
      <c r="C806" s="44" t="s">
        <v>73</v>
      </c>
      <c r="D806" s="85">
        <v>10104947892</v>
      </c>
      <c r="E806" s="44" t="s">
        <v>855</v>
      </c>
      <c r="F806" s="44" t="s">
        <v>75</v>
      </c>
      <c r="G806" s="44" t="s">
        <v>458</v>
      </c>
      <c r="H806" s="44" t="s">
        <v>76</v>
      </c>
      <c r="I806" s="48" t="s">
        <v>482</v>
      </c>
      <c r="J806" s="45">
        <v>42779</v>
      </c>
      <c r="K806" s="45">
        <v>42790</v>
      </c>
      <c r="L806" s="45">
        <v>42790</v>
      </c>
    </row>
    <row r="807" spans="1:12" ht="18" customHeight="1">
      <c r="A807" s="43" t="s">
        <v>453</v>
      </c>
      <c r="B807" s="44" t="s">
        <v>454</v>
      </c>
      <c r="C807" s="44" t="s">
        <v>120</v>
      </c>
      <c r="D807" s="85">
        <v>10104924814</v>
      </c>
      <c r="E807" s="44" t="s">
        <v>580</v>
      </c>
      <c r="F807" s="44" t="s">
        <v>949</v>
      </c>
      <c r="G807" s="44" t="s">
        <v>579</v>
      </c>
      <c r="H807" s="44" t="s">
        <v>76</v>
      </c>
      <c r="I807" s="48" t="s">
        <v>482</v>
      </c>
      <c r="J807" s="45">
        <v>42788</v>
      </c>
      <c r="K807" s="45">
        <v>42790</v>
      </c>
      <c r="L807" s="45"/>
    </row>
    <row r="808" spans="1:12" ht="18" customHeight="1">
      <c r="A808" s="43" t="s">
        <v>453</v>
      </c>
      <c r="B808" s="44" t="s">
        <v>459</v>
      </c>
      <c r="C808" s="44" t="s">
        <v>120</v>
      </c>
      <c r="D808" s="85">
        <v>10104918781</v>
      </c>
      <c r="E808" s="44" t="s">
        <v>719</v>
      </c>
      <c r="F808" s="44" t="s">
        <v>831</v>
      </c>
      <c r="G808" s="44" t="s">
        <v>542</v>
      </c>
      <c r="H808" s="44" t="s">
        <v>74</v>
      </c>
      <c r="I808" s="48" t="s">
        <v>481</v>
      </c>
      <c r="J808" s="45">
        <v>42783</v>
      </c>
      <c r="K808" s="45">
        <v>42790</v>
      </c>
      <c r="L808" s="45"/>
    </row>
    <row r="809" spans="1:12" ht="18" customHeight="1">
      <c r="A809" s="43" t="s">
        <v>453</v>
      </c>
      <c r="B809" s="44" t="s">
        <v>459</v>
      </c>
      <c r="C809" s="44" t="s">
        <v>120</v>
      </c>
      <c r="D809" s="85">
        <v>10104918806</v>
      </c>
      <c r="E809" s="44" t="s">
        <v>720</v>
      </c>
      <c r="F809" s="44" t="s">
        <v>831</v>
      </c>
      <c r="G809" s="44" t="s">
        <v>543</v>
      </c>
      <c r="H809" s="44" t="s">
        <v>74</v>
      </c>
      <c r="I809" s="48" t="s">
        <v>481</v>
      </c>
      <c r="J809" s="45">
        <v>42783</v>
      </c>
      <c r="K809" s="45">
        <v>42790</v>
      </c>
      <c r="L809" s="45"/>
    </row>
    <row r="810" spans="1:12" ht="18" customHeight="1">
      <c r="A810" s="43" t="s">
        <v>453</v>
      </c>
      <c r="B810" s="44" t="s">
        <v>459</v>
      </c>
      <c r="C810" s="44" t="s">
        <v>120</v>
      </c>
      <c r="D810" s="85">
        <v>10104918700</v>
      </c>
      <c r="E810" s="44" t="s">
        <v>692</v>
      </c>
      <c r="F810" s="44" t="s">
        <v>180</v>
      </c>
      <c r="G810" s="44" t="s">
        <v>544</v>
      </c>
      <c r="H810" s="44" t="s">
        <v>74</v>
      </c>
      <c r="I810" s="48" t="s">
        <v>481</v>
      </c>
      <c r="J810" s="45">
        <v>42783</v>
      </c>
      <c r="K810" s="45">
        <v>42790</v>
      </c>
      <c r="L810" s="45">
        <v>42790</v>
      </c>
    </row>
    <row r="811" spans="1:12" ht="18" customHeight="1">
      <c r="A811" s="43" t="s">
        <v>453</v>
      </c>
      <c r="B811" s="44" t="s">
        <v>459</v>
      </c>
      <c r="C811" s="44" t="s">
        <v>120</v>
      </c>
      <c r="D811" s="85">
        <v>10104918689</v>
      </c>
      <c r="E811" s="44" t="s">
        <v>721</v>
      </c>
      <c r="F811" s="44" t="s">
        <v>180</v>
      </c>
      <c r="G811" s="44" t="s">
        <v>545</v>
      </c>
      <c r="H811" s="44" t="s">
        <v>74</v>
      </c>
      <c r="I811" s="48" t="s">
        <v>481</v>
      </c>
      <c r="J811" s="45">
        <v>42783</v>
      </c>
      <c r="K811" s="45">
        <v>42790</v>
      </c>
      <c r="L811" s="45">
        <v>42790</v>
      </c>
    </row>
    <row r="812" spans="1:12" ht="18" customHeight="1">
      <c r="A812" s="43" t="s">
        <v>453</v>
      </c>
      <c r="B812" s="44" t="s">
        <v>459</v>
      </c>
      <c r="C812" s="44" t="s">
        <v>120</v>
      </c>
      <c r="D812" s="85">
        <v>10104930978</v>
      </c>
      <c r="E812" s="44" t="s">
        <v>1408</v>
      </c>
      <c r="F812" s="44" t="s">
        <v>180</v>
      </c>
      <c r="G812" s="44" t="s">
        <v>904</v>
      </c>
      <c r="H812" s="44" t="s">
        <v>332</v>
      </c>
      <c r="I812" s="48" t="s">
        <v>482</v>
      </c>
      <c r="J812" s="45">
        <v>42783</v>
      </c>
      <c r="K812" s="45">
        <v>42783</v>
      </c>
      <c r="L812" s="45">
        <v>42783</v>
      </c>
    </row>
    <row r="813" spans="1:12" ht="18" customHeight="1">
      <c r="A813" s="43" t="s">
        <v>453</v>
      </c>
      <c r="B813" s="44" t="s">
        <v>454</v>
      </c>
      <c r="C813" s="44" t="s">
        <v>120</v>
      </c>
      <c r="D813" s="85">
        <v>10104924803</v>
      </c>
      <c r="E813" s="44" t="s">
        <v>580</v>
      </c>
      <c r="F813" s="44" t="s">
        <v>949</v>
      </c>
      <c r="G813" s="44" t="s">
        <v>573</v>
      </c>
      <c r="H813" s="44" t="s">
        <v>76</v>
      </c>
      <c r="I813" s="48" t="s">
        <v>482</v>
      </c>
      <c r="J813" s="45">
        <v>42788</v>
      </c>
      <c r="K813" s="45">
        <v>42790</v>
      </c>
      <c r="L813" s="45"/>
    </row>
    <row r="814" spans="1:12" ht="18" customHeight="1">
      <c r="A814" s="43" t="s">
        <v>453</v>
      </c>
      <c r="B814" s="44" t="s">
        <v>459</v>
      </c>
      <c r="C814" s="44" t="s">
        <v>120</v>
      </c>
      <c r="D814" s="85">
        <v>10104918764</v>
      </c>
      <c r="E814" s="44" t="s">
        <v>638</v>
      </c>
      <c r="F814" s="44" t="s">
        <v>949</v>
      </c>
      <c r="G814" s="44" t="s">
        <v>546</v>
      </c>
      <c r="H814" s="44" t="s">
        <v>74</v>
      </c>
      <c r="I814" s="48" t="s">
        <v>481</v>
      </c>
      <c r="J814" s="45">
        <v>42783</v>
      </c>
      <c r="K814" s="45">
        <v>42790</v>
      </c>
      <c r="L814" s="45"/>
    </row>
    <row r="815" spans="1:12" ht="18" customHeight="1">
      <c r="A815" s="43" t="s">
        <v>453</v>
      </c>
      <c r="B815" s="44" t="s">
        <v>459</v>
      </c>
      <c r="C815" s="44" t="s">
        <v>120</v>
      </c>
      <c r="D815" s="85">
        <v>10104917318</v>
      </c>
      <c r="E815" s="44" t="s">
        <v>1409</v>
      </c>
      <c r="F815" s="44" t="s">
        <v>180</v>
      </c>
      <c r="G815" s="44" t="s">
        <v>460</v>
      </c>
      <c r="H815" s="44" t="s">
        <v>74</v>
      </c>
      <c r="I815" s="48" t="s">
        <v>481</v>
      </c>
      <c r="J815" s="45">
        <v>42783</v>
      </c>
      <c r="K815" s="45">
        <v>42790</v>
      </c>
      <c r="L815" s="45">
        <v>42790</v>
      </c>
    </row>
    <row r="816" spans="1:12" ht="18" customHeight="1">
      <c r="A816" s="43" t="s">
        <v>453</v>
      </c>
      <c r="B816" s="44" t="s">
        <v>459</v>
      </c>
      <c r="C816" s="44" t="s">
        <v>120</v>
      </c>
      <c r="D816" s="85">
        <v>10104918703</v>
      </c>
      <c r="E816" s="44" t="s">
        <v>692</v>
      </c>
      <c r="F816" s="44" t="s">
        <v>180</v>
      </c>
      <c r="G816" s="44" t="s">
        <v>460</v>
      </c>
      <c r="H816" s="44" t="s">
        <v>74</v>
      </c>
      <c r="I816" s="48" t="s">
        <v>481</v>
      </c>
      <c r="J816" s="45">
        <v>42783</v>
      </c>
      <c r="K816" s="45">
        <v>42790</v>
      </c>
      <c r="L816" s="45">
        <v>42790</v>
      </c>
    </row>
    <row r="817" spans="1:12" ht="18" customHeight="1">
      <c r="A817" s="43" t="s">
        <v>453</v>
      </c>
      <c r="B817" s="44" t="s">
        <v>459</v>
      </c>
      <c r="C817" s="44" t="s">
        <v>120</v>
      </c>
      <c r="D817" s="85">
        <v>10104918704</v>
      </c>
      <c r="E817" s="44" t="s">
        <v>905</v>
      </c>
      <c r="F817" s="44" t="s">
        <v>949</v>
      </c>
      <c r="G817" s="44" t="s">
        <v>547</v>
      </c>
      <c r="H817" s="44" t="s">
        <v>74</v>
      </c>
      <c r="I817" s="48" t="s">
        <v>481</v>
      </c>
      <c r="J817" s="45">
        <v>42783</v>
      </c>
      <c r="K817" s="45">
        <v>42790</v>
      </c>
      <c r="L817" s="45"/>
    </row>
    <row r="818" spans="1:12" ht="18" customHeight="1">
      <c r="A818" s="43" t="s">
        <v>453</v>
      </c>
      <c r="B818" s="44" t="s">
        <v>459</v>
      </c>
      <c r="C818" s="44" t="s">
        <v>120</v>
      </c>
      <c r="D818" s="85">
        <v>10104918803</v>
      </c>
      <c r="E818" s="44" t="s">
        <v>722</v>
      </c>
      <c r="F818" s="44" t="s">
        <v>180</v>
      </c>
      <c r="G818" s="44" t="s">
        <v>548</v>
      </c>
      <c r="H818" s="44" t="s">
        <v>74</v>
      </c>
      <c r="I818" s="48" t="s">
        <v>481</v>
      </c>
      <c r="J818" s="45">
        <v>42783</v>
      </c>
      <c r="K818" s="45">
        <v>42790</v>
      </c>
      <c r="L818" s="45">
        <v>42790</v>
      </c>
    </row>
    <row r="819" spans="1:12" ht="18" customHeight="1">
      <c r="A819" s="43" t="s">
        <v>453</v>
      </c>
      <c r="B819" s="44" t="s">
        <v>459</v>
      </c>
      <c r="C819" s="44" t="s">
        <v>120</v>
      </c>
      <c r="D819" s="85">
        <v>10104917244</v>
      </c>
      <c r="E819" s="44" t="s">
        <v>1410</v>
      </c>
      <c r="F819" s="44" t="s">
        <v>180</v>
      </c>
      <c r="G819" s="44" t="s">
        <v>548</v>
      </c>
      <c r="H819" s="44" t="s">
        <v>74</v>
      </c>
      <c r="I819" s="48" t="s">
        <v>481</v>
      </c>
      <c r="J819" s="45">
        <v>42783</v>
      </c>
      <c r="K819" s="45">
        <v>42790</v>
      </c>
      <c r="L819" s="45">
        <v>42790</v>
      </c>
    </row>
    <row r="820" spans="1:12" ht="18" customHeight="1">
      <c r="A820" s="43" t="s">
        <v>453</v>
      </c>
      <c r="B820" s="44" t="s">
        <v>459</v>
      </c>
      <c r="C820" s="44" t="s">
        <v>120</v>
      </c>
      <c r="D820" s="85">
        <v>10104930955</v>
      </c>
      <c r="E820" s="44" t="s">
        <v>1411</v>
      </c>
      <c r="F820" s="44" t="s">
        <v>180</v>
      </c>
      <c r="G820" s="44" t="s">
        <v>906</v>
      </c>
      <c r="H820" s="44" t="s">
        <v>332</v>
      </c>
      <c r="I820" s="48" t="s">
        <v>482</v>
      </c>
      <c r="J820" s="45">
        <v>42783</v>
      </c>
      <c r="K820" s="45">
        <v>42783</v>
      </c>
      <c r="L820" s="45">
        <v>42783</v>
      </c>
    </row>
    <row r="821" spans="1:12" ht="18" customHeight="1">
      <c r="A821" s="43" t="s">
        <v>453</v>
      </c>
      <c r="B821" s="44" t="s">
        <v>459</v>
      </c>
      <c r="C821" s="44" t="s">
        <v>120</v>
      </c>
      <c r="D821" s="85">
        <v>10104917245</v>
      </c>
      <c r="E821" s="44" t="s">
        <v>1412</v>
      </c>
      <c r="F821" s="44" t="s">
        <v>831</v>
      </c>
      <c r="G821" s="44" t="s">
        <v>906</v>
      </c>
      <c r="H821" s="44" t="s">
        <v>74</v>
      </c>
      <c r="I821" s="48" t="s">
        <v>481</v>
      </c>
      <c r="J821" s="45">
        <v>42783</v>
      </c>
      <c r="K821" s="45">
        <v>42790</v>
      </c>
      <c r="L821" s="45"/>
    </row>
    <row r="822" spans="1:12" ht="18" customHeight="1">
      <c r="A822" s="43" t="s">
        <v>453</v>
      </c>
      <c r="B822" s="44" t="s">
        <v>459</v>
      </c>
      <c r="C822" s="44" t="s">
        <v>120</v>
      </c>
      <c r="D822" s="85">
        <v>10104918706</v>
      </c>
      <c r="E822" s="44" t="s">
        <v>723</v>
      </c>
      <c r="F822" s="44" t="s">
        <v>949</v>
      </c>
      <c r="G822" s="44" t="s">
        <v>549</v>
      </c>
      <c r="H822" s="44" t="s">
        <v>74</v>
      </c>
      <c r="I822" s="48" t="s">
        <v>481</v>
      </c>
      <c r="J822" s="45">
        <v>42783</v>
      </c>
      <c r="K822" s="45">
        <v>42790</v>
      </c>
      <c r="L822" s="45"/>
    </row>
    <row r="823" spans="1:12" ht="18" customHeight="1">
      <c r="A823" s="43" t="s">
        <v>453</v>
      </c>
      <c r="B823" s="44" t="s">
        <v>454</v>
      </c>
      <c r="C823" s="44" t="s">
        <v>120</v>
      </c>
      <c r="D823" s="85">
        <v>10104918776</v>
      </c>
      <c r="E823" s="44" t="s">
        <v>461</v>
      </c>
      <c r="F823" s="44" t="s">
        <v>1413</v>
      </c>
      <c r="G823" s="44" t="s">
        <v>456</v>
      </c>
      <c r="H823" s="44" t="s">
        <v>76</v>
      </c>
      <c r="I823" s="48" t="s">
        <v>482</v>
      </c>
      <c r="J823" s="45">
        <v>42783</v>
      </c>
      <c r="K823" s="45">
        <v>42789</v>
      </c>
      <c r="L823" s="45">
        <v>42784</v>
      </c>
    </row>
    <row r="824" spans="1:12" ht="18" customHeight="1">
      <c r="A824" s="43" t="s">
        <v>453</v>
      </c>
      <c r="B824" s="44" t="s">
        <v>459</v>
      </c>
      <c r="C824" s="44" t="s">
        <v>120</v>
      </c>
      <c r="D824" s="85">
        <v>10104918804</v>
      </c>
      <c r="E824" s="44" t="s">
        <v>724</v>
      </c>
      <c r="F824" s="44" t="s">
        <v>949</v>
      </c>
      <c r="G824" s="44" t="s">
        <v>456</v>
      </c>
      <c r="H824" s="44" t="s">
        <v>74</v>
      </c>
      <c r="I824" s="48" t="s">
        <v>481</v>
      </c>
      <c r="J824" s="45">
        <v>42783</v>
      </c>
      <c r="K824" s="45">
        <v>42790</v>
      </c>
      <c r="L824" s="45"/>
    </row>
    <row r="825" spans="1:12" ht="18" customHeight="1">
      <c r="A825" s="43" t="s">
        <v>453</v>
      </c>
      <c r="B825" s="44" t="s">
        <v>454</v>
      </c>
      <c r="C825" s="44" t="s">
        <v>120</v>
      </c>
      <c r="D825" s="85">
        <v>10104918782</v>
      </c>
      <c r="E825" s="44" t="s">
        <v>462</v>
      </c>
      <c r="F825" s="44" t="s">
        <v>949</v>
      </c>
      <c r="G825" s="44" t="s">
        <v>458</v>
      </c>
      <c r="H825" s="44" t="s">
        <v>76</v>
      </c>
      <c r="I825" s="48" t="s">
        <v>482</v>
      </c>
      <c r="J825" s="45">
        <v>42783</v>
      </c>
      <c r="K825" s="45">
        <v>42790</v>
      </c>
      <c r="L825" s="45"/>
    </row>
    <row r="826" spans="1:12" ht="18" customHeight="1">
      <c r="A826" s="43" t="s">
        <v>453</v>
      </c>
      <c r="B826" s="44" t="s">
        <v>459</v>
      </c>
      <c r="C826" s="44" t="s">
        <v>120</v>
      </c>
      <c r="D826" s="85">
        <v>10104918707</v>
      </c>
      <c r="E826" s="44" t="s">
        <v>725</v>
      </c>
      <c r="F826" s="44" t="s">
        <v>831</v>
      </c>
      <c r="G826" s="44" t="s">
        <v>458</v>
      </c>
      <c r="H826" s="44" t="s">
        <v>74</v>
      </c>
      <c r="I826" s="48" t="s">
        <v>481</v>
      </c>
      <c r="J826" s="45">
        <v>42783</v>
      </c>
      <c r="K826" s="45">
        <v>42790</v>
      </c>
      <c r="L826" s="45"/>
    </row>
    <row r="827" spans="1:12" ht="18" customHeight="1">
      <c r="A827" s="43" t="s">
        <v>453</v>
      </c>
      <c r="B827" s="44" t="s">
        <v>454</v>
      </c>
      <c r="C827" s="44" t="s">
        <v>120</v>
      </c>
      <c r="D827" s="85">
        <v>10104918784</v>
      </c>
      <c r="E827" s="44" t="s">
        <v>726</v>
      </c>
      <c r="F827" s="44" t="s">
        <v>949</v>
      </c>
      <c r="G827" s="44" t="s">
        <v>464</v>
      </c>
      <c r="H827" s="44" t="s">
        <v>74</v>
      </c>
      <c r="I827" s="48" t="s">
        <v>481</v>
      </c>
      <c r="J827" s="45">
        <v>42783</v>
      </c>
      <c r="K827" s="45">
        <v>42790</v>
      </c>
      <c r="L827" s="45"/>
    </row>
    <row r="828" spans="1:12" ht="18" customHeight="1">
      <c r="A828" s="43" t="s">
        <v>453</v>
      </c>
      <c r="B828" s="44" t="s">
        <v>454</v>
      </c>
      <c r="C828" s="44" t="s">
        <v>120</v>
      </c>
      <c r="D828" s="85">
        <v>10104918775</v>
      </c>
      <c r="E828" s="44" t="s">
        <v>463</v>
      </c>
      <c r="F828" s="44" t="s">
        <v>831</v>
      </c>
      <c r="G828" s="44" t="s">
        <v>464</v>
      </c>
      <c r="H828" s="44" t="s">
        <v>76</v>
      </c>
      <c r="I828" s="48" t="s">
        <v>482</v>
      </c>
      <c r="J828" s="45">
        <v>42790</v>
      </c>
      <c r="K828" s="45">
        <v>42790</v>
      </c>
      <c r="L828" s="45"/>
    </row>
    <row r="829" spans="1:12" ht="18" customHeight="1">
      <c r="A829" s="43" t="s">
        <v>453</v>
      </c>
      <c r="B829" s="44" t="s">
        <v>454</v>
      </c>
      <c r="C829" s="44" t="s">
        <v>120</v>
      </c>
      <c r="D829" s="85">
        <v>10104918785</v>
      </c>
      <c r="E829" s="44" t="s">
        <v>727</v>
      </c>
      <c r="F829" s="44" t="s">
        <v>949</v>
      </c>
      <c r="G829" s="44" t="s">
        <v>465</v>
      </c>
      <c r="H829" s="44" t="s">
        <v>74</v>
      </c>
      <c r="I829" s="48" t="s">
        <v>481</v>
      </c>
      <c r="J829" s="45">
        <v>42783</v>
      </c>
      <c r="K829" s="45">
        <v>42790</v>
      </c>
      <c r="L829" s="45"/>
    </row>
    <row r="830" spans="1:12" ht="18" customHeight="1">
      <c r="A830" s="43" t="s">
        <v>453</v>
      </c>
      <c r="B830" s="44" t="s">
        <v>454</v>
      </c>
      <c r="C830" s="44" t="s">
        <v>120</v>
      </c>
      <c r="D830" s="85">
        <v>10104918778</v>
      </c>
      <c r="E830" s="44" t="s">
        <v>518</v>
      </c>
      <c r="F830" s="44" t="s">
        <v>831</v>
      </c>
      <c r="G830" s="44" t="s">
        <v>465</v>
      </c>
      <c r="H830" s="44" t="s">
        <v>76</v>
      </c>
      <c r="I830" s="48" t="s">
        <v>482</v>
      </c>
      <c r="J830" s="45">
        <v>42790</v>
      </c>
      <c r="K830" s="45">
        <v>42790</v>
      </c>
      <c r="L830" s="45"/>
    </row>
    <row r="831" spans="1:12" ht="18" customHeight="1">
      <c r="A831" s="43" t="s">
        <v>453</v>
      </c>
      <c r="B831" s="44" t="s">
        <v>454</v>
      </c>
      <c r="C831" s="44" t="s">
        <v>120</v>
      </c>
      <c r="D831" s="85">
        <v>10104927259</v>
      </c>
      <c r="E831" s="44" t="s">
        <v>825</v>
      </c>
      <c r="F831" s="44" t="s">
        <v>222</v>
      </c>
      <c r="G831" s="44" t="s">
        <v>687</v>
      </c>
      <c r="H831" s="44" t="s">
        <v>688</v>
      </c>
      <c r="I831" s="48" t="s">
        <v>482</v>
      </c>
      <c r="J831" s="45">
        <v>42783</v>
      </c>
      <c r="K831" s="45">
        <v>42783</v>
      </c>
      <c r="L831" s="45">
        <v>42783</v>
      </c>
    </row>
    <row r="832" spans="1:12" ht="18" customHeight="1">
      <c r="A832" s="43" t="s">
        <v>453</v>
      </c>
      <c r="B832" s="44" t="s">
        <v>459</v>
      </c>
      <c r="C832" s="44" t="s">
        <v>120</v>
      </c>
      <c r="D832" s="85">
        <v>10104918766</v>
      </c>
      <c r="E832" s="44" t="s">
        <v>874</v>
      </c>
      <c r="F832" s="44" t="s">
        <v>180</v>
      </c>
      <c r="G832" s="44" t="s">
        <v>550</v>
      </c>
      <c r="H832" s="44" t="s">
        <v>74</v>
      </c>
      <c r="I832" s="48" t="s">
        <v>481</v>
      </c>
      <c r="J832" s="45">
        <v>42783</v>
      </c>
      <c r="K832" s="45">
        <v>42790</v>
      </c>
      <c r="L832" s="45">
        <v>42790</v>
      </c>
    </row>
    <row r="833" spans="1:12" ht="18" customHeight="1">
      <c r="A833" s="43" t="s">
        <v>453</v>
      </c>
      <c r="B833" s="44" t="s">
        <v>454</v>
      </c>
      <c r="C833" s="44" t="s">
        <v>120</v>
      </c>
      <c r="D833" s="85">
        <v>10104918777</v>
      </c>
      <c r="E833" s="44" t="s">
        <v>551</v>
      </c>
      <c r="F833" s="44" t="s">
        <v>949</v>
      </c>
      <c r="G833" s="44" t="s">
        <v>552</v>
      </c>
      <c r="H833" s="44" t="s">
        <v>76</v>
      </c>
      <c r="I833" s="48" t="s">
        <v>482</v>
      </c>
      <c r="J833" s="45">
        <v>42783</v>
      </c>
      <c r="K833" s="45">
        <v>42790</v>
      </c>
      <c r="L833" s="45"/>
    </row>
    <row r="834" spans="1:12" ht="18" customHeight="1">
      <c r="A834" s="43" t="s">
        <v>453</v>
      </c>
      <c r="B834" s="44" t="s">
        <v>459</v>
      </c>
      <c r="C834" s="44" t="s">
        <v>120</v>
      </c>
      <c r="D834" s="85">
        <v>10104918696</v>
      </c>
      <c r="E834" s="44" t="s">
        <v>875</v>
      </c>
      <c r="F834" s="44" t="s">
        <v>949</v>
      </c>
      <c r="G834" s="44" t="s">
        <v>552</v>
      </c>
      <c r="H834" s="44" t="s">
        <v>74</v>
      </c>
      <c r="I834" s="48" t="s">
        <v>481</v>
      </c>
      <c r="J834" s="45">
        <v>42783</v>
      </c>
      <c r="K834" s="45">
        <v>42790</v>
      </c>
      <c r="L834" s="45"/>
    </row>
    <row r="835" spans="1:12" ht="18" customHeight="1">
      <c r="A835" s="43" t="s">
        <v>453</v>
      </c>
      <c r="B835" s="44" t="s">
        <v>459</v>
      </c>
      <c r="C835" s="44" t="s">
        <v>120</v>
      </c>
      <c r="D835" s="85">
        <v>10104918787</v>
      </c>
      <c r="E835" s="44" t="s">
        <v>689</v>
      </c>
      <c r="F835" s="44" t="s">
        <v>949</v>
      </c>
      <c r="G835" s="44" t="s">
        <v>690</v>
      </c>
      <c r="H835" s="44" t="s">
        <v>74</v>
      </c>
      <c r="I835" s="48" t="s">
        <v>481</v>
      </c>
      <c r="J835" s="45">
        <v>42783</v>
      </c>
      <c r="K835" s="45">
        <v>42790</v>
      </c>
      <c r="L835" s="45"/>
    </row>
    <row r="836" spans="1:12" ht="18" customHeight="1">
      <c r="A836" s="43" t="s">
        <v>453</v>
      </c>
      <c r="B836" s="44" t="s">
        <v>459</v>
      </c>
      <c r="C836" s="44" t="s">
        <v>120</v>
      </c>
      <c r="D836" s="85">
        <v>10104918713</v>
      </c>
      <c r="E836" s="44" t="s">
        <v>876</v>
      </c>
      <c r="F836" s="44" t="s">
        <v>831</v>
      </c>
      <c r="G836" s="44" t="s">
        <v>553</v>
      </c>
      <c r="H836" s="44" t="s">
        <v>74</v>
      </c>
      <c r="I836" s="48" t="s">
        <v>481</v>
      </c>
      <c r="J836" s="45">
        <v>42783</v>
      </c>
      <c r="K836" s="45">
        <v>42790</v>
      </c>
      <c r="L836" s="45"/>
    </row>
    <row r="837" spans="1:12" ht="18" customHeight="1">
      <c r="A837" s="43" t="s">
        <v>453</v>
      </c>
      <c r="B837" s="44" t="s">
        <v>454</v>
      </c>
      <c r="C837" s="44" t="s">
        <v>120</v>
      </c>
      <c r="D837" s="85">
        <v>10104921452</v>
      </c>
      <c r="E837" s="44" t="s">
        <v>907</v>
      </c>
      <c r="F837" s="44" t="s">
        <v>949</v>
      </c>
      <c r="G837" s="44" t="s">
        <v>553</v>
      </c>
      <c r="H837" s="44" t="s">
        <v>76</v>
      </c>
      <c r="I837" s="48" t="s">
        <v>482</v>
      </c>
      <c r="J837" s="45">
        <v>42785</v>
      </c>
      <c r="K837" s="45">
        <v>42790</v>
      </c>
      <c r="L837" s="45"/>
    </row>
    <row r="838" spans="1:12" ht="18" customHeight="1">
      <c r="A838" s="43" t="s">
        <v>453</v>
      </c>
      <c r="B838" s="44" t="s">
        <v>459</v>
      </c>
      <c r="C838" s="44" t="s">
        <v>120</v>
      </c>
      <c r="D838" s="85">
        <v>10104918725</v>
      </c>
      <c r="E838" s="44" t="s">
        <v>595</v>
      </c>
      <c r="F838" s="44" t="s">
        <v>949</v>
      </c>
      <c r="G838" s="44" t="s">
        <v>554</v>
      </c>
      <c r="H838" s="44" t="s">
        <v>74</v>
      </c>
      <c r="I838" s="48" t="s">
        <v>481</v>
      </c>
      <c r="J838" s="45">
        <v>42783</v>
      </c>
      <c r="K838" s="45">
        <v>42790</v>
      </c>
      <c r="L838" s="45"/>
    </row>
    <row r="839" spans="1:12" ht="18" customHeight="1">
      <c r="A839" s="43" t="s">
        <v>453</v>
      </c>
      <c r="B839" s="44" t="s">
        <v>459</v>
      </c>
      <c r="C839" s="44" t="s">
        <v>120</v>
      </c>
      <c r="D839" s="85">
        <v>10104918786</v>
      </c>
      <c r="E839" s="44" t="s">
        <v>638</v>
      </c>
      <c r="F839" s="44" t="s">
        <v>949</v>
      </c>
      <c r="G839" s="44" t="s">
        <v>555</v>
      </c>
      <c r="H839" s="44" t="s">
        <v>74</v>
      </c>
      <c r="I839" s="48" t="s">
        <v>481</v>
      </c>
      <c r="J839" s="45">
        <v>42783</v>
      </c>
      <c r="K839" s="45">
        <v>42790</v>
      </c>
      <c r="L839" s="45"/>
    </row>
    <row r="840" spans="1:12" ht="18" customHeight="1">
      <c r="A840" s="43" t="s">
        <v>453</v>
      </c>
      <c r="B840" s="44" t="s">
        <v>459</v>
      </c>
      <c r="C840" s="44" t="s">
        <v>120</v>
      </c>
      <c r="D840" s="85">
        <v>10104918808</v>
      </c>
      <c r="E840" s="44" t="s">
        <v>728</v>
      </c>
      <c r="F840" s="44" t="s">
        <v>180</v>
      </c>
      <c r="G840" s="44" t="s">
        <v>556</v>
      </c>
      <c r="H840" s="44" t="s">
        <v>74</v>
      </c>
      <c r="I840" s="48" t="s">
        <v>481</v>
      </c>
      <c r="J840" s="45">
        <v>42783</v>
      </c>
      <c r="K840" s="45">
        <v>42790</v>
      </c>
      <c r="L840" s="45">
        <v>42790</v>
      </c>
    </row>
    <row r="841" spans="1:12" ht="18" customHeight="1">
      <c r="A841" s="43" t="s">
        <v>453</v>
      </c>
      <c r="B841" s="44" t="s">
        <v>459</v>
      </c>
      <c r="C841" s="44" t="s">
        <v>120</v>
      </c>
      <c r="D841" s="85">
        <v>10104918698</v>
      </c>
      <c r="E841" s="44" t="s">
        <v>729</v>
      </c>
      <c r="F841" s="44" t="s">
        <v>949</v>
      </c>
      <c r="G841" s="44" t="s">
        <v>557</v>
      </c>
      <c r="H841" s="44" t="s">
        <v>74</v>
      </c>
      <c r="I841" s="48" t="s">
        <v>481</v>
      </c>
      <c r="J841" s="45">
        <v>42783</v>
      </c>
      <c r="K841" s="45">
        <v>42790</v>
      </c>
      <c r="L841" s="45"/>
    </row>
    <row r="842" spans="1:12" ht="18" customHeight="1">
      <c r="A842" s="43" t="s">
        <v>453</v>
      </c>
      <c r="B842" s="44" t="s">
        <v>454</v>
      </c>
      <c r="C842" s="44" t="s">
        <v>120</v>
      </c>
      <c r="D842" s="85">
        <v>10104930948</v>
      </c>
      <c r="E842" s="44" t="s">
        <v>1414</v>
      </c>
      <c r="F842" s="44" t="s">
        <v>180</v>
      </c>
      <c r="G842" s="44" t="s">
        <v>558</v>
      </c>
      <c r="H842" s="44" t="s">
        <v>332</v>
      </c>
      <c r="I842" s="48" t="s">
        <v>482</v>
      </c>
      <c r="J842" s="45">
        <v>42783</v>
      </c>
      <c r="K842" s="45">
        <v>42783</v>
      </c>
      <c r="L842" s="45">
        <v>42783</v>
      </c>
    </row>
    <row r="843" spans="1:12" ht="18" customHeight="1">
      <c r="A843" s="43" t="s">
        <v>453</v>
      </c>
      <c r="B843" s="44" t="s">
        <v>459</v>
      </c>
      <c r="C843" s="44" t="s">
        <v>120</v>
      </c>
      <c r="D843" s="85">
        <v>10104918726</v>
      </c>
      <c r="E843" s="44" t="s">
        <v>730</v>
      </c>
      <c r="F843" s="44" t="s">
        <v>949</v>
      </c>
      <c r="G843" s="44" t="s">
        <v>558</v>
      </c>
      <c r="H843" s="44" t="s">
        <v>74</v>
      </c>
      <c r="I843" s="48" t="s">
        <v>481</v>
      </c>
      <c r="J843" s="45">
        <v>42783</v>
      </c>
      <c r="K843" s="45">
        <v>42790</v>
      </c>
      <c r="L843" s="45"/>
    </row>
    <row r="844" spans="1:12" ht="18" customHeight="1">
      <c r="A844" s="43" t="s">
        <v>453</v>
      </c>
      <c r="B844" s="44" t="s">
        <v>459</v>
      </c>
      <c r="C844" s="44" t="s">
        <v>120</v>
      </c>
      <c r="D844" s="85">
        <v>10104918717</v>
      </c>
      <c r="E844" s="44" t="s">
        <v>731</v>
      </c>
      <c r="F844" s="44" t="s">
        <v>949</v>
      </c>
      <c r="G844" s="44" t="s">
        <v>559</v>
      </c>
      <c r="H844" s="44" t="s">
        <v>74</v>
      </c>
      <c r="I844" s="48" t="s">
        <v>481</v>
      </c>
      <c r="J844" s="45">
        <v>42783</v>
      </c>
      <c r="K844" s="45">
        <v>42790</v>
      </c>
      <c r="L844" s="45"/>
    </row>
    <row r="845" spans="1:12" ht="18" customHeight="1">
      <c r="A845" s="43" t="s">
        <v>453</v>
      </c>
      <c r="B845" s="44" t="s">
        <v>459</v>
      </c>
      <c r="C845" s="44" t="s">
        <v>120</v>
      </c>
      <c r="D845" s="85">
        <v>10104918715</v>
      </c>
      <c r="E845" s="44" t="s">
        <v>732</v>
      </c>
      <c r="F845" s="44" t="s">
        <v>949</v>
      </c>
      <c r="G845" s="44" t="s">
        <v>466</v>
      </c>
      <c r="H845" s="44" t="s">
        <v>74</v>
      </c>
      <c r="I845" s="48" t="s">
        <v>481</v>
      </c>
      <c r="J845" s="45">
        <v>42783</v>
      </c>
      <c r="K845" s="45">
        <v>42790</v>
      </c>
      <c r="L845" s="45"/>
    </row>
    <row r="846" spans="1:12" ht="18" customHeight="1">
      <c r="A846" s="43" t="s">
        <v>467</v>
      </c>
      <c r="B846" s="44" t="s">
        <v>468</v>
      </c>
      <c r="C846" s="44" t="s">
        <v>73</v>
      </c>
      <c r="D846" s="85">
        <v>10104920128</v>
      </c>
      <c r="E846" s="44" t="s">
        <v>469</v>
      </c>
      <c r="F846" s="44" t="s">
        <v>75</v>
      </c>
      <c r="G846" s="44" t="s">
        <v>470</v>
      </c>
      <c r="H846" s="44" t="s">
        <v>76</v>
      </c>
      <c r="I846" s="48" t="s">
        <v>482</v>
      </c>
      <c r="J846" s="45">
        <v>42784</v>
      </c>
      <c r="K846" s="45">
        <v>42790</v>
      </c>
      <c r="L846" s="45">
        <v>42790</v>
      </c>
    </row>
    <row r="847" spans="1:12" ht="18" customHeight="1">
      <c r="A847" s="43" t="s">
        <v>467</v>
      </c>
      <c r="B847" s="44" t="s">
        <v>468</v>
      </c>
      <c r="C847" s="44" t="s">
        <v>73</v>
      </c>
      <c r="D847" s="85">
        <v>10104920184</v>
      </c>
      <c r="E847" s="44" t="s">
        <v>471</v>
      </c>
      <c r="F847" s="44" t="s">
        <v>75</v>
      </c>
      <c r="G847" s="44" t="s">
        <v>472</v>
      </c>
      <c r="H847" s="44" t="s">
        <v>76</v>
      </c>
      <c r="I847" s="48" t="s">
        <v>482</v>
      </c>
      <c r="J847" s="45">
        <v>42784</v>
      </c>
      <c r="K847" s="45">
        <v>42790</v>
      </c>
      <c r="L847" s="45">
        <v>42790</v>
      </c>
    </row>
    <row r="848" spans="1:12" ht="18" customHeight="1">
      <c r="A848" s="43" t="s">
        <v>1417</v>
      </c>
      <c r="B848" s="44" t="s">
        <v>1418</v>
      </c>
      <c r="C848" s="44" t="s">
        <v>120</v>
      </c>
      <c r="D848" s="85">
        <v>10104929985</v>
      </c>
      <c r="E848" s="44" t="s">
        <v>1419</v>
      </c>
      <c r="F848" s="44" t="s">
        <v>1420</v>
      </c>
      <c r="G848" s="44" t="s">
        <v>1421</v>
      </c>
      <c r="H848" s="44" t="s">
        <v>74</v>
      </c>
      <c r="I848" s="44"/>
      <c r="J848" s="45">
        <v>42792</v>
      </c>
      <c r="K848" s="45">
        <v>42792</v>
      </c>
      <c r="L848" s="45">
        <v>42774</v>
      </c>
    </row>
    <row r="849" spans="1:12" ht="18" customHeight="1">
      <c r="A849" s="43" t="s">
        <v>1417</v>
      </c>
      <c r="B849" s="44" t="s">
        <v>1418</v>
      </c>
      <c r="C849" s="44" t="s">
        <v>120</v>
      </c>
      <c r="D849" s="85">
        <v>10104884028</v>
      </c>
      <c r="E849" s="44" t="s">
        <v>1422</v>
      </c>
      <c r="F849" s="44" t="s">
        <v>75</v>
      </c>
      <c r="G849" s="44" t="s">
        <v>1423</v>
      </c>
      <c r="H849" s="44" t="s">
        <v>74</v>
      </c>
      <c r="I849" s="44"/>
      <c r="J849" s="45">
        <v>42779</v>
      </c>
      <c r="K849" s="45">
        <v>42779</v>
      </c>
      <c r="L849" s="45">
        <v>42779</v>
      </c>
    </row>
    <row r="850" spans="1:12" ht="18" customHeight="1">
      <c r="A850" s="43" t="s">
        <v>1417</v>
      </c>
      <c r="B850" s="44" t="s">
        <v>1418</v>
      </c>
      <c r="C850" s="44" t="s">
        <v>120</v>
      </c>
      <c r="D850" s="85">
        <v>10104922528</v>
      </c>
      <c r="E850" s="44" t="s">
        <v>1424</v>
      </c>
      <c r="F850" s="44" t="s">
        <v>1425</v>
      </c>
      <c r="G850" s="44" t="s">
        <v>1426</v>
      </c>
      <c r="H850" s="44" t="s">
        <v>74</v>
      </c>
      <c r="I850" s="44"/>
      <c r="J850" s="45">
        <v>42768</v>
      </c>
      <c r="K850" s="45">
        <v>42768</v>
      </c>
      <c r="L850" s="45"/>
    </row>
    <row r="851" spans="1:12" ht="18" customHeight="1">
      <c r="A851" s="43" t="s">
        <v>1417</v>
      </c>
      <c r="B851" s="44" t="s">
        <v>1418</v>
      </c>
      <c r="C851" s="44" t="s">
        <v>120</v>
      </c>
      <c r="D851" s="85">
        <v>10104927136</v>
      </c>
      <c r="E851" s="44" t="s">
        <v>1427</v>
      </c>
      <c r="F851" s="44" t="s">
        <v>1428</v>
      </c>
      <c r="G851" s="44" t="s">
        <v>1429</v>
      </c>
      <c r="H851" s="44" t="s">
        <v>74</v>
      </c>
      <c r="I851" s="44"/>
      <c r="J851" s="45">
        <v>42770</v>
      </c>
      <c r="K851" s="45">
        <v>42770</v>
      </c>
      <c r="L851" s="45">
        <v>42772</v>
      </c>
    </row>
    <row r="852" spans="1:12" ht="18" customHeight="1">
      <c r="A852" s="43" t="s">
        <v>1417</v>
      </c>
      <c r="B852" s="44" t="s">
        <v>1418</v>
      </c>
      <c r="C852" s="44" t="s">
        <v>120</v>
      </c>
      <c r="D852" s="85">
        <v>10104962398</v>
      </c>
      <c r="E852" s="44" t="s">
        <v>1430</v>
      </c>
      <c r="F852" s="44" t="s">
        <v>1425</v>
      </c>
      <c r="G852" s="44" t="s">
        <v>1431</v>
      </c>
      <c r="H852" s="44" t="s">
        <v>74</v>
      </c>
      <c r="I852" s="44"/>
      <c r="J852" s="45">
        <v>42789</v>
      </c>
      <c r="K852" s="45">
        <v>42789</v>
      </c>
      <c r="L852" s="45"/>
    </row>
    <row r="853" spans="1:12" ht="18" customHeight="1">
      <c r="A853" s="43" t="s">
        <v>1417</v>
      </c>
      <c r="B853" s="44" t="s">
        <v>1418</v>
      </c>
      <c r="C853" s="44" t="s">
        <v>120</v>
      </c>
      <c r="D853" s="85">
        <v>10104962397</v>
      </c>
      <c r="E853" s="44" t="s">
        <v>1432</v>
      </c>
      <c r="F853" s="44" t="s">
        <v>1425</v>
      </c>
      <c r="G853" s="44" t="s">
        <v>1431</v>
      </c>
      <c r="H853" s="44" t="s">
        <v>74</v>
      </c>
      <c r="I853" s="44"/>
      <c r="J853" s="45">
        <v>42789</v>
      </c>
      <c r="K853" s="45">
        <v>42789</v>
      </c>
      <c r="L853" s="45"/>
    </row>
    <row r="854" spans="1:12" ht="18" customHeight="1">
      <c r="A854" s="43" t="s">
        <v>1417</v>
      </c>
      <c r="B854" s="44" t="s">
        <v>1418</v>
      </c>
      <c r="C854" s="44" t="s">
        <v>120</v>
      </c>
      <c r="D854" s="85">
        <v>10104952352</v>
      </c>
      <c r="E854" s="44" t="s">
        <v>1433</v>
      </c>
      <c r="F854" s="44" t="s">
        <v>1425</v>
      </c>
      <c r="G854" s="44" t="s">
        <v>1434</v>
      </c>
      <c r="H854" s="44" t="s">
        <v>74</v>
      </c>
      <c r="I854" s="44"/>
      <c r="J854" s="45">
        <v>42781</v>
      </c>
      <c r="K854" s="45">
        <v>42781</v>
      </c>
      <c r="L854" s="45"/>
    </row>
    <row r="855" spans="1:12" ht="18" customHeight="1">
      <c r="A855" s="43" t="s">
        <v>1417</v>
      </c>
      <c r="B855" s="44" t="s">
        <v>1418</v>
      </c>
      <c r="C855" s="44" t="s">
        <v>120</v>
      </c>
      <c r="D855" s="85">
        <v>10104953874</v>
      </c>
      <c r="E855" s="44" t="s">
        <v>1435</v>
      </c>
      <c r="F855" s="44" t="s">
        <v>1436</v>
      </c>
      <c r="G855" s="44" t="s">
        <v>1437</v>
      </c>
      <c r="H855" s="44" t="s">
        <v>74</v>
      </c>
      <c r="I855" s="44"/>
      <c r="J855" s="45">
        <v>42780</v>
      </c>
      <c r="K855" s="45">
        <v>42780</v>
      </c>
      <c r="L855" s="45">
        <v>42795</v>
      </c>
    </row>
    <row r="856" spans="1:12" ht="18" customHeight="1">
      <c r="A856" s="43" t="s">
        <v>1417</v>
      </c>
      <c r="B856" s="44" t="s">
        <v>1418</v>
      </c>
      <c r="C856" s="44" t="s">
        <v>120</v>
      </c>
      <c r="D856" s="85">
        <v>10104953873</v>
      </c>
      <c r="E856" s="44" t="s">
        <v>1438</v>
      </c>
      <c r="F856" s="44" t="s">
        <v>180</v>
      </c>
      <c r="G856" s="44" t="s">
        <v>1437</v>
      </c>
      <c r="H856" s="44" t="s">
        <v>74</v>
      </c>
      <c r="I856" s="44"/>
      <c r="J856" s="45">
        <v>42780</v>
      </c>
      <c r="K856" s="45">
        <v>42795</v>
      </c>
      <c r="L856" s="45">
        <v>42795</v>
      </c>
    </row>
    <row r="857" spans="1:12" ht="18" customHeight="1">
      <c r="A857" s="43" t="s">
        <v>1417</v>
      </c>
      <c r="B857" s="44" t="s">
        <v>1418</v>
      </c>
      <c r="C857" s="44" t="s">
        <v>120</v>
      </c>
      <c r="D857" s="85">
        <v>10104946841</v>
      </c>
      <c r="E857" s="44" t="s">
        <v>1439</v>
      </c>
      <c r="F857" s="44" t="s">
        <v>1440</v>
      </c>
      <c r="G857" s="44" t="s">
        <v>1441</v>
      </c>
      <c r="H857" s="44" t="s">
        <v>74</v>
      </c>
      <c r="I857" s="44"/>
      <c r="J857" s="45">
        <v>42774</v>
      </c>
      <c r="K857" s="45">
        <v>42774</v>
      </c>
      <c r="L857" s="45">
        <v>42795</v>
      </c>
    </row>
    <row r="858" spans="1:12" ht="18" customHeight="1">
      <c r="A858" s="43" t="s">
        <v>1417</v>
      </c>
      <c r="B858" s="44" t="s">
        <v>1418</v>
      </c>
      <c r="C858" s="44" t="s">
        <v>120</v>
      </c>
      <c r="D858" s="85">
        <v>10104946812</v>
      </c>
      <c r="E858" s="44" t="s">
        <v>1442</v>
      </c>
      <c r="F858" s="44" t="s">
        <v>1440</v>
      </c>
      <c r="G858" s="44" t="s">
        <v>1441</v>
      </c>
      <c r="H858" s="44" t="s">
        <v>74</v>
      </c>
      <c r="I858" s="44"/>
      <c r="J858" s="45">
        <v>42774</v>
      </c>
      <c r="K858" s="45">
        <v>42774</v>
      </c>
      <c r="L858" s="45">
        <v>42795</v>
      </c>
    </row>
    <row r="859" spans="1:12" ht="18" customHeight="1">
      <c r="A859" s="43" t="s">
        <v>1417</v>
      </c>
      <c r="B859" s="44" t="s">
        <v>1418</v>
      </c>
      <c r="C859" s="44" t="s">
        <v>120</v>
      </c>
      <c r="D859" s="85">
        <v>10104946811</v>
      </c>
      <c r="E859" s="44" t="s">
        <v>1443</v>
      </c>
      <c r="F859" s="44" t="s">
        <v>1444</v>
      </c>
      <c r="G859" s="44" t="s">
        <v>1441</v>
      </c>
      <c r="H859" s="44" t="s">
        <v>74</v>
      </c>
      <c r="I859" s="44"/>
      <c r="J859" s="45">
        <v>42774</v>
      </c>
      <c r="K859" s="45">
        <v>42795</v>
      </c>
      <c r="L859" s="45">
        <v>42795</v>
      </c>
    </row>
    <row r="860" spans="1:12" ht="18" customHeight="1">
      <c r="A860" s="43" t="s">
        <v>1417</v>
      </c>
      <c r="B860" s="44" t="s">
        <v>1418</v>
      </c>
      <c r="C860" s="44" t="s">
        <v>120</v>
      </c>
      <c r="D860" s="85">
        <v>10104946840</v>
      </c>
      <c r="E860" s="44" t="s">
        <v>1445</v>
      </c>
      <c r="F860" s="44" t="s">
        <v>1028</v>
      </c>
      <c r="G860" s="44" t="s">
        <v>1441</v>
      </c>
      <c r="H860" s="44" t="s">
        <v>74</v>
      </c>
      <c r="I860" s="44"/>
      <c r="J860" s="45">
        <v>42774</v>
      </c>
      <c r="K860" s="45">
        <v>42795</v>
      </c>
      <c r="L860" s="45">
        <v>42795</v>
      </c>
    </row>
    <row r="861" spans="1:12" ht="18" customHeight="1">
      <c r="A861" s="43" t="s">
        <v>1446</v>
      </c>
      <c r="B861" s="44" t="s">
        <v>1447</v>
      </c>
      <c r="C861" s="44" t="s">
        <v>120</v>
      </c>
      <c r="D861" s="85">
        <v>10104966055</v>
      </c>
      <c r="E861" s="44" t="s">
        <v>1419</v>
      </c>
      <c r="F861" s="44" t="s">
        <v>519</v>
      </c>
      <c r="G861" s="44" t="s">
        <v>1448</v>
      </c>
      <c r="H861" s="44" t="s">
        <v>1449</v>
      </c>
      <c r="I861" s="44"/>
      <c r="J861" s="45">
        <v>42792</v>
      </c>
      <c r="K861" s="45">
        <v>42792</v>
      </c>
      <c r="L861" s="45"/>
    </row>
    <row r="862" spans="1:12" ht="18" customHeight="1">
      <c r="A862" s="43" t="s">
        <v>1446</v>
      </c>
      <c r="B862" s="44" t="s">
        <v>1447</v>
      </c>
      <c r="C862" s="44" t="s">
        <v>120</v>
      </c>
      <c r="D862" s="85">
        <v>10104948929</v>
      </c>
      <c r="E862" s="44" t="s">
        <v>1422</v>
      </c>
      <c r="F862" s="44" t="s">
        <v>216</v>
      </c>
      <c r="G862" s="44" t="s">
        <v>1450</v>
      </c>
      <c r="H862" s="44" t="s">
        <v>1449</v>
      </c>
      <c r="I862" s="44"/>
      <c r="J862" s="45">
        <v>42778</v>
      </c>
      <c r="K862" s="45">
        <v>42778</v>
      </c>
      <c r="L862" s="45"/>
    </row>
    <row r="863" spans="1:12" ht="18" customHeight="1">
      <c r="A863" s="43" t="s">
        <v>1446</v>
      </c>
      <c r="B863" s="44" t="s">
        <v>1447</v>
      </c>
      <c r="C863" s="44" t="s">
        <v>120</v>
      </c>
      <c r="D863" s="85">
        <v>10104930814</v>
      </c>
      <c r="E863" s="44" t="s">
        <v>1419</v>
      </c>
      <c r="F863" s="44" t="s">
        <v>1451</v>
      </c>
      <c r="G863" s="44" t="s">
        <v>1450</v>
      </c>
      <c r="H863" s="44" t="s">
        <v>1449</v>
      </c>
      <c r="I863" s="44"/>
      <c r="J863" s="45">
        <v>42775</v>
      </c>
      <c r="K863" s="45">
        <v>42775</v>
      </c>
      <c r="L863" s="45">
        <v>42772</v>
      </c>
    </row>
    <row r="864" spans="1:12" ht="18" customHeight="1">
      <c r="A864" s="43" t="s">
        <v>1446</v>
      </c>
      <c r="B864" s="44" t="s">
        <v>1447</v>
      </c>
      <c r="C864" s="44" t="s">
        <v>120</v>
      </c>
      <c r="D864" s="85">
        <v>10104967209</v>
      </c>
      <c r="E864" s="44" t="s">
        <v>1419</v>
      </c>
      <c r="F864" s="44" t="s">
        <v>519</v>
      </c>
      <c r="G864" s="44" t="s">
        <v>1452</v>
      </c>
      <c r="H864" s="44" t="s">
        <v>1449</v>
      </c>
      <c r="I864" s="44"/>
      <c r="J864" s="45">
        <v>42793</v>
      </c>
      <c r="K864" s="45">
        <v>42793</v>
      </c>
      <c r="L864" s="45"/>
    </row>
    <row r="865" spans="1:12" ht="18" customHeight="1">
      <c r="A865" s="43" t="s">
        <v>1446</v>
      </c>
      <c r="B865" s="44" t="s">
        <v>1447</v>
      </c>
      <c r="C865" s="44" t="s">
        <v>120</v>
      </c>
      <c r="D865" s="85">
        <v>10104967208</v>
      </c>
      <c r="E865" s="44" t="s">
        <v>1453</v>
      </c>
      <c r="F865" s="44" t="s">
        <v>1454</v>
      </c>
      <c r="G865" s="44" t="s">
        <v>1455</v>
      </c>
      <c r="H865" s="44" t="s">
        <v>1449</v>
      </c>
      <c r="I865" s="44"/>
      <c r="J865" s="45">
        <v>42793</v>
      </c>
      <c r="K865" s="45">
        <v>42793</v>
      </c>
      <c r="L865" s="45"/>
    </row>
    <row r="866" spans="1:12" ht="18" customHeight="1">
      <c r="A866" s="43"/>
      <c r="B866" s="44"/>
      <c r="C866" s="44"/>
      <c r="D866" s="85"/>
      <c r="E866" s="44"/>
      <c r="F866" s="44"/>
      <c r="G866" s="44"/>
      <c r="H866" s="44"/>
      <c r="I866" s="48"/>
      <c r="J866" s="45"/>
      <c r="K866" s="45"/>
      <c r="L866" s="45"/>
    </row>
    <row r="867" spans="1:12" ht="18" customHeight="1">
      <c r="A867" s="43"/>
      <c r="B867" s="44"/>
      <c r="C867" s="44"/>
      <c r="D867" s="85"/>
      <c r="E867" s="44"/>
      <c r="F867" s="44"/>
      <c r="G867" s="44"/>
      <c r="H867" s="44"/>
      <c r="I867" s="48"/>
      <c r="J867" s="45"/>
      <c r="K867" s="45"/>
      <c r="L867" s="45"/>
    </row>
    <row r="868" spans="1:12" ht="18" customHeight="1">
      <c r="A868" s="43"/>
      <c r="B868" s="44"/>
      <c r="C868" s="44"/>
      <c r="D868" s="85"/>
      <c r="E868" s="44"/>
      <c r="F868" s="44"/>
      <c r="G868" s="44"/>
      <c r="H868" s="44"/>
      <c r="I868" s="48"/>
      <c r="J868" s="45"/>
      <c r="K868" s="45"/>
      <c r="L868" s="45"/>
    </row>
    <row r="869" spans="1:12" ht="18" customHeight="1">
      <c r="A869" s="43"/>
      <c r="B869" s="44"/>
      <c r="C869" s="44"/>
      <c r="D869" s="85"/>
      <c r="E869" s="44"/>
      <c r="F869" s="44"/>
      <c r="G869" s="44"/>
      <c r="H869" s="44"/>
      <c r="I869" s="48"/>
      <c r="J869" s="45"/>
      <c r="K869" s="45"/>
      <c r="L869" s="45"/>
    </row>
    <row r="870" spans="1:12" ht="18" customHeight="1">
      <c r="A870" s="43"/>
      <c r="B870" s="44"/>
      <c r="C870" s="44"/>
      <c r="D870" s="85"/>
      <c r="E870" s="44"/>
      <c r="F870" s="44"/>
      <c r="G870" s="44"/>
      <c r="H870" s="44"/>
      <c r="I870" s="48"/>
      <c r="J870" s="45"/>
      <c r="K870" s="45"/>
      <c r="L870" s="45"/>
    </row>
    <row r="871" spans="1:12" ht="18" customHeight="1">
      <c r="A871" s="43"/>
      <c r="B871" s="44"/>
      <c r="C871" s="44"/>
      <c r="D871" s="85"/>
      <c r="E871" s="44"/>
      <c r="F871" s="44"/>
      <c r="G871" s="44"/>
      <c r="H871" s="44"/>
      <c r="I871" s="48"/>
      <c r="J871" s="45"/>
      <c r="K871" s="45"/>
      <c r="L871" s="45"/>
    </row>
    <row r="872" spans="1:12" ht="18" customHeight="1">
      <c r="A872" s="43"/>
      <c r="B872" s="44"/>
      <c r="C872" s="44"/>
      <c r="D872" s="85"/>
      <c r="E872" s="44"/>
      <c r="F872" s="44"/>
      <c r="G872" s="44"/>
      <c r="H872" s="44"/>
      <c r="I872" s="48"/>
      <c r="J872" s="45"/>
      <c r="K872" s="45"/>
      <c r="L872" s="45"/>
    </row>
    <row r="873" spans="1:12" ht="18" customHeight="1">
      <c r="A873" s="43"/>
      <c r="B873" s="44"/>
      <c r="C873" s="44"/>
      <c r="D873" s="85"/>
      <c r="E873" s="44"/>
      <c r="F873" s="44"/>
      <c r="G873" s="44"/>
      <c r="H873" s="44"/>
      <c r="I873" s="48"/>
      <c r="J873" s="45"/>
      <c r="K873" s="45"/>
      <c r="L873" s="45"/>
    </row>
    <row r="874" spans="1:12" ht="18" customHeight="1">
      <c r="A874" s="43"/>
      <c r="B874" s="44"/>
      <c r="C874" s="44"/>
      <c r="D874" s="85"/>
      <c r="E874" s="44"/>
      <c r="F874" s="44"/>
      <c r="G874" s="44"/>
      <c r="H874" s="44"/>
      <c r="I874" s="48"/>
      <c r="J874" s="45"/>
      <c r="K874" s="45"/>
      <c r="L874" s="45"/>
    </row>
    <row r="875" spans="1:12" ht="18" customHeight="1">
      <c r="A875" s="43"/>
      <c r="B875" s="44"/>
      <c r="C875" s="44"/>
      <c r="D875" s="85"/>
      <c r="E875" s="44"/>
      <c r="F875" s="44"/>
      <c r="G875" s="44"/>
      <c r="H875" s="44"/>
      <c r="I875" s="48"/>
      <c r="J875" s="45"/>
      <c r="K875" s="45"/>
      <c r="L875" s="45"/>
    </row>
    <row r="876" spans="1:12" ht="18" customHeight="1">
      <c r="A876" s="43"/>
      <c r="B876" s="44"/>
      <c r="C876" s="44"/>
      <c r="D876" s="85"/>
      <c r="E876" s="44"/>
      <c r="F876" s="44"/>
      <c r="G876" s="44"/>
      <c r="H876" s="44"/>
      <c r="I876" s="48"/>
      <c r="J876" s="45"/>
      <c r="K876" s="45"/>
      <c r="L876" s="45"/>
    </row>
    <row r="877" spans="1:12" ht="18" customHeight="1">
      <c r="A877" s="43"/>
      <c r="B877" s="44"/>
      <c r="C877" s="44"/>
      <c r="D877" s="85"/>
      <c r="E877" s="44"/>
      <c r="F877" s="44"/>
      <c r="G877" s="44"/>
      <c r="H877" s="44"/>
      <c r="I877" s="48"/>
      <c r="J877" s="45"/>
      <c r="K877" s="45"/>
      <c r="L877" s="45"/>
    </row>
    <row r="878" spans="1:12" ht="18" customHeight="1">
      <c r="A878" s="43"/>
      <c r="B878" s="44"/>
      <c r="C878" s="44"/>
      <c r="D878" s="85"/>
      <c r="E878" s="44"/>
      <c r="F878" s="44"/>
      <c r="G878" s="44"/>
      <c r="H878" s="44"/>
      <c r="I878" s="48"/>
      <c r="J878" s="45"/>
      <c r="K878" s="45"/>
      <c r="L878" s="45"/>
    </row>
    <row r="879" spans="1:12" ht="18" customHeight="1">
      <c r="A879" s="43"/>
      <c r="B879" s="44"/>
      <c r="C879" s="44"/>
      <c r="D879" s="85"/>
      <c r="E879" s="44"/>
      <c r="F879" s="44"/>
      <c r="G879" s="44"/>
      <c r="H879" s="44"/>
      <c r="I879" s="48"/>
      <c r="J879" s="45"/>
      <c r="K879" s="45"/>
      <c r="L879" s="45"/>
    </row>
    <row r="880" spans="1:12" ht="18" customHeight="1">
      <c r="A880" s="43"/>
      <c r="B880" s="44"/>
      <c r="C880" s="44"/>
      <c r="D880" s="85"/>
      <c r="E880" s="44"/>
      <c r="F880" s="44"/>
      <c r="G880" s="44"/>
      <c r="H880" s="44"/>
      <c r="I880" s="48"/>
      <c r="J880" s="45"/>
      <c r="K880" s="45"/>
      <c r="L880" s="45"/>
    </row>
    <row r="881" spans="1:12" ht="18" customHeight="1">
      <c r="A881" s="43"/>
      <c r="B881" s="44"/>
      <c r="C881" s="44"/>
      <c r="D881" s="85"/>
      <c r="E881" s="44"/>
      <c r="F881" s="44"/>
      <c r="G881" s="44"/>
      <c r="H881" s="44"/>
      <c r="I881" s="48"/>
      <c r="J881" s="45"/>
      <c r="K881" s="45"/>
      <c r="L881" s="45"/>
    </row>
    <row r="882" spans="1:12" ht="18" customHeight="1">
      <c r="A882" s="43"/>
      <c r="B882" s="44"/>
      <c r="C882" s="44"/>
      <c r="D882" s="85"/>
      <c r="E882" s="44"/>
      <c r="F882" s="44"/>
      <c r="G882" s="44"/>
      <c r="H882" s="44"/>
      <c r="I882" s="48"/>
      <c r="J882" s="45"/>
      <c r="K882" s="45"/>
      <c r="L882" s="45"/>
    </row>
    <row r="883" spans="1:12" ht="18" customHeight="1">
      <c r="A883" s="43"/>
      <c r="B883" s="44"/>
      <c r="C883" s="44"/>
      <c r="D883" s="85"/>
      <c r="E883" s="44"/>
      <c r="F883" s="44"/>
      <c r="G883" s="44"/>
      <c r="H883" s="44"/>
      <c r="I883" s="48"/>
      <c r="J883" s="45"/>
      <c r="K883" s="45"/>
      <c r="L883" s="45"/>
    </row>
    <row r="884" spans="1:12" ht="18" customHeight="1">
      <c r="A884" s="43"/>
      <c r="B884" s="44"/>
      <c r="C884" s="44"/>
      <c r="D884" s="85"/>
      <c r="E884" s="44"/>
      <c r="F884" s="44"/>
      <c r="G884" s="44"/>
      <c r="H884" s="44"/>
      <c r="I884" s="48"/>
      <c r="J884" s="45"/>
      <c r="K884" s="45"/>
      <c r="L884" s="45"/>
    </row>
    <row r="885" spans="1:12" ht="18" customHeight="1">
      <c r="A885" s="43"/>
      <c r="B885" s="44"/>
      <c r="C885" s="44"/>
      <c r="D885" s="85"/>
      <c r="E885" s="44"/>
      <c r="F885" s="44"/>
      <c r="G885" s="44"/>
      <c r="H885" s="44"/>
      <c r="I885" s="48"/>
      <c r="J885" s="45"/>
      <c r="K885" s="45"/>
      <c r="L885" s="45"/>
    </row>
    <row r="886" spans="1:12" ht="18" customHeight="1">
      <c r="A886" s="43"/>
      <c r="B886" s="44"/>
      <c r="C886" s="44"/>
      <c r="D886" s="85"/>
      <c r="E886" s="44"/>
      <c r="F886" s="44"/>
      <c r="G886" s="44"/>
      <c r="H886" s="44"/>
      <c r="I886" s="48"/>
      <c r="J886" s="45"/>
      <c r="K886" s="45"/>
      <c r="L886" s="45"/>
    </row>
    <row r="887" spans="1:12" ht="18" customHeight="1">
      <c r="A887" s="43"/>
      <c r="B887" s="44"/>
      <c r="C887" s="44"/>
      <c r="D887" s="85"/>
      <c r="E887" s="44"/>
      <c r="F887" s="44"/>
      <c r="G887" s="44"/>
      <c r="H887" s="44"/>
      <c r="I887" s="48"/>
      <c r="J887" s="45"/>
      <c r="K887" s="45"/>
      <c r="L887" s="45"/>
    </row>
    <row r="888" spans="1:12" ht="18" customHeight="1">
      <c r="A888" s="43"/>
      <c r="B888" s="44"/>
      <c r="C888" s="44"/>
      <c r="D888" s="85"/>
      <c r="E888" s="44"/>
      <c r="F888" s="44"/>
      <c r="G888" s="44"/>
      <c r="H888" s="44"/>
      <c r="I888" s="48"/>
      <c r="J888" s="45"/>
      <c r="K888" s="45"/>
      <c r="L888" s="45"/>
    </row>
    <row r="889" spans="1:12" ht="18" customHeight="1">
      <c r="A889" s="43"/>
      <c r="B889" s="44"/>
      <c r="C889" s="44"/>
      <c r="D889" s="85"/>
      <c r="E889" s="44"/>
      <c r="F889" s="44"/>
      <c r="G889" s="44"/>
      <c r="H889" s="44"/>
      <c r="I889" s="48"/>
      <c r="J889" s="45"/>
      <c r="K889" s="45"/>
      <c r="L889" s="45"/>
    </row>
    <row r="890" spans="1:12" ht="18" customHeight="1">
      <c r="A890" s="43"/>
      <c r="B890" s="44"/>
      <c r="C890" s="44"/>
      <c r="D890" s="85"/>
      <c r="E890" s="44"/>
      <c r="F890" s="44"/>
      <c r="G890" s="44"/>
      <c r="H890" s="44"/>
      <c r="I890" s="48"/>
      <c r="J890" s="45"/>
      <c r="K890" s="45"/>
      <c r="L890" s="45"/>
    </row>
    <row r="891" spans="1:12" ht="18" customHeight="1">
      <c r="A891" s="43"/>
      <c r="B891" s="44"/>
      <c r="C891" s="44"/>
      <c r="D891" s="85"/>
      <c r="E891" s="44"/>
      <c r="F891" s="44"/>
      <c r="G891" s="44"/>
      <c r="H891" s="44"/>
      <c r="I891" s="48"/>
      <c r="J891" s="45"/>
      <c r="K891" s="45"/>
      <c r="L891" s="45"/>
    </row>
    <row r="892" spans="1:12" ht="18" customHeight="1">
      <c r="A892" s="43"/>
      <c r="B892" s="44"/>
      <c r="C892" s="44"/>
      <c r="D892" s="85"/>
      <c r="E892" s="44"/>
      <c r="F892" s="44"/>
      <c r="G892" s="44"/>
      <c r="H892" s="44"/>
      <c r="I892" s="48"/>
      <c r="J892" s="45"/>
      <c r="K892" s="45"/>
      <c r="L892" s="45"/>
    </row>
    <row r="893" spans="1:12" ht="18" customHeight="1">
      <c r="A893" s="43"/>
      <c r="B893" s="44"/>
      <c r="C893" s="44"/>
      <c r="D893" s="85"/>
      <c r="E893" s="44"/>
      <c r="F893" s="44"/>
      <c r="G893" s="44"/>
      <c r="H893" s="44"/>
      <c r="I893" s="48"/>
      <c r="J893" s="45"/>
      <c r="K893" s="45"/>
      <c r="L893" s="45"/>
    </row>
    <row r="894" spans="1:12" ht="18" customHeight="1">
      <c r="A894" s="43"/>
      <c r="B894" s="44"/>
      <c r="C894" s="44"/>
      <c r="D894" s="85"/>
      <c r="E894" s="44"/>
      <c r="F894" s="44"/>
      <c r="G894" s="44"/>
      <c r="H894" s="44"/>
      <c r="I894" s="48"/>
      <c r="J894" s="45"/>
      <c r="K894" s="45"/>
      <c r="L894" s="45"/>
    </row>
    <row r="895" spans="1:12" ht="18" customHeight="1">
      <c r="A895" s="43"/>
      <c r="B895" s="44"/>
      <c r="C895" s="44"/>
      <c r="D895" s="85"/>
      <c r="E895" s="44"/>
      <c r="F895" s="44"/>
      <c r="G895" s="44"/>
      <c r="H895" s="44"/>
      <c r="I895" s="48"/>
      <c r="J895" s="45"/>
      <c r="K895" s="45"/>
      <c r="L895" s="45"/>
    </row>
    <row r="896" spans="1:12" ht="18" customHeight="1">
      <c r="A896" s="43"/>
      <c r="B896" s="44"/>
      <c r="C896" s="44"/>
      <c r="D896" s="85"/>
      <c r="E896" s="44"/>
      <c r="F896" s="44"/>
      <c r="G896" s="44"/>
      <c r="H896" s="44"/>
      <c r="I896" s="48"/>
      <c r="J896" s="45"/>
      <c r="K896" s="45"/>
      <c r="L896" s="45"/>
    </row>
    <row r="897" spans="1:12" ht="18" customHeight="1">
      <c r="A897" s="43"/>
      <c r="B897" s="44"/>
      <c r="C897" s="44"/>
      <c r="D897" s="85"/>
      <c r="E897" s="44"/>
      <c r="F897" s="44"/>
      <c r="G897" s="44"/>
      <c r="H897" s="44"/>
      <c r="I897" s="48"/>
      <c r="J897" s="45"/>
      <c r="K897" s="45"/>
      <c r="L897" s="45"/>
    </row>
    <row r="898" spans="1:12" ht="18" customHeight="1">
      <c r="A898" s="43"/>
      <c r="B898" s="44"/>
      <c r="C898" s="44"/>
      <c r="D898" s="85"/>
      <c r="E898" s="44"/>
      <c r="F898" s="44"/>
      <c r="G898" s="44"/>
      <c r="H898" s="44"/>
      <c r="I898" s="48"/>
      <c r="J898" s="45"/>
      <c r="K898" s="45"/>
      <c r="L898" s="45"/>
    </row>
    <row r="899" spans="1:12" ht="18" customHeight="1">
      <c r="A899" s="43"/>
      <c r="B899" s="44"/>
      <c r="C899" s="44"/>
      <c r="D899" s="85"/>
      <c r="E899" s="44"/>
      <c r="F899" s="44"/>
      <c r="G899" s="44"/>
      <c r="H899" s="44"/>
      <c r="I899" s="48"/>
      <c r="J899" s="45"/>
      <c r="K899" s="45"/>
      <c r="L899" s="45"/>
    </row>
    <row r="900" spans="1:12" ht="18" customHeight="1">
      <c r="A900" s="43"/>
      <c r="B900" s="44"/>
      <c r="C900" s="44"/>
      <c r="D900" s="85"/>
      <c r="E900" s="44"/>
      <c r="F900" s="44"/>
      <c r="G900" s="44"/>
      <c r="H900" s="44"/>
      <c r="I900" s="48"/>
      <c r="J900" s="45"/>
      <c r="K900" s="45"/>
      <c r="L900" s="45"/>
    </row>
    <row r="901" spans="1:12" ht="18" customHeight="1">
      <c r="A901" s="43"/>
      <c r="B901" s="44"/>
      <c r="C901" s="44"/>
      <c r="D901" s="85"/>
      <c r="E901" s="44"/>
      <c r="F901" s="44"/>
      <c r="G901" s="44"/>
      <c r="H901" s="44"/>
      <c r="I901" s="48"/>
      <c r="J901" s="45"/>
      <c r="K901" s="45"/>
      <c r="L901" s="45"/>
    </row>
    <row r="902" spans="1:12" ht="18" customHeight="1">
      <c r="A902" s="43"/>
      <c r="B902" s="44"/>
      <c r="C902" s="44"/>
      <c r="D902" s="85"/>
      <c r="E902" s="44"/>
      <c r="F902" s="44"/>
      <c r="G902" s="44"/>
      <c r="H902" s="44"/>
      <c r="I902" s="48"/>
      <c r="J902" s="45"/>
      <c r="K902" s="45"/>
      <c r="L902" s="45"/>
    </row>
    <row r="903" spans="1:12" ht="18" customHeight="1">
      <c r="A903" s="43"/>
      <c r="B903" s="44"/>
      <c r="C903" s="44"/>
      <c r="D903" s="85"/>
      <c r="E903" s="44"/>
      <c r="F903" s="44"/>
      <c r="G903" s="44"/>
      <c r="H903" s="44"/>
      <c r="I903" s="48"/>
      <c r="J903" s="45"/>
      <c r="K903" s="45"/>
      <c r="L903" s="45"/>
    </row>
    <row r="904" spans="1:12" ht="18" customHeight="1">
      <c r="A904" s="43"/>
      <c r="B904" s="44"/>
      <c r="C904" s="44"/>
      <c r="D904" s="85"/>
      <c r="E904" s="44"/>
      <c r="F904" s="44"/>
      <c r="G904" s="44"/>
      <c r="H904" s="44"/>
      <c r="I904" s="48"/>
      <c r="J904" s="45"/>
      <c r="K904" s="45"/>
      <c r="L904" s="45"/>
    </row>
    <row r="905" spans="1:12" ht="18" customHeight="1">
      <c r="A905" s="43"/>
      <c r="B905" s="44"/>
      <c r="C905" s="44"/>
      <c r="D905" s="85"/>
      <c r="E905" s="44"/>
      <c r="F905" s="44"/>
      <c r="G905" s="44"/>
      <c r="H905" s="44"/>
      <c r="I905" s="48"/>
      <c r="J905" s="45"/>
      <c r="K905" s="45"/>
      <c r="L905" s="45"/>
    </row>
    <row r="906" spans="1:12" ht="18" customHeight="1">
      <c r="A906" s="43"/>
      <c r="B906" s="44"/>
      <c r="C906" s="44"/>
      <c r="D906" s="85"/>
      <c r="E906" s="44"/>
      <c r="F906" s="44"/>
      <c r="G906" s="44"/>
      <c r="H906" s="44"/>
      <c r="I906" s="48"/>
      <c r="J906" s="45"/>
      <c r="K906" s="45"/>
      <c r="L906" s="45"/>
    </row>
    <row r="907" spans="1:12" ht="18" customHeight="1">
      <c r="A907" s="43"/>
      <c r="B907" s="44"/>
      <c r="C907" s="44"/>
      <c r="D907" s="85"/>
      <c r="E907" s="44"/>
      <c r="F907" s="44"/>
      <c r="G907" s="44"/>
      <c r="H907" s="44"/>
      <c r="I907" s="48"/>
      <c r="J907" s="45"/>
      <c r="K907" s="45"/>
      <c r="L907" s="45"/>
    </row>
    <row r="908" spans="1:12" ht="18" customHeight="1">
      <c r="A908" s="43"/>
      <c r="B908" s="44"/>
      <c r="C908" s="44"/>
      <c r="D908" s="85"/>
      <c r="E908" s="44"/>
      <c r="F908" s="44"/>
      <c r="G908" s="44"/>
      <c r="H908" s="44"/>
      <c r="I908" s="48"/>
      <c r="J908" s="45"/>
      <c r="K908" s="45"/>
      <c r="L908" s="45"/>
    </row>
    <row r="909" spans="1:12" ht="18" customHeight="1">
      <c r="A909" s="43"/>
      <c r="B909" s="44"/>
      <c r="C909" s="44"/>
      <c r="D909" s="85"/>
      <c r="E909" s="44"/>
      <c r="F909" s="44"/>
      <c r="G909" s="44"/>
      <c r="H909" s="44"/>
      <c r="I909" s="48"/>
      <c r="J909" s="45"/>
      <c r="K909" s="45"/>
      <c r="L909" s="45"/>
    </row>
    <row r="910" spans="1:12" ht="18" customHeight="1">
      <c r="A910" s="43"/>
      <c r="B910" s="44"/>
      <c r="C910" s="44"/>
      <c r="D910" s="85"/>
      <c r="E910" s="44"/>
      <c r="F910" s="44"/>
      <c r="G910" s="44"/>
      <c r="H910" s="44"/>
      <c r="I910" s="48"/>
      <c r="J910" s="45"/>
      <c r="K910" s="45"/>
      <c r="L910" s="45"/>
    </row>
    <row r="911" spans="1:12" ht="18" customHeight="1">
      <c r="A911" s="43"/>
      <c r="B911" s="44"/>
      <c r="C911" s="44"/>
      <c r="D911" s="85"/>
      <c r="E911" s="44"/>
      <c r="F911" s="44"/>
      <c r="G911" s="44"/>
      <c r="H911" s="44"/>
      <c r="I911" s="48"/>
      <c r="J911" s="45"/>
      <c r="K911" s="45"/>
      <c r="L911" s="45"/>
    </row>
    <row r="912" spans="1:12" ht="18" customHeight="1">
      <c r="A912" s="43"/>
      <c r="B912" s="44"/>
      <c r="C912" s="44"/>
      <c r="D912" s="85"/>
      <c r="E912" s="44"/>
      <c r="F912" s="44"/>
      <c r="G912" s="44"/>
      <c r="H912" s="44"/>
      <c r="I912" s="48"/>
      <c r="J912" s="45"/>
      <c r="K912" s="45"/>
      <c r="L912" s="45"/>
    </row>
    <row r="913" spans="1:12" ht="18" customHeight="1">
      <c r="A913" s="43"/>
      <c r="B913" s="44"/>
      <c r="C913" s="44"/>
      <c r="D913" s="85"/>
      <c r="E913" s="44"/>
      <c r="F913" s="44"/>
      <c r="G913" s="44"/>
      <c r="H913" s="44"/>
      <c r="I913" s="48"/>
      <c r="J913" s="45"/>
      <c r="K913" s="45"/>
      <c r="L913" s="45"/>
    </row>
    <row r="914" spans="1:12" ht="18" customHeight="1">
      <c r="A914" s="43"/>
      <c r="B914" s="44"/>
      <c r="C914" s="44"/>
      <c r="D914" s="85"/>
      <c r="E914" s="44"/>
      <c r="F914" s="44"/>
      <c r="G914" s="44"/>
      <c r="H914" s="44"/>
      <c r="I914" s="48"/>
      <c r="J914" s="45"/>
      <c r="K914" s="45"/>
      <c r="L914" s="45"/>
    </row>
    <row r="915" spans="1:12" ht="18" customHeight="1">
      <c r="A915" s="43"/>
      <c r="B915" s="44"/>
      <c r="C915" s="44"/>
      <c r="D915" s="85"/>
      <c r="E915" s="44"/>
      <c r="F915" s="44"/>
      <c r="G915" s="44"/>
      <c r="H915" s="44"/>
      <c r="I915" s="48"/>
      <c r="J915" s="45"/>
      <c r="K915" s="45"/>
      <c r="L915" s="45"/>
    </row>
    <row r="916" spans="1:12" ht="18" customHeight="1">
      <c r="A916" s="43"/>
      <c r="B916" s="44"/>
      <c r="C916" s="44"/>
      <c r="D916" s="85"/>
      <c r="E916" s="44"/>
      <c r="F916" s="44"/>
      <c r="G916" s="44"/>
      <c r="H916" s="44"/>
      <c r="I916" s="48"/>
      <c r="J916" s="45"/>
      <c r="K916" s="45"/>
      <c r="L916" s="45"/>
    </row>
    <row r="917" spans="1:12" ht="18" customHeight="1">
      <c r="A917" s="43"/>
      <c r="B917" s="44"/>
      <c r="C917" s="44"/>
      <c r="D917" s="85"/>
      <c r="E917" s="44"/>
      <c r="F917" s="44"/>
      <c r="G917" s="44"/>
      <c r="H917" s="44"/>
      <c r="I917" s="48"/>
      <c r="J917" s="45"/>
      <c r="K917" s="45"/>
      <c r="L917" s="45"/>
    </row>
    <row r="918" spans="1:12" ht="18" customHeight="1">
      <c r="A918" s="43"/>
      <c r="B918" s="44"/>
      <c r="C918" s="44"/>
      <c r="D918" s="85"/>
      <c r="E918" s="44"/>
      <c r="F918" s="44"/>
      <c r="G918" s="44"/>
      <c r="H918" s="44"/>
      <c r="I918" s="48"/>
      <c r="J918" s="45"/>
      <c r="K918" s="45"/>
      <c r="L918" s="45"/>
    </row>
    <row r="919" spans="1:12" ht="18" customHeight="1">
      <c r="A919" s="43"/>
      <c r="B919" s="44"/>
      <c r="C919" s="44"/>
      <c r="D919" s="85"/>
      <c r="E919" s="44"/>
      <c r="F919" s="44"/>
      <c r="G919" s="44"/>
      <c r="H919" s="44"/>
      <c r="I919" s="48"/>
      <c r="J919" s="45"/>
      <c r="K919" s="45"/>
      <c r="L919" s="45"/>
    </row>
    <row r="920" spans="1:12" ht="18" customHeight="1">
      <c r="A920" s="43"/>
      <c r="B920" s="44"/>
      <c r="C920" s="44"/>
      <c r="D920" s="85"/>
      <c r="E920" s="44"/>
      <c r="F920" s="44"/>
      <c r="G920" s="44"/>
      <c r="H920" s="44"/>
      <c r="I920" s="48"/>
      <c r="J920" s="45"/>
      <c r="K920" s="45"/>
      <c r="L920" s="45"/>
    </row>
    <row r="921" spans="1:12" ht="18" customHeight="1">
      <c r="A921" s="43"/>
      <c r="B921" s="44"/>
      <c r="C921" s="44"/>
      <c r="D921" s="85"/>
      <c r="E921" s="44"/>
      <c r="F921" s="44"/>
      <c r="G921" s="44"/>
      <c r="H921" s="44"/>
      <c r="I921" s="48"/>
      <c r="J921" s="45"/>
      <c r="K921" s="45"/>
      <c r="L921" s="45"/>
    </row>
    <row r="922" spans="1:12" ht="18" customHeight="1">
      <c r="A922" s="43"/>
      <c r="B922" s="44"/>
      <c r="C922" s="44"/>
      <c r="D922" s="85"/>
      <c r="E922" s="44"/>
      <c r="F922" s="44"/>
      <c r="G922" s="44"/>
      <c r="H922" s="44"/>
      <c r="I922" s="48"/>
      <c r="J922" s="45"/>
      <c r="K922" s="45"/>
      <c r="L922" s="45"/>
    </row>
    <row r="923" spans="1:12" ht="18" customHeight="1">
      <c r="A923" s="43"/>
      <c r="B923" s="44"/>
      <c r="C923" s="44"/>
      <c r="D923" s="85"/>
      <c r="E923" s="44"/>
      <c r="F923" s="44"/>
      <c r="G923" s="44"/>
      <c r="H923" s="44"/>
      <c r="I923" s="48"/>
      <c r="J923" s="45"/>
      <c r="K923" s="45"/>
      <c r="L923" s="45"/>
    </row>
    <row r="924" spans="1:12" ht="18" customHeight="1">
      <c r="A924" s="43"/>
      <c r="B924" s="44"/>
      <c r="C924" s="44"/>
      <c r="D924" s="85"/>
      <c r="E924" s="44"/>
      <c r="F924" s="44"/>
      <c r="G924" s="44"/>
      <c r="H924" s="44"/>
      <c r="I924" s="48"/>
      <c r="J924" s="45"/>
      <c r="K924" s="45"/>
      <c r="L924" s="45"/>
    </row>
    <row r="925" spans="1:12" ht="18" customHeight="1">
      <c r="A925" s="43"/>
      <c r="B925" s="44"/>
      <c r="C925" s="44"/>
      <c r="D925" s="85"/>
      <c r="E925" s="44"/>
      <c r="F925" s="44"/>
      <c r="G925" s="44"/>
      <c r="H925" s="44"/>
      <c r="I925" s="48"/>
      <c r="J925" s="45"/>
      <c r="K925" s="45"/>
      <c r="L925" s="45"/>
    </row>
    <row r="926" spans="1:12" ht="18" customHeight="1">
      <c r="A926" s="43"/>
      <c r="B926" s="44"/>
      <c r="C926" s="44"/>
      <c r="D926" s="85"/>
      <c r="E926" s="44"/>
      <c r="F926" s="44"/>
      <c r="G926" s="44"/>
      <c r="H926" s="44"/>
      <c r="I926" s="48"/>
      <c r="J926" s="45"/>
      <c r="K926" s="45"/>
      <c r="L926" s="45"/>
    </row>
    <row r="927" spans="1:12" ht="18" customHeight="1">
      <c r="A927" s="43"/>
      <c r="B927" s="44"/>
      <c r="C927" s="44"/>
      <c r="D927" s="85"/>
      <c r="E927" s="44"/>
      <c r="F927" s="44"/>
      <c r="G927" s="44"/>
      <c r="H927" s="44"/>
      <c r="I927" s="48"/>
      <c r="J927" s="45"/>
      <c r="K927" s="45"/>
      <c r="L927" s="45"/>
    </row>
    <row r="928" spans="1:12" ht="18" customHeight="1">
      <c r="A928" s="43"/>
      <c r="B928" s="44"/>
      <c r="C928" s="44"/>
      <c r="D928" s="85"/>
      <c r="E928" s="44"/>
      <c r="F928" s="44"/>
      <c r="G928" s="44"/>
      <c r="H928" s="44"/>
      <c r="I928" s="48"/>
      <c r="J928" s="45"/>
      <c r="K928" s="45"/>
      <c r="L928" s="45"/>
    </row>
    <row r="929" spans="1:12" ht="18" customHeight="1">
      <c r="A929" s="43"/>
      <c r="B929" s="44"/>
      <c r="C929" s="44"/>
      <c r="D929" s="85"/>
      <c r="E929" s="44"/>
      <c r="F929" s="44"/>
      <c r="G929" s="44"/>
      <c r="H929" s="44"/>
      <c r="I929" s="48"/>
      <c r="J929" s="45"/>
      <c r="K929" s="45"/>
      <c r="L929" s="45"/>
    </row>
    <row r="930" spans="1:12" ht="18" customHeight="1">
      <c r="A930" s="43"/>
      <c r="B930" s="44"/>
      <c r="C930" s="44"/>
      <c r="D930" s="85"/>
      <c r="E930" s="44"/>
      <c r="F930" s="44"/>
      <c r="G930" s="44"/>
      <c r="H930" s="44"/>
      <c r="I930" s="48"/>
      <c r="J930" s="45"/>
      <c r="K930" s="45"/>
      <c r="L930" s="45"/>
    </row>
    <row r="931" spans="1:12" ht="18" customHeight="1">
      <c r="A931" s="43"/>
      <c r="B931" s="44"/>
      <c r="C931" s="44"/>
      <c r="D931" s="85"/>
      <c r="E931" s="44"/>
      <c r="F931" s="44"/>
      <c r="G931" s="44"/>
      <c r="H931" s="44"/>
      <c r="I931" s="48"/>
      <c r="J931" s="45"/>
      <c r="K931" s="45"/>
      <c r="L931" s="45"/>
    </row>
    <row r="932" spans="1:12" ht="18" customHeight="1">
      <c r="A932" s="43"/>
      <c r="B932" s="44"/>
      <c r="C932" s="44"/>
      <c r="D932" s="85"/>
      <c r="E932" s="44"/>
      <c r="F932" s="44"/>
      <c r="G932" s="44"/>
      <c r="H932" s="44"/>
      <c r="I932" s="48"/>
      <c r="J932" s="45"/>
      <c r="K932" s="45"/>
      <c r="L932" s="45"/>
    </row>
    <row r="933" spans="1:12" ht="18" customHeight="1">
      <c r="A933" s="43"/>
      <c r="B933" s="44"/>
      <c r="C933" s="44"/>
      <c r="D933" s="85"/>
      <c r="E933" s="44"/>
      <c r="F933" s="44"/>
      <c r="G933" s="44"/>
      <c r="H933" s="44"/>
      <c r="I933" s="48"/>
      <c r="J933" s="45"/>
      <c r="K933" s="45"/>
      <c r="L933" s="45"/>
    </row>
    <row r="934" spans="1:12" ht="18" customHeight="1">
      <c r="A934" s="43"/>
      <c r="B934" s="44"/>
      <c r="C934" s="44"/>
      <c r="D934" s="85"/>
      <c r="E934" s="44"/>
      <c r="F934" s="44"/>
      <c r="G934" s="44"/>
      <c r="H934" s="44"/>
      <c r="I934" s="48"/>
      <c r="J934" s="45"/>
      <c r="K934" s="45"/>
      <c r="L934" s="45"/>
    </row>
    <row r="935" spans="1:12" ht="18" customHeight="1">
      <c r="A935" s="43"/>
      <c r="B935" s="44"/>
      <c r="C935" s="44"/>
      <c r="D935" s="85"/>
      <c r="E935" s="44"/>
      <c r="F935" s="44"/>
      <c r="G935" s="44"/>
      <c r="H935" s="44"/>
      <c r="I935" s="48"/>
      <c r="J935" s="45"/>
      <c r="K935" s="45"/>
      <c r="L935" s="45"/>
    </row>
    <row r="936" spans="1:12" ht="18" customHeight="1">
      <c r="A936" s="43"/>
      <c r="B936" s="44"/>
      <c r="C936" s="44"/>
      <c r="D936" s="85"/>
      <c r="E936" s="44"/>
      <c r="F936" s="44"/>
      <c r="G936" s="44"/>
      <c r="H936" s="44"/>
      <c r="I936" s="48"/>
      <c r="J936" s="45"/>
      <c r="K936" s="45"/>
      <c r="L936" s="45"/>
    </row>
    <row r="937" spans="1:12" ht="18" customHeight="1">
      <c r="A937" s="43"/>
      <c r="B937" s="44"/>
      <c r="C937" s="44"/>
      <c r="D937" s="85"/>
      <c r="E937" s="44"/>
      <c r="F937" s="44"/>
      <c r="G937" s="44"/>
      <c r="H937" s="44"/>
      <c r="I937" s="48"/>
      <c r="J937" s="45"/>
      <c r="K937" s="45"/>
      <c r="L937" s="45"/>
    </row>
    <row r="938" spans="1:12" ht="18" customHeight="1">
      <c r="A938" s="43"/>
      <c r="B938" s="44"/>
      <c r="C938" s="44"/>
      <c r="D938" s="85"/>
      <c r="E938" s="44"/>
      <c r="F938" s="44"/>
      <c r="G938" s="44"/>
      <c r="H938" s="44"/>
      <c r="I938" s="48"/>
      <c r="J938" s="45"/>
      <c r="K938" s="45"/>
      <c r="L938" s="45"/>
    </row>
    <row r="939" spans="1:12" ht="18" customHeight="1">
      <c r="A939" s="43"/>
      <c r="B939" s="44"/>
      <c r="C939" s="44"/>
      <c r="D939" s="85"/>
      <c r="E939" s="44"/>
      <c r="F939" s="44"/>
      <c r="G939" s="44"/>
      <c r="H939" s="44"/>
      <c r="I939" s="48"/>
      <c r="J939" s="45"/>
      <c r="K939" s="45"/>
      <c r="L939" s="45"/>
    </row>
    <row r="940" spans="1:12" ht="18" customHeight="1">
      <c r="A940" s="43"/>
      <c r="B940" s="44"/>
      <c r="C940" s="44"/>
      <c r="D940" s="85"/>
      <c r="E940" s="44"/>
      <c r="F940" s="44"/>
      <c r="G940" s="44"/>
      <c r="H940" s="44"/>
      <c r="I940" s="48"/>
      <c r="J940" s="45"/>
      <c r="K940" s="45"/>
      <c r="L940" s="45"/>
    </row>
    <row r="941" spans="1:12" ht="18" customHeight="1">
      <c r="A941" s="43"/>
      <c r="B941" s="44"/>
      <c r="C941" s="44"/>
      <c r="D941" s="85"/>
      <c r="E941" s="44"/>
      <c r="F941" s="44"/>
      <c r="G941" s="44"/>
      <c r="H941" s="44"/>
      <c r="I941" s="48"/>
      <c r="J941" s="45"/>
      <c r="K941" s="45"/>
      <c r="L941" s="45"/>
    </row>
    <row r="942" spans="1:12" ht="18" customHeight="1">
      <c r="A942" s="43"/>
      <c r="B942" s="44"/>
      <c r="C942" s="44"/>
      <c r="D942" s="85"/>
      <c r="E942" s="44"/>
      <c r="F942" s="44"/>
      <c r="G942" s="44"/>
      <c r="H942" s="44"/>
      <c r="I942" s="48"/>
      <c r="J942" s="45"/>
      <c r="K942" s="45"/>
      <c r="L942" s="45"/>
    </row>
    <row r="943" spans="1:12" ht="18" customHeight="1">
      <c r="A943" s="43"/>
      <c r="B943" s="44"/>
      <c r="C943" s="44"/>
      <c r="D943" s="85"/>
      <c r="E943" s="44"/>
      <c r="F943" s="44"/>
      <c r="G943" s="44"/>
      <c r="H943" s="44"/>
      <c r="I943" s="48"/>
      <c r="J943" s="45"/>
      <c r="K943" s="45"/>
      <c r="L943" s="45"/>
    </row>
    <row r="944" spans="1:12" ht="18" customHeight="1">
      <c r="A944" s="43"/>
      <c r="B944" s="44"/>
      <c r="C944" s="44"/>
      <c r="D944" s="85"/>
      <c r="E944" s="44"/>
      <c r="F944" s="44"/>
      <c r="G944" s="44"/>
      <c r="H944" s="44"/>
      <c r="I944" s="48"/>
      <c r="J944" s="45"/>
      <c r="K944" s="45"/>
      <c r="L944" s="45"/>
    </row>
    <row r="945" spans="1:12" ht="18" customHeight="1">
      <c r="A945" s="43"/>
      <c r="B945" s="44"/>
      <c r="C945" s="44"/>
      <c r="D945" s="85"/>
      <c r="E945" s="44"/>
      <c r="F945" s="44"/>
      <c r="G945" s="44"/>
      <c r="H945" s="44"/>
      <c r="I945" s="48"/>
      <c r="J945" s="45"/>
      <c r="K945" s="45"/>
      <c r="L945" s="45"/>
    </row>
    <row r="946" spans="1:12" ht="18" customHeight="1">
      <c r="A946" s="43"/>
      <c r="B946" s="44"/>
      <c r="C946" s="44"/>
      <c r="D946" s="85"/>
      <c r="E946" s="44"/>
      <c r="F946" s="44"/>
      <c r="G946" s="44"/>
      <c r="H946" s="44"/>
      <c r="I946" s="48"/>
      <c r="J946" s="45"/>
      <c r="K946" s="45"/>
      <c r="L946" s="45"/>
    </row>
    <row r="947" spans="1:12" ht="18" customHeight="1">
      <c r="A947" s="43"/>
      <c r="B947" s="44"/>
      <c r="C947" s="44"/>
      <c r="D947" s="85"/>
      <c r="E947" s="44"/>
      <c r="F947" s="44"/>
      <c r="G947" s="44"/>
      <c r="H947" s="44"/>
      <c r="I947" s="48"/>
      <c r="J947" s="45"/>
      <c r="K947" s="45"/>
      <c r="L947" s="45"/>
    </row>
    <row r="948" spans="1:12" ht="18" customHeight="1">
      <c r="A948" s="43"/>
      <c r="B948" s="44"/>
      <c r="C948" s="44"/>
      <c r="D948" s="85"/>
      <c r="E948" s="44"/>
      <c r="F948" s="44"/>
      <c r="G948" s="44"/>
      <c r="H948" s="44"/>
      <c r="I948" s="48"/>
      <c r="J948" s="45"/>
      <c r="K948" s="45"/>
      <c r="L948" s="45"/>
    </row>
    <row r="949" spans="1:12" ht="18" customHeight="1">
      <c r="A949" s="43"/>
      <c r="B949" s="44"/>
      <c r="C949" s="44"/>
      <c r="D949" s="85"/>
      <c r="E949" s="44"/>
      <c r="F949" s="44"/>
      <c r="G949" s="44"/>
      <c r="H949" s="44"/>
      <c r="I949" s="48"/>
      <c r="J949" s="45"/>
      <c r="K949" s="45"/>
      <c r="L949" s="45"/>
    </row>
    <row r="950" spans="1:12" ht="18" customHeight="1">
      <c r="A950" s="43"/>
      <c r="B950" s="44"/>
      <c r="C950" s="44"/>
      <c r="D950" s="85"/>
      <c r="E950" s="44"/>
      <c r="F950" s="44"/>
      <c r="G950" s="44"/>
      <c r="H950" s="44"/>
      <c r="I950" s="48"/>
      <c r="J950" s="45"/>
      <c r="K950" s="45"/>
      <c r="L950" s="45"/>
    </row>
    <row r="951" spans="1:12" ht="18" customHeight="1">
      <c r="A951" s="43"/>
      <c r="B951" s="44"/>
      <c r="C951" s="44"/>
      <c r="D951" s="85"/>
      <c r="E951" s="44"/>
      <c r="F951" s="44"/>
      <c r="G951" s="44"/>
      <c r="H951" s="44"/>
      <c r="I951" s="48"/>
      <c r="J951" s="45"/>
      <c r="K951" s="45"/>
      <c r="L951" s="45"/>
    </row>
    <row r="952" spans="1:12" ht="18" customHeight="1">
      <c r="A952" s="43"/>
      <c r="B952" s="44"/>
      <c r="C952" s="44"/>
      <c r="D952" s="85"/>
      <c r="E952" s="44"/>
      <c r="F952" s="44"/>
      <c r="G952" s="44"/>
      <c r="H952" s="44"/>
      <c r="I952" s="48"/>
      <c r="J952" s="45"/>
      <c r="K952" s="45"/>
      <c r="L952" s="45"/>
    </row>
    <row r="953" spans="1:12" ht="18" customHeight="1">
      <c r="A953" s="43"/>
      <c r="B953" s="44"/>
      <c r="C953" s="44"/>
      <c r="D953" s="85"/>
      <c r="E953" s="44"/>
      <c r="F953" s="44"/>
      <c r="G953" s="44"/>
      <c r="H953" s="44"/>
      <c r="I953" s="48"/>
      <c r="J953" s="45"/>
      <c r="K953" s="45"/>
      <c r="L953" s="45"/>
    </row>
    <row r="954" spans="1:12" ht="18" customHeight="1">
      <c r="A954" s="43"/>
      <c r="B954" s="44"/>
      <c r="C954" s="44"/>
      <c r="D954" s="85"/>
      <c r="E954" s="44"/>
      <c r="F954" s="44"/>
      <c r="G954" s="44"/>
      <c r="H954" s="44"/>
      <c r="I954" s="48"/>
      <c r="J954" s="45"/>
      <c r="K954" s="45"/>
      <c r="L954" s="45"/>
    </row>
    <row r="955" spans="1:12" ht="18" customHeight="1">
      <c r="A955" s="43"/>
      <c r="B955" s="44"/>
      <c r="C955" s="44"/>
      <c r="D955" s="85"/>
      <c r="E955" s="44"/>
      <c r="F955" s="44"/>
      <c r="G955" s="44"/>
      <c r="H955" s="44"/>
      <c r="I955" s="48"/>
      <c r="J955" s="45"/>
      <c r="K955" s="45"/>
      <c r="L955" s="45"/>
    </row>
    <row r="956" spans="1:12" ht="18" customHeight="1">
      <c r="A956" s="43"/>
      <c r="B956" s="44"/>
      <c r="C956" s="44"/>
      <c r="D956" s="85"/>
      <c r="E956" s="44"/>
      <c r="F956" s="44"/>
      <c r="G956" s="44"/>
      <c r="H956" s="44"/>
      <c r="I956" s="48"/>
      <c r="J956" s="45"/>
      <c r="K956" s="45"/>
      <c r="L956" s="45"/>
    </row>
    <row r="957" spans="1:12" ht="18" customHeight="1">
      <c r="A957" s="43"/>
      <c r="B957" s="44"/>
      <c r="C957" s="44"/>
      <c r="D957" s="85"/>
      <c r="E957" s="44"/>
      <c r="F957" s="44"/>
      <c r="G957" s="44"/>
      <c r="H957" s="44"/>
      <c r="I957" s="48"/>
      <c r="J957" s="45"/>
      <c r="K957" s="45"/>
      <c r="L957" s="45"/>
    </row>
    <row r="958" spans="1:12" ht="18" customHeight="1">
      <c r="A958" s="43"/>
      <c r="B958" s="44"/>
      <c r="C958" s="44"/>
      <c r="D958" s="85"/>
      <c r="E958" s="44"/>
      <c r="F958" s="44"/>
      <c r="G958" s="44"/>
      <c r="H958" s="44"/>
      <c r="I958" s="48"/>
      <c r="J958" s="45"/>
      <c r="K958" s="45"/>
      <c r="L958" s="45"/>
    </row>
    <row r="959" spans="1:12" ht="18" customHeight="1">
      <c r="A959" s="43"/>
      <c r="B959" s="44"/>
      <c r="C959" s="44"/>
      <c r="D959" s="85"/>
      <c r="E959" s="44"/>
      <c r="F959" s="44"/>
      <c r="G959" s="44"/>
      <c r="H959" s="44"/>
      <c r="I959" s="48"/>
      <c r="J959" s="45"/>
      <c r="K959" s="45"/>
      <c r="L959" s="45"/>
    </row>
    <row r="960" spans="1:12" ht="18" customHeight="1">
      <c r="A960" s="43"/>
      <c r="B960" s="44"/>
      <c r="C960" s="44"/>
      <c r="D960" s="85"/>
      <c r="E960" s="44"/>
      <c r="F960" s="44"/>
      <c r="G960" s="44"/>
      <c r="H960" s="44"/>
      <c r="I960" s="48"/>
      <c r="J960" s="45"/>
      <c r="K960" s="45"/>
      <c r="L960" s="45"/>
    </row>
    <row r="961" spans="1:12" ht="18" customHeight="1">
      <c r="A961" s="43"/>
      <c r="B961" s="44"/>
      <c r="C961" s="44"/>
      <c r="D961" s="85"/>
      <c r="E961" s="44"/>
      <c r="F961" s="44"/>
      <c r="G961" s="44"/>
      <c r="H961" s="44"/>
      <c r="I961" s="48"/>
      <c r="J961" s="45"/>
      <c r="K961" s="45"/>
      <c r="L961" s="45"/>
    </row>
    <row r="962" spans="1:12" ht="18" customHeight="1">
      <c r="A962" s="43"/>
      <c r="B962" s="44"/>
      <c r="C962" s="44"/>
      <c r="D962" s="85"/>
      <c r="E962" s="44"/>
      <c r="F962" s="44"/>
      <c r="G962" s="44"/>
      <c r="H962" s="44"/>
      <c r="I962" s="48"/>
      <c r="J962" s="45"/>
      <c r="K962" s="45"/>
      <c r="L962" s="45"/>
    </row>
    <row r="963" spans="1:12" ht="18" customHeight="1">
      <c r="A963" s="43"/>
      <c r="B963" s="44"/>
      <c r="C963" s="44"/>
      <c r="D963" s="85"/>
      <c r="E963" s="44"/>
      <c r="F963" s="44"/>
      <c r="G963" s="44"/>
      <c r="H963" s="44"/>
      <c r="I963" s="48"/>
      <c r="J963" s="45"/>
      <c r="K963" s="45"/>
      <c r="L963" s="45"/>
    </row>
    <row r="964" spans="1:12" ht="18" customHeight="1">
      <c r="A964" s="43"/>
      <c r="B964" s="44"/>
      <c r="C964" s="44"/>
      <c r="D964" s="85"/>
      <c r="E964" s="44"/>
      <c r="F964" s="44"/>
      <c r="G964" s="44"/>
      <c r="H964" s="44"/>
      <c r="I964" s="48"/>
      <c r="J964" s="45"/>
      <c r="K964" s="45"/>
      <c r="L964" s="45"/>
    </row>
    <row r="965" spans="1:12" ht="18" customHeight="1">
      <c r="A965" s="43"/>
      <c r="B965" s="44"/>
      <c r="C965" s="44"/>
      <c r="D965" s="85"/>
      <c r="E965" s="44"/>
      <c r="F965" s="44"/>
      <c r="G965" s="44"/>
      <c r="H965" s="44"/>
      <c r="I965" s="48"/>
      <c r="J965" s="45"/>
      <c r="K965" s="45"/>
      <c r="L965" s="45"/>
    </row>
    <row r="966" spans="1:12" ht="18" customHeight="1">
      <c r="A966" s="43"/>
      <c r="B966" s="44"/>
      <c r="C966" s="44"/>
      <c r="D966" s="85"/>
      <c r="E966" s="44"/>
      <c r="F966" s="44"/>
      <c r="G966" s="44"/>
      <c r="H966" s="44"/>
      <c r="I966" s="48"/>
      <c r="J966" s="45"/>
      <c r="K966" s="45"/>
      <c r="L966" s="45"/>
    </row>
    <row r="967" spans="1:12" ht="18" customHeight="1">
      <c r="A967" s="43"/>
      <c r="B967" s="44"/>
      <c r="C967" s="44"/>
      <c r="D967" s="85"/>
      <c r="E967" s="44"/>
      <c r="F967" s="44"/>
      <c r="G967" s="44"/>
      <c r="H967" s="44"/>
      <c r="I967" s="48"/>
      <c r="J967" s="45"/>
      <c r="K967" s="45"/>
      <c r="L967" s="45"/>
    </row>
    <row r="968" spans="1:12" ht="18" customHeight="1">
      <c r="A968" s="43"/>
      <c r="B968" s="44"/>
      <c r="C968" s="44"/>
      <c r="D968" s="85"/>
      <c r="E968" s="44"/>
      <c r="F968" s="44"/>
      <c r="G968" s="44"/>
      <c r="H968" s="44"/>
      <c r="I968" s="48"/>
      <c r="J968" s="45"/>
      <c r="K968" s="45"/>
      <c r="L968" s="45"/>
    </row>
    <row r="969" spans="1:12" ht="18" customHeight="1">
      <c r="A969" s="43"/>
      <c r="B969" s="44"/>
      <c r="C969" s="44"/>
      <c r="D969" s="85"/>
      <c r="E969" s="44"/>
      <c r="F969" s="44"/>
      <c r="G969" s="44"/>
      <c r="H969" s="44"/>
      <c r="I969" s="48"/>
      <c r="J969" s="45"/>
      <c r="K969" s="45"/>
      <c r="L969" s="45"/>
    </row>
    <row r="970" spans="1:12" ht="18" customHeight="1">
      <c r="A970" s="43"/>
      <c r="B970" s="44"/>
      <c r="C970" s="44"/>
      <c r="D970" s="85"/>
      <c r="E970" s="44"/>
      <c r="F970" s="44"/>
      <c r="G970" s="44"/>
      <c r="H970" s="44"/>
      <c r="I970" s="48"/>
      <c r="J970" s="45"/>
      <c r="K970" s="45"/>
      <c r="L970" s="45"/>
    </row>
    <row r="971" spans="1:12" ht="18" customHeight="1">
      <c r="A971" s="43"/>
      <c r="B971" s="44"/>
      <c r="C971" s="44"/>
      <c r="D971" s="85"/>
      <c r="E971" s="44"/>
      <c r="F971" s="44"/>
      <c r="G971" s="44"/>
      <c r="H971" s="44"/>
      <c r="I971" s="48"/>
      <c r="J971" s="45"/>
      <c r="K971" s="45"/>
      <c r="L971" s="45"/>
    </row>
    <row r="972" spans="1:12" ht="18" customHeight="1">
      <c r="A972" s="43"/>
      <c r="B972" s="44"/>
      <c r="C972" s="44"/>
      <c r="D972" s="85"/>
      <c r="E972" s="44"/>
      <c r="F972" s="44"/>
      <c r="G972" s="44"/>
      <c r="H972" s="44"/>
      <c r="I972" s="48"/>
      <c r="J972" s="45"/>
      <c r="K972" s="45"/>
      <c r="L972" s="45"/>
    </row>
    <row r="973" spans="1:12" ht="18" customHeight="1">
      <c r="A973" s="43"/>
      <c r="B973" s="44"/>
      <c r="C973" s="44"/>
      <c r="D973" s="85"/>
      <c r="E973" s="44"/>
      <c r="F973" s="44"/>
      <c r="G973" s="44"/>
      <c r="H973" s="44"/>
      <c r="I973" s="48"/>
      <c r="J973" s="45"/>
      <c r="K973" s="45"/>
      <c r="L973" s="45"/>
    </row>
    <row r="974" spans="1:12" ht="18" customHeight="1">
      <c r="A974" s="43"/>
      <c r="B974" s="44"/>
      <c r="C974" s="44"/>
      <c r="D974" s="85"/>
      <c r="E974" s="44"/>
      <c r="F974" s="44"/>
      <c r="G974" s="44"/>
      <c r="H974" s="44"/>
      <c r="I974" s="48"/>
      <c r="J974" s="45"/>
      <c r="K974" s="45"/>
      <c r="L974" s="45"/>
    </row>
    <row r="975" spans="1:12" ht="18" customHeight="1">
      <c r="A975" s="43"/>
      <c r="B975" s="44"/>
      <c r="C975" s="44"/>
      <c r="D975" s="85"/>
      <c r="E975" s="44"/>
      <c r="F975" s="44"/>
      <c r="G975" s="44"/>
      <c r="H975" s="44"/>
      <c r="I975" s="48"/>
      <c r="J975" s="45"/>
      <c r="K975" s="45"/>
      <c r="L975" s="45"/>
    </row>
    <row r="976" spans="1:12" ht="18" customHeight="1">
      <c r="A976" s="43"/>
      <c r="B976" s="44"/>
      <c r="C976" s="44"/>
      <c r="D976" s="85"/>
      <c r="E976" s="44"/>
      <c r="F976" s="44"/>
      <c r="G976" s="44"/>
      <c r="H976" s="44"/>
      <c r="I976" s="48"/>
      <c r="J976" s="45"/>
      <c r="K976" s="45"/>
      <c r="L976" s="45"/>
    </row>
    <row r="977" spans="1:12" ht="18" customHeight="1">
      <c r="A977" s="43"/>
      <c r="B977" s="44"/>
      <c r="C977" s="44"/>
      <c r="D977" s="85"/>
      <c r="E977" s="44"/>
      <c r="F977" s="44"/>
      <c r="G977" s="44"/>
      <c r="H977" s="44"/>
      <c r="I977" s="48"/>
      <c r="J977" s="45"/>
      <c r="K977" s="45"/>
      <c r="L977" s="45"/>
    </row>
    <row r="978" spans="1:12" ht="18" customHeight="1">
      <c r="A978" s="43"/>
      <c r="B978" s="44"/>
      <c r="C978" s="44"/>
      <c r="D978" s="85"/>
      <c r="E978" s="44"/>
      <c r="F978" s="44"/>
      <c r="G978" s="44"/>
      <c r="H978" s="44"/>
      <c r="I978" s="48"/>
      <c r="J978" s="45"/>
      <c r="K978" s="45"/>
      <c r="L978" s="45"/>
    </row>
    <row r="979" spans="1:12" ht="18" customHeight="1">
      <c r="A979" s="43"/>
      <c r="B979" s="44"/>
      <c r="C979" s="44"/>
      <c r="D979" s="85"/>
      <c r="E979" s="44"/>
      <c r="F979" s="44"/>
      <c r="G979" s="44"/>
      <c r="H979" s="44"/>
      <c r="I979" s="48"/>
      <c r="J979" s="45"/>
      <c r="K979" s="45"/>
      <c r="L979" s="45"/>
    </row>
    <row r="980" spans="1:12" ht="18" customHeight="1">
      <c r="A980" s="43"/>
      <c r="B980" s="44"/>
      <c r="C980" s="44"/>
      <c r="D980" s="85"/>
      <c r="E980" s="44"/>
      <c r="F980" s="44"/>
      <c r="G980" s="44"/>
      <c r="H980" s="44"/>
      <c r="I980" s="48"/>
      <c r="J980" s="45"/>
      <c r="K980" s="45"/>
      <c r="L980" s="45"/>
    </row>
    <row r="981" spans="1:12" ht="18" customHeight="1">
      <c r="A981" s="43"/>
      <c r="B981" s="44"/>
      <c r="C981" s="44"/>
      <c r="D981" s="85"/>
      <c r="E981" s="44"/>
      <c r="F981" s="44"/>
      <c r="G981" s="44"/>
      <c r="H981" s="44"/>
      <c r="I981" s="48"/>
      <c r="J981" s="45"/>
      <c r="K981" s="45"/>
      <c r="L981" s="45"/>
    </row>
    <row r="982" spans="1:12" ht="18" customHeight="1">
      <c r="A982" s="43"/>
      <c r="B982" s="44"/>
      <c r="C982" s="44"/>
      <c r="D982" s="85"/>
      <c r="E982" s="44"/>
      <c r="F982" s="44"/>
      <c r="G982" s="44"/>
      <c r="H982" s="44"/>
      <c r="I982" s="48"/>
      <c r="J982" s="45"/>
      <c r="K982" s="45"/>
      <c r="L982" s="45"/>
    </row>
    <row r="983" spans="1:12" ht="18" customHeight="1">
      <c r="A983" s="43"/>
      <c r="B983" s="44"/>
      <c r="C983" s="44"/>
      <c r="D983" s="85"/>
      <c r="E983" s="44"/>
      <c r="F983" s="44"/>
      <c r="G983" s="44"/>
      <c r="H983" s="44"/>
      <c r="I983" s="48"/>
      <c r="J983" s="45"/>
      <c r="K983" s="45"/>
      <c r="L983" s="45"/>
    </row>
    <row r="984" spans="1:12" ht="18" customHeight="1">
      <c r="A984" s="43"/>
      <c r="B984" s="44"/>
      <c r="C984" s="44"/>
      <c r="D984" s="85"/>
      <c r="E984" s="44"/>
      <c r="F984" s="44"/>
      <c r="G984" s="44"/>
      <c r="H984" s="44"/>
      <c r="I984" s="48"/>
      <c r="J984" s="45"/>
      <c r="K984" s="45"/>
      <c r="L984" s="45"/>
    </row>
    <row r="985" spans="1:12" ht="18" customHeight="1">
      <c r="A985" s="43"/>
      <c r="B985" s="44"/>
      <c r="C985" s="44"/>
      <c r="D985" s="85"/>
      <c r="E985" s="44"/>
      <c r="F985" s="44"/>
      <c r="G985" s="44"/>
      <c r="H985" s="44"/>
      <c r="I985" s="48"/>
      <c r="J985" s="45"/>
      <c r="K985" s="45"/>
      <c r="L985" s="45"/>
    </row>
    <row r="986" spans="1:12" ht="18" customHeight="1">
      <c r="A986" s="43"/>
      <c r="B986" s="44"/>
      <c r="C986" s="44"/>
      <c r="D986" s="85"/>
      <c r="E986" s="44"/>
      <c r="F986" s="44"/>
      <c r="G986" s="44"/>
      <c r="H986" s="44"/>
      <c r="I986" s="48"/>
      <c r="J986" s="45"/>
      <c r="K986" s="45"/>
      <c r="L986" s="45"/>
    </row>
    <row r="987" spans="1:12" ht="18" customHeight="1">
      <c r="A987" s="43"/>
      <c r="B987" s="44"/>
      <c r="C987" s="44"/>
      <c r="D987" s="85"/>
      <c r="E987" s="44"/>
      <c r="F987" s="44"/>
      <c r="G987" s="44"/>
      <c r="H987" s="44"/>
      <c r="I987" s="48"/>
      <c r="J987" s="45"/>
      <c r="K987" s="45"/>
      <c r="L987" s="45"/>
    </row>
    <row r="988" spans="1:12" ht="18" customHeight="1">
      <c r="A988" s="43"/>
      <c r="B988" s="44"/>
      <c r="C988" s="44"/>
      <c r="D988" s="85"/>
      <c r="E988" s="44"/>
      <c r="F988" s="44"/>
      <c r="G988" s="44"/>
      <c r="H988" s="44"/>
      <c r="I988" s="48"/>
      <c r="J988" s="45"/>
      <c r="K988" s="45"/>
      <c r="L988" s="45"/>
    </row>
    <row r="989" spans="1:12" ht="18" customHeight="1">
      <c r="A989" s="43"/>
      <c r="B989" s="44"/>
      <c r="C989" s="44"/>
      <c r="D989" s="85"/>
      <c r="E989" s="44"/>
      <c r="F989" s="44"/>
      <c r="G989" s="44"/>
      <c r="H989" s="44"/>
      <c r="I989" s="48"/>
      <c r="J989" s="45"/>
      <c r="K989" s="45"/>
      <c r="L989" s="45"/>
    </row>
    <row r="990" spans="1:12" ht="18" customHeight="1">
      <c r="A990" s="43"/>
      <c r="B990" s="44"/>
      <c r="C990" s="44"/>
      <c r="D990" s="85"/>
      <c r="E990" s="44"/>
      <c r="F990" s="44"/>
      <c r="G990" s="44"/>
      <c r="H990" s="44"/>
      <c r="I990" s="48"/>
      <c r="J990" s="45"/>
      <c r="K990" s="45"/>
      <c r="L990" s="45"/>
    </row>
    <row r="991" spans="1:12" ht="18" customHeight="1">
      <c r="A991" s="43"/>
      <c r="B991" s="44"/>
      <c r="C991" s="44"/>
      <c r="D991" s="85"/>
      <c r="E991" s="44"/>
      <c r="F991" s="44"/>
      <c r="G991" s="44"/>
      <c r="H991" s="44"/>
      <c r="I991" s="48"/>
      <c r="J991" s="45"/>
      <c r="K991" s="45"/>
      <c r="L991" s="45"/>
    </row>
    <row r="992" spans="1:12" ht="18" customHeight="1">
      <c r="A992" s="43"/>
      <c r="B992" s="44"/>
      <c r="C992" s="44"/>
      <c r="D992" s="85"/>
      <c r="E992" s="44"/>
      <c r="F992" s="44"/>
      <c r="G992" s="44"/>
      <c r="H992" s="44"/>
      <c r="I992" s="48"/>
      <c r="J992" s="45"/>
      <c r="K992" s="45"/>
      <c r="L992" s="45"/>
    </row>
    <row r="993" spans="1:12" ht="18" customHeight="1">
      <c r="A993" s="43"/>
      <c r="B993" s="44"/>
      <c r="C993" s="44"/>
      <c r="D993" s="85"/>
      <c r="E993" s="44"/>
      <c r="F993" s="44"/>
      <c r="G993" s="44"/>
      <c r="H993" s="44"/>
      <c r="I993" s="48"/>
      <c r="J993" s="45"/>
      <c r="K993" s="45"/>
      <c r="L993" s="45"/>
    </row>
    <row r="994" spans="1:12" ht="18" customHeight="1">
      <c r="A994" s="43"/>
      <c r="B994" s="44"/>
      <c r="C994" s="44"/>
      <c r="D994" s="85"/>
      <c r="E994" s="44"/>
      <c r="F994" s="44"/>
      <c r="G994" s="44"/>
      <c r="H994" s="44"/>
      <c r="I994" s="48"/>
      <c r="J994" s="45"/>
      <c r="K994" s="45"/>
      <c r="L994" s="45"/>
    </row>
    <row r="995" spans="1:12" ht="18" customHeight="1">
      <c r="A995" s="43"/>
      <c r="B995" s="44"/>
      <c r="C995" s="44"/>
      <c r="D995" s="85"/>
      <c r="E995" s="44"/>
      <c r="F995" s="44"/>
      <c r="G995" s="44"/>
      <c r="H995" s="44"/>
      <c r="I995" s="48"/>
      <c r="J995" s="45"/>
      <c r="K995" s="45"/>
      <c r="L995" s="45"/>
    </row>
    <row r="996" spans="1:12" ht="18" customHeight="1">
      <c r="A996" s="43"/>
      <c r="B996" s="44"/>
      <c r="C996" s="44"/>
      <c r="D996" s="85"/>
      <c r="E996" s="44"/>
      <c r="F996" s="44"/>
      <c r="G996" s="44"/>
      <c r="H996" s="44"/>
      <c r="I996" s="48"/>
      <c r="J996" s="45"/>
      <c r="K996" s="45"/>
      <c r="L996" s="45"/>
    </row>
    <row r="997" spans="1:12" ht="18" customHeight="1">
      <c r="A997" s="43"/>
      <c r="B997" s="44"/>
      <c r="C997" s="44"/>
      <c r="D997" s="85"/>
      <c r="E997" s="44"/>
      <c r="F997" s="44"/>
      <c r="G997" s="44"/>
      <c r="H997" s="44"/>
      <c r="I997" s="48"/>
      <c r="J997" s="45"/>
      <c r="K997" s="45"/>
      <c r="L997" s="45"/>
    </row>
    <row r="998" spans="1:12" ht="18" customHeight="1">
      <c r="A998" s="43"/>
      <c r="B998" s="44"/>
      <c r="C998" s="44"/>
      <c r="D998" s="85"/>
      <c r="E998" s="44"/>
      <c r="F998" s="44"/>
      <c r="G998" s="44"/>
      <c r="H998" s="44"/>
      <c r="I998" s="48"/>
      <c r="J998" s="45"/>
      <c r="K998" s="45"/>
      <c r="L998" s="45"/>
    </row>
    <row r="999" spans="1:12" ht="18" customHeight="1">
      <c r="A999" s="43"/>
      <c r="B999" s="44"/>
      <c r="C999" s="44"/>
      <c r="D999" s="85"/>
      <c r="E999" s="44"/>
      <c r="F999" s="44"/>
      <c r="G999" s="44"/>
      <c r="H999" s="44"/>
      <c r="I999" s="48"/>
      <c r="J999" s="45"/>
      <c r="K999" s="45"/>
      <c r="L999" s="45"/>
    </row>
    <row r="1000" spans="1:12" ht="18" customHeight="1">
      <c r="A1000" s="43"/>
      <c r="B1000" s="44"/>
      <c r="C1000" s="44"/>
      <c r="D1000" s="85"/>
      <c r="E1000" s="44"/>
      <c r="F1000" s="44"/>
      <c r="G1000" s="44"/>
      <c r="H1000" s="44"/>
      <c r="I1000" s="48"/>
      <c r="J1000" s="45"/>
      <c r="K1000" s="45"/>
      <c r="L1000" s="45"/>
    </row>
    <row r="1001" spans="1:12" ht="18" customHeight="1">
      <c r="A1001" s="43"/>
      <c r="B1001" s="44"/>
      <c r="C1001" s="44"/>
      <c r="D1001" s="85"/>
      <c r="E1001" s="44"/>
      <c r="F1001" s="44"/>
      <c r="G1001" s="44"/>
      <c r="H1001" s="44"/>
      <c r="I1001" s="48"/>
      <c r="J1001" s="45"/>
      <c r="K1001" s="45"/>
      <c r="L1001" s="45"/>
    </row>
    <row r="1002" spans="1:12" ht="18" customHeight="1">
      <c r="A1002" s="43"/>
      <c r="B1002" s="44"/>
      <c r="C1002" s="44"/>
      <c r="D1002" s="85"/>
      <c r="E1002" s="44"/>
      <c r="F1002" s="44"/>
      <c r="G1002" s="44"/>
      <c r="H1002" s="44"/>
      <c r="I1002" s="48"/>
      <c r="J1002" s="45"/>
      <c r="K1002" s="45"/>
      <c r="L1002" s="45"/>
    </row>
    <row r="1003" spans="1:12" ht="18" customHeight="1">
      <c r="A1003" s="43"/>
      <c r="B1003" s="44"/>
      <c r="C1003" s="44"/>
      <c r="D1003" s="85"/>
      <c r="E1003" s="44"/>
      <c r="F1003" s="44"/>
      <c r="G1003" s="44"/>
      <c r="H1003" s="44"/>
      <c r="I1003" s="48"/>
      <c r="J1003" s="45"/>
      <c r="K1003" s="45"/>
      <c r="L1003" s="45"/>
    </row>
    <row r="1004" spans="1:12" ht="18" customHeight="1">
      <c r="A1004" s="43"/>
      <c r="B1004" s="44"/>
      <c r="C1004" s="44"/>
      <c r="D1004" s="85"/>
      <c r="E1004" s="44"/>
      <c r="F1004" s="44"/>
      <c r="G1004" s="44"/>
      <c r="H1004" s="44"/>
      <c r="I1004" s="48"/>
      <c r="J1004" s="45"/>
      <c r="K1004" s="45"/>
      <c r="L1004" s="45"/>
    </row>
    <row r="1005" spans="1:12" ht="18" customHeight="1">
      <c r="A1005" s="43"/>
      <c r="B1005" s="44"/>
      <c r="C1005" s="44"/>
      <c r="D1005" s="85"/>
      <c r="E1005" s="44"/>
      <c r="F1005" s="44"/>
      <c r="G1005" s="44"/>
      <c r="H1005" s="44"/>
      <c r="I1005" s="48"/>
      <c r="J1005" s="45"/>
      <c r="K1005" s="45"/>
      <c r="L1005" s="45"/>
    </row>
    <row r="1006" spans="1:12" ht="18" customHeight="1">
      <c r="A1006" s="43"/>
      <c r="B1006" s="44"/>
      <c r="C1006" s="44"/>
      <c r="D1006" s="85"/>
      <c r="E1006" s="44"/>
      <c r="F1006" s="44"/>
      <c r="G1006" s="44"/>
      <c r="H1006" s="44"/>
      <c r="I1006" s="48"/>
      <c r="J1006" s="45"/>
      <c r="K1006" s="45"/>
      <c r="L1006" s="45"/>
    </row>
    <row r="1007" spans="1:12" ht="18" customHeight="1">
      <c r="A1007" s="43"/>
      <c r="B1007" s="44"/>
      <c r="C1007" s="44"/>
      <c r="D1007" s="85"/>
      <c r="E1007" s="44"/>
      <c r="F1007" s="44"/>
      <c r="G1007" s="44"/>
      <c r="H1007" s="44"/>
      <c r="I1007" s="48"/>
      <c r="J1007" s="45"/>
      <c r="K1007" s="45"/>
      <c r="L1007" s="45"/>
    </row>
    <row r="1008" spans="1:12" ht="18" customHeight="1">
      <c r="A1008" s="43"/>
      <c r="B1008" s="44"/>
      <c r="C1008" s="44"/>
      <c r="D1008" s="85"/>
      <c r="E1008" s="44"/>
      <c r="F1008" s="44"/>
      <c r="G1008" s="44"/>
      <c r="H1008" s="44"/>
      <c r="I1008" s="48"/>
      <c r="J1008" s="45"/>
      <c r="K1008" s="45"/>
      <c r="L1008" s="45"/>
    </row>
    <row r="1009" spans="1:12" ht="18" customHeight="1">
      <c r="A1009" s="43"/>
      <c r="B1009" s="44"/>
      <c r="C1009" s="44"/>
      <c r="D1009" s="85"/>
      <c r="E1009" s="44"/>
      <c r="F1009" s="44"/>
      <c r="G1009" s="44"/>
      <c r="H1009" s="44"/>
      <c r="I1009" s="48"/>
      <c r="J1009" s="45"/>
      <c r="K1009" s="45"/>
      <c r="L1009" s="45"/>
    </row>
    <row r="1010" spans="1:12" ht="18" customHeight="1">
      <c r="A1010" s="43"/>
      <c r="B1010" s="44"/>
      <c r="C1010" s="44"/>
      <c r="D1010" s="85"/>
      <c r="E1010" s="44"/>
      <c r="F1010" s="44"/>
      <c r="G1010" s="44"/>
      <c r="H1010" s="44"/>
      <c r="I1010" s="48"/>
      <c r="J1010" s="45"/>
      <c r="K1010" s="45"/>
      <c r="L1010" s="45"/>
    </row>
    <row r="1011" spans="1:12" ht="18" customHeight="1">
      <c r="A1011" s="43"/>
      <c r="B1011" s="44"/>
      <c r="C1011" s="44"/>
      <c r="D1011" s="85"/>
      <c r="E1011" s="44"/>
      <c r="F1011" s="44"/>
      <c r="G1011" s="44"/>
      <c r="H1011" s="44"/>
      <c r="I1011" s="48"/>
      <c r="J1011" s="45"/>
      <c r="K1011" s="45"/>
      <c r="L1011" s="45"/>
    </row>
    <row r="1012" spans="1:12" ht="18" customHeight="1">
      <c r="A1012" s="43"/>
      <c r="B1012" s="44"/>
      <c r="C1012" s="44"/>
      <c r="D1012" s="85"/>
      <c r="E1012" s="44"/>
      <c r="F1012" s="44"/>
      <c r="G1012" s="44"/>
      <c r="H1012" s="44"/>
      <c r="I1012" s="48"/>
      <c r="J1012" s="45"/>
      <c r="K1012" s="45"/>
      <c r="L1012" s="45"/>
    </row>
    <row r="1013" spans="1:12" ht="18" customHeight="1">
      <c r="A1013" s="43"/>
      <c r="B1013" s="44"/>
      <c r="C1013" s="44"/>
      <c r="D1013" s="85"/>
      <c r="E1013" s="44"/>
      <c r="F1013" s="44"/>
      <c r="G1013" s="44"/>
      <c r="H1013" s="44"/>
      <c r="I1013" s="48"/>
      <c r="J1013" s="45"/>
      <c r="K1013" s="45"/>
      <c r="L1013" s="45"/>
    </row>
    <row r="1014" spans="1:12" ht="18" customHeight="1">
      <c r="A1014" s="43"/>
      <c r="B1014" s="44"/>
      <c r="C1014" s="44"/>
      <c r="D1014" s="85"/>
      <c r="E1014" s="44"/>
      <c r="F1014" s="44"/>
      <c r="G1014" s="44"/>
      <c r="H1014" s="44"/>
      <c r="I1014" s="48"/>
      <c r="J1014" s="45"/>
      <c r="K1014" s="45"/>
      <c r="L1014" s="45"/>
    </row>
    <row r="1015" spans="1:12" ht="18" customHeight="1">
      <c r="A1015" s="43"/>
      <c r="B1015" s="44"/>
      <c r="C1015" s="44"/>
      <c r="D1015" s="85"/>
      <c r="E1015" s="44"/>
      <c r="F1015" s="44"/>
      <c r="G1015" s="44"/>
      <c r="H1015" s="44"/>
      <c r="I1015" s="48"/>
      <c r="J1015" s="45"/>
      <c r="K1015" s="45"/>
      <c r="L1015" s="45"/>
    </row>
    <row r="1016" spans="1:12" ht="18" customHeight="1">
      <c r="A1016" s="43"/>
      <c r="B1016" s="44"/>
      <c r="C1016" s="44"/>
      <c r="D1016" s="85"/>
      <c r="E1016" s="44"/>
      <c r="F1016" s="44"/>
      <c r="G1016" s="44"/>
      <c r="H1016" s="44"/>
      <c r="I1016" s="48"/>
      <c r="J1016" s="45"/>
      <c r="K1016" s="45"/>
      <c r="L1016" s="45"/>
    </row>
    <row r="1017" spans="1:12" ht="18" customHeight="1">
      <c r="A1017" s="43"/>
      <c r="B1017" s="44"/>
      <c r="C1017" s="44"/>
      <c r="D1017" s="85"/>
      <c r="E1017" s="44"/>
      <c r="F1017" s="44"/>
      <c r="G1017" s="44"/>
      <c r="H1017" s="44"/>
      <c r="I1017" s="48"/>
      <c r="J1017" s="45"/>
      <c r="K1017" s="45"/>
      <c r="L1017" s="45"/>
    </row>
    <row r="1018" spans="1:12" ht="18" customHeight="1">
      <c r="A1018" s="43"/>
      <c r="B1018" s="44"/>
      <c r="C1018" s="44"/>
      <c r="D1018" s="85"/>
      <c r="E1018" s="44"/>
      <c r="F1018" s="44"/>
      <c r="G1018" s="44"/>
      <c r="H1018" s="44"/>
      <c r="I1018" s="48"/>
      <c r="J1018" s="45"/>
      <c r="K1018" s="45"/>
      <c r="L1018" s="45"/>
    </row>
    <row r="1019" spans="1:12" ht="18" customHeight="1">
      <c r="A1019" s="43"/>
      <c r="B1019" s="44"/>
      <c r="C1019" s="44"/>
      <c r="D1019" s="85"/>
      <c r="E1019" s="44"/>
      <c r="F1019" s="44"/>
      <c r="G1019" s="44"/>
      <c r="H1019" s="44"/>
      <c r="I1019" s="48"/>
      <c r="J1019" s="45"/>
      <c r="K1019" s="45"/>
      <c r="L1019" s="45"/>
    </row>
    <row r="1020" spans="1:12" ht="18" customHeight="1">
      <c r="A1020" s="43"/>
      <c r="B1020" s="44"/>
      <c r="C1020" s="44"/>
      <c r="D1020" s="85"/>
      <c r="E1020" s="44"/>
      <c r="F1020" s="44"/>
      <c r="G1020" s="44"/>
      <c r="H1020" s="44"/>
      <c r="I1020" s="48"/>
      <c r="J1020" s="45"/>
      <c r="K1020" s="45"/>
      <c r="L1020" s="45"/>
    </row>
    <row r="1021" spans="1:12" ht="18" customHeight="1">
      <c r="A1021" s="43"/>
      <c r="B1021" s="44"/>
      <c r="C1021" s="44"/>
      <c r="D1021" s="85"/>
      <c r="E1021" s="44"/>
      <c r="F1021" s="44"/>
      <c r="G1021" s="44"/>
      <c r="H1021" s="44"/>
      <c r="I1021" s="48"/>
      <c r="J1021" s="45"/>
      <c r="K1021" s="45"/>
      <c r="L1021" s="45"/>
    </row>
    <row r="1022" spans="1:12" ht="18" customHeight="1">
      <c r="A1022" s="43"/>
      <c r="B1022" s="44"/>
      <c r="C1022" s="44"/>
      <c r="D1022" s="85"/>
      <c r="E1022" s="44"/>
      <c r="F1022" s="44"/>
      <c r="G1022" s="44"/>
      <c r="H1022" s="44"/>
      <c r="I1022" s="48"/>
      <c r="J1022" s="45"/>
      <c r="K1022" s="45"/>
      <c r="L1022" s="45"/>
    </row>
    <row r="1023" spans="1:12" ht="18" customHeight="1">
      <c r="A1023" s="43"/>
      <c r="B1023" s="44"/>
      <c r="C1023" s="44"/>
      <c r="D1023" s="85"/>
      <c r="E1023" s="44"/>
      <c r="F1023" s="44"/>
      <c r="G1023" s="44"/>
      <c r="H1023" s="44"/>
      <c r="I1023" s="48"/>
      <c r="J1023" s="45"/>
      <c r="K1023" s="45"/>
      <c r="L1023" s="45"/>
    </row>
    <row r="1024" spans="1:12" ht="18" customHeight="1">
      <c r="A1024" s="43"/>
      <c r="B1024" s="44"/>
      <c r="C1024" s="44"/>
      <c r="D1024" s="85"/>
      <c r="E1024" s="44"/>
      <c r="F1024" s="44"/>
      <c r="G1024" s="44"/>
      <c r="H1024" s="44"/>
      <c r="I1024" s="48"/>
      <c r="J1024" s="45"/>
      <c r="K1024" s="45"/>
      <c r="L1024" s="45"/>
    </row>
    <row r="1025" spans="1:12" ht="18" customHeight="1">
      <c r="A1025" s="43"/>
      <c r="B1025" s="44"/>
      <c r="C1025" s="44"/>
      <c r="D1025" s="85"/>
      <c r="E1025" s="44"/>
      <c r="F1025" s="44"/>
      <c r="G1025" s="44"/>
      <c r="H1025" s="44"/>
      <c r="I1025" s="48"/>
      <c r="J1025" s="45"/>
      <c r="K1025" s="45"/>
      <c r="L1025" s="45"/>
    </row>
    <row r="1026" spans="1:12" ht="18" customHeight="1">
      <c r="A1026" s="43"/>
      <c r="B1026" s="44"/>
      <c r="C1026" s="44"/>
      <c r="D1026" s="85"/>
      <c r="E1026" s="44"/>
      <c r="F1026" s="44"/>
      <c r="G1026" s="44"/>
      <c r="H1026" s="44"/>
      <c r="I1026" s="48"/>
      <c r="J1026" s="45"/>
      <c r="K1026" s="45"/>
      <c r="L1026" s="45"/>
    </row>
    <row r="1027" spans="1:12" ht="18" customHeight="1">
      <c r="A1027" s="43"/>
      <c r="B1027" s="44"/>
      <c r="C1027" s="44"/>
      <c r="D1027" s="85"/>
      <c r="E1027" s="44"/>
      <c r="F1027" s="44"/>
      <c r="G1027" s="44"/>
      <c r="H1027" s="44"/>
      <c r="I1027" s="48"/>
      <c r="J1027" s="45"/>
      <c r="K1027" s="45"/>
      <c r="L1027" s="45"/>
    </row>
    <row r="1028" spans="1:12" ht="18" customHeight="1">
      <c r="A1028" s="43"/>
      <c r="B1028" s="44"/>
      <c r="C1028" s="44"/>
      <c r="D1028" s="85"/>
      <c r="E1028" s="44"/>
      <c r="F1028" s="44"/>
      <c r="G1028" s="44"/>
      <c r="H1028" s="44"/>
      <c r="I1028" s="48"/>
      <c r="J1028" s="45"/>
      <c r="K1028" s="45"/>
      <c r="L1028" s="45"/>
    </row>
    <row r="1029" spans="1:12" ht="18" customHeight="1">
      <c r="A1029" s="43"/>
      <c r="B1029" s="44"/>
      <c r="C1029" s="44"/>
      <c r="D1029" s="85"/>
      <c r="E1029" s="44"/>
      <c r="F1029" s="44"/>
      <c r="G1029" s="44"/>
      <c r="H1029" s="44"/>
      <c r="I1029" s="48"/>
      <c r="J1029" s="45"/>
      <c r="K1029" s="45"/>
      <c r="L1029" s="45"/>
    </row>
    <row r="1030" spans="1:12" ht="18" customHeight="1">
      <c r="A1030" s="43"/>
      <c r="B1030" s="44"/>
      <c r="C1030" s="44"/>
      <c r="D1030" s="85"/>
      <c r="E1030" s="44"/>
      <c r="F1030" s="44"/>
      <c r="G1030" s="44"/>
      <c r="H1030" s="44"/>
      <c r="I1030" s="48"/>
      <c r="J1030" s="45"/>
      <c r="K1030" s="45"/>
      <c r="L1030" s="45"/>
    </row>
    <row r="1031" spans="1:12" ht="18" customHeight="1">
      <c r="A1031" s="43"/>
      <c r="B1031" s="44"/>
      <c r="C1031" s="44"/>
      <c r="D1031" s="85"/>
      <c r="E1031" s="44"/>
      <c r="F1031" s="44"/>
      <c r="G1031" s="44"/>
      <c r="H1031" s="44"/>
      <c r="I1031" s="48"/>
      <c r="J1031" s="45"/>
      <c r="K1031" s="45"/>
      <c r="L1031" s="45"/>
    </row>
    <row r="1032" spans="1:12" ht="18" customHeight="1">
      <c r="A1032" s="43"/>
      <c r="B1032" s="44"/>
      <c r="C1032" s="44"/>
      <c r="D1032" s="85"/>
      <c r="E1032" s="44"/>
      <c r="F1032" s="44"/>
      <c r="G1032" s="44"/>
      <c r="H1032" s="44"/>
      <c r="I1032" s="48"/>
      <c r="J1032" s="45"/>
      <c r="K1032" s="45"/>
      <c r="L1032" s="45"/>
    </row>
    <row r="1033" spans="1:12" ht="18" customHeight="1">
      <c r="A1033" s="43"/>
      <c r="B1033" s="44"/>
      <c r="C1033" s="44"/>
      <c r="D1033" s="85"/>
      <c r="E1033" s="44"/>
      <c r="F1033" s="44"/>
      <c r="G1033" s="44"/>
      <c r="H1033" s="44"/>
      <c r="I1033" s="48"/>
      <c r="J1033" s="45"/>
      <c r="K1033" s="45"/>
      <c r="L1033" s="45"/>
    </row>
    <row r="1034" spans="1:12" ht="18" customHeight="1">
      <c r="A1034" s="43"/>
      <c r="B1034" s="44"/>
      <c r="C1034" s="44"/>
      <c r="D1034" s="85"/>
      <c r="E1034" s="44"/>
      <c r="F1034" s="44"/>
      <c r="G1034" s="44"/>
      <c r="H1034" s="44"/>
      <c r="I1034" s="48"/>
      <c r="J1034" s="45"/>
      <c r="K1034" s="45"/>
      <c r="L1034" s="45"/>
    </row>
    <row r="1035" spans="1:12" ht="18" customHeight="1">
      <c r="A1035" s="43"/>
      <c r="B1035" s="44"/>
      <c r="C1035" s="44"/>
      <c r="D1035" s="85"/>
      <c r="E1035" s="44"/>
      <c r="F1035" s="44"/>
      <c r="G1035" s="44"/>
      <c r="H1035" s="44"/>
      <c r="I1035" s="48"/>
      <c r="J1035" s="45"/>
      <c r="K1035" s="45"/>
      <c r="L1035" s="45"/>
    </row>
    <row r="1036" spans="1:12" ht="18" customHeight="1">
      <c r="A1036" s="43"/>
      <c r="B1036" s="44"/>
      <c r="C1036" s="44"/>
      <c r="D1036" s="85"/>
      <c r="E1036" s="44"/>
      <c r="F1036" s="44"/>
      <c r="G1036" s="44"/>
      <c r="H1036" s="44"/>
      <c r="I1036" s="48"/>
      <c r="J1036" s="45"/>
      <c r="K1036" s="45"/>
      <c r="L1036" s="45"/>
    </row>
    <row r="1037" spans="1:12" ht="18" customHeight="1">
      <c r="A1037" s="43"/>
      <c r="B1037" s="44"/>
      <c r="C1037" s="44"/>
      <c r="D1037" s="85"/>
      <c r="E1037" s="44"/>
      <c r="F1037" s="44"/>
      <c r="G1037" s="44"/>
      <c r="H1037" s="44"/>
      <c r="I1037" s="48"/>
      <c r="J1037" s="45"/>
      <c r="K1037" s="45"/>
      <c r="L1037" s="45"/>
    </row>
    <row r="1038" spans="1:12" ht="18" customHeight="1">
      <c r="A1038" s="43"/>
      <c r="B1038" s="44"/>
      <c r="C1038" s="44"/>
      <c r="D1038" s="85"/>
      <c r="E1038" s="44"/>
      <c r="F1038" s="44"/>
      <c r="G1038" s="44"/>
      <c r="H1038" s="44"/>
      <c r="I1038" s="48"/>
      <c r="J1038" s="45"/>
      <c r="K1038" s="45"/>
      <c r="L1038" s="45"/>
    </row>
    <row r="1039" spans="1:12" ht="18" customHeight="1">
      <c r="A1039" s="43"/>
      <c r="B1039" s="44"/>
      <c r="C1039" s="44"/>
      <c r="D1039" s="85"/>
      <c r="E1039" s="44"/>
      <c r="F1039" s="44"/>
      <c r="G1039" s="44"/>
      <c r="H1039" s="44"/>
      <c r="I1039" s="48"/>
      <c r="J1039" s="45"/>
      <c r="K1039" s="45"/>
      <c r="L1039" s="45"/>
    </row>
    <row r="1040" spans="1:12" ht="18" customHeight="1">
      <c r="A1040" s="43"/>
      <c r="B1040" s="44"/>
      <c r="C1040" s="44"/>
      <c r="D1040" s="85"/>
      <c r="E1040" s="44"/>
      <c r="F1040" s="44"/>
      <c r="G1040" s="44"/>
      <c r="H1040" s="44"/>
      <c r="I1040" s="48"/>
      <c r="J1040" s="45"/>
      <c r="K1040" s="45"/>
      <c r="L1040" s="45"/>
    </row>
    <row r="1041" spans="1:12" ht="18" customHeight="1">
      <c r="A1041" s="43"/>
      <c r="B1041" s="44"/>
      <c r="C1041" s="44"/>
      <c r="D1041" s="85"/>
      <c r="E1041" s="44"/>
      <c r="F1041" s="44"/>
      <c r="G1041" s="44"/>
      <c r="H1041" s="44"/>
      <c r="I1041" s="48"/>
      <c r="J1041" s="45"/>
      <c r="K1041" s="45"/>
      <c r="L1041" s="45"/>
    </row>
    <row r="1042" spans="1:12" ht="18" customHeight="1">
      <c r="A1042" s="43"/>
      <c r="B1042" s="44"/>
      <c r="C1042" s="44"/>
      <c r="D1042" s="85"/>
      <c r="E1042" s="44"/>
      <c r="F1042" s="44"/>
      <c r="G1042" s="44"/>
      <c r="H1042" s="44"/>
      <c r="I1042" s="48"/>
      <c r="J1042" s="45"/>
      <c r="K1042" s="45"/>
      <c r="L1042" s="45"/>
    </row>
    <row r="1043" spans="1:12" ht="18" customHeight="1">
      <c r="A1043" s="43"/>
      <c r="B1043" s="44"/>
      <c r="C1043" s="44"/>
      <c r="D1043" s="85"/>
      <c r="E1043" s="44"/>
      <c r="F1043" s="44"/>
      <c r="G1043" s="44"/>
      <c r="H1043" s="44"/>
      <c r="I1043" s="48"/>
      <c r="J1043" s="45"/>
      <c r="K1043" s="45"/>
      <c r="L1043" s="45"/>
    </row>
    <row r="1044" spans="1:12" ht="18" customHeight="1">
      <c r="A1044" s="43"/>
      <c r="B1044" s="44"/>
      <c r="C1044" s="44"/>
      <c r="D1044" s="85"/>
      <c r="E1044" s="44"/>
      <c r="F1044" s="44"/>
      <c r="G1044" s="44"/>
      <c r="H1044" s="44"/>
      <c r="I1044" s="48"/>
      <c r="J1044" s="45"/>
      <c r="K1044" s="45"/>
      <c r="L1044" s="45"/>
    </row>
    <row r="1045" spans="1:12" ht="18" customHeight="1">
      <c r="A1045" s="43"/>
      <c r="B1045" s="44"/>
      <c r="C1045" s="44"/>
      <c r="D1045" s="85"/>
      <c r="E1045" s="44"/>
      <c r="F1045" s="44"/>
      <c r="G1045" s="44"/>
      <c r="H1045" s="44"/>
      <c r="I1045" s="48"/>
      <c r="J1045" s="45"/>
      <c r="K1045" s="45"/>
      <c r="L1045" s="45"/>
    </row>
    <row r="1046" spans="1:12" ht="18" customHeight="1">
      <c r="A1046" s="43"/>
      <c r="B1046" s="44"/>
      <c r="C1046" s="44"/>
      <c r="D1046" s="85"/>
      <c r="E1046" s="44"/>
      <c r="F1046" s="44"/>
      <c r="G1046" s="44"/>
      <c r="H1046" s="44"/>
      <c r="I1046" s="48"/>
      <c r="J1046" s="45"/>
      <c r="K1046" s="45"/>
      <c r="L1046" s="45"/>
    </row>
    <row r="1047" spans="1:12" ht="18" customHeight="1">
      <c r="A1047" s="43"/>
      <c r="B1047" s="44"/>
      <c r="C1047" s="44"/>
      <c r="D1047" s="85"/>
      <c r="E1047" s="44"/>
      <c r="F1047" s="44"/>
      <c r="G1047" s="44"/>
      <c r="H1047" s="44"/>
      <c r="I1047" s="48"/>
      <c r="J1047" s="45"/>
      <c r="K1047" s="45"/>
      <c r="L1047" s="45"/>
    </row>
    <row r="1048" spans="1:12" ht="18" customHeight="1">
      <c r="A1048" s="43"/>
      <c r="B1048" s="44"/>
      <c r="C1048" s="44"/>
      <c r="D1048" s="85"/>
      <c r="E1048" s="44"/>
      <c r="F1048" s="44"/>
      <c r="G1048" s="44"/>
      <c r="H1048" s="44"/>
      <c r="I1048" s="48"/>
      <c r="J1048" s="45"/>
      <c r="K1048" s="45"/>
      <c r="L1048" s="45"/>
    </row>
    <row r="1049" spans="1:12" ht="18" customHeight="1">
      <c r="A1049" s="43"/>
      <c r="B1049" s="44"/>
      <c r="C1049" s="44"/>
      <c r="D1049" s="85"/>
      <c r="E1049" s="44"/>
      <c r="F1049" s="44"/>
      <c r="G1049" s="44"/>
      <c r="H1049" s="44"/>
      <c r="I1049" s="48"/>
      <c r="J1049" s="45"/>
      <c r="K1049" s="45"/>
      <c r="L1049" s="45"/>
    </row>
    <row r="1050" spans="1:12" ht="18" customHeight="1">
      <c r="A1050" s="43"/>
      <c r="B1050" s="44"/>
      <c r="C1050" s="44"/>
      <c r="D1050" s="85"/>
      <c r="E1050" s="44"/>
      <c r="F1050" s="44"/>
      <c r="G1050" s="44"/>
      <c r="H1050" s="44"/>
      <c r="I1050" s="48"/>
      <c r="J1050" s="45"/>
      <c r="K1050" s="45"/>
      <c r="L1050" s="45"/>
    </row>
    <row r="1051" spans="1:12" ht="18" customHeight="1">
      <c r="A1051" s="43"/>
      <c r="B1051" s="44"/>
      <c r="C1051" s="44"/>
      <c r="D1051" s="85"/>
      <c r="E1051" s="44"/>
      <c r="F1051" s="44"/>
      <c r="G1051" s="44"/>
      <c r="H1051" s="44"/>
      <c r="I1051" s="48"/>
      <c r="J1051" s="45"/>
      <c r="K1051" s="45"/>
      <c r="L1051" s="45"/>
    </row>
    <row r="1052" spans="1:12" ht="18" customHeight="1">
      <c r="A1052" s="43"/>
      <c r="B1052" s="44"/>
      <c r="C1052" s="44"/>
      <c r="D1052" s="85"/>
      <c r="E1052" s="44"/>
      <c r="F1052" s="44"/>
      <c r="G1052" s="44"/>
      <c r="H1052" s="44"/>
      <c r="I1052" s="48"/>
      <c r="J1052" s="45"/>
      <c r="K1052" s="45"/>
      <c r="L1052" s="45"/>
    </row>
    <row r="1053" spans="1:12" ht="18" customHeight="1">
      <c r="A1053" s="43"/>
      <c r="B1053" s="44"/>
      <c r="C1053" s="44"/>
      <c r="D1053" s="85"/>
      <c r="E1053" s="44"/>
      <c r="F1053" s="44"/>
      <c r="G1053" s="44"/>
      <c r="H1053" s="44"/>
      <c r="I1053" s="48"/>
      <c r="J1053" s="45"/>
      <c r="K1053" s="45"/>
      <c r="L1053" s="45"/>
    </row>
    <row r="1054" spans="1:12" ht="18" customHeight="1">
      <c r="A1054" s="43"/>
      <c r="B1054" s="44"/>
      <c r="C1054" s="44"/>
      <c r="D1054" s="85"/>
      <c r="E1054" s="44"/>
      <c r="F1054" s="44"/>
      <c r="G1054" s="44"/>
      <c r="H1054" s="44"/>
      <c r="I1054" s="48"/>
      <c r="J1054" s="45"/>
      <c r="K1054" s="45"/>
      <c r="L1054" s="45"/>
    </row>
    <row r="1055" spans="1:12" ht="18" customHeight="1">
      <c r="A1055" s="43"/>
      <c r="B1055" s="44"/>
      <c r="C1055" s="44"/>
      <c r="D1055" s="85"/>
      <c r="E1055" s="44"/>
      <c r="F1055" s="44"/>
      <c r="G1055" s="44"/>
      <c r="H1055" s="44"/>
      <c r="I1055" s="48"/>
      <c r="J1055" s="45"/>
      <c r="K1055" s="45"/>
      <c r="L1055" s="45"/>
    </row>
    <row r="1056" spans="1:12" ht="18" customHeight="1">
      <c r="A1056" s="43"/>
      <c r="B1056" s="44"/>
      <c r="C1056" s="44"/>
      <c r="D1056" s="85"/>
      <c r="E1056" s="44"/>
      <c r="F1056" s="44"/>
      <c r="G1056" s="44"/>
      <c r="H1056" s="44"/>
      <c r="I1056" s="48"/>
      <c r="J1056" s="45"/>
      <c r="K1056" s="45"/>
      <c r="L1056" s="45"/>
    </row>
    <row r="1057" spans="1:12" ht="18" customHeight="1">
      <c r="A1057" s="43"/>
      <c r="B1057" s="44"/>
      <c r="C1057" s="44"/>
      <c r="D1057" s="85"/>
      <c r="E1057" s="44"/>
      <c r="F1057" s="44"/>
      <c r="G1057" s="44"/>
      <c r="H1057" s="44"/>
      <c r="I1057" s="48"/>
      <c r="J1057" s="45"/>
      <c r="K1057" s="45"/>
      <c r="L1057" s="45"/>
    </row>
    <row r="1058" spans="1:12" ht="18" customHeight="1">
      <c r="A1058" s="43"/>
      <c r="B1058" s="44"/>
      <c r="C1058" s="44"/>
      <c r="D1058" s="85"/>
      <c r="E1058" s="44"/>
      <c r="F1058" s="44"/>
      <c r="G1058" s="44"/>
      <c r="H1058" s="44"/>
      <c r="I1058" s="48"/>
      <c r="J1058" s="45"/>
      <c r="K1058" s="45"/>
      <c r="L1058" s="45"/>
    </row>
    <row r="1059" spans="1:12" ht="18" customHeight="1">
      <c r="A1059" s="43"/>
      <c r="B1059" s="44"/>
      <c r="C1059" s="44"/>
      <c r="D1059" s="85"/>
      <c r="E1059" s="44"/>
      <c r="F1059" s="44"/>
      <c r="G1059" s="44"/>
      <c r="H1059" s="44"/>
      <c r="I1059" s="48"/>
      <c r="J1059" s="45"/>
      <c r="K1059" s="45"/>
      <c r="L1059" s="45"/>
    </row>
    <row r="1060" spans="1:12" ht="18" customHeight="1">
      <c r="A1060" s="43"/>
      <c r="B1060" s="44"/>
      <c r="C1060" s="44"/>
      <c r="D1060" s="85"/>
      <c r="E1060" s="44"/>
      <c r="F1060" s="44"/>
      <c r="G1060" s="44"/>
      <c r="H1060" s="44"/>
      <c r="I1060" s="48"/>
      <c r="J1060" s="45"/>
      <c r="K1060" s="45"/>
      <c r="L1060" s="45"/>
    </row>
    <row r="1061" spans="1:12" ht="18" customHeight="1">
      <c r="A1061" s="43"/>
      <c r="B1061" s="44"/>
      <c r="C1061" s="44"/>
      <c r="D1061" s="85"/>
      <c r="E1061" s="44"/>
      <c r="F1061" s="44"/>
      <c r="G1061" s="44"/>
      <c r="H1061" s="44"/>
      <c r="I1061" s="48"/>
      <c r="J1061" s="45"/>
      <c r="K1061" s="45"/>
      <c r="L1061" s="45"/>
    </row>
    <row r="1062" spans="1:12" ht="18" customHeight="1">
      <c r="A1062" s="43"/>
      <c r="B1062" s="44"/>
      <c r="C1062" s="44"/>
      <c r="D1062" s="85"/>
      <c r="E1062" s="44"/>
      <c r="F1062" s="44"/>
      <c r="G1062" s="44"/>
      <c r="H1062" s="44"/>
      <c r="I1062" s="48"/>
      <c r="J1062" s="45"/>
      <c r="K1062" s="45"/>
      <c r="L1062" s="45"/>
    </row>
    <row r="1063" spans="1:12" ht="18" customHeight="1">
      <c r="A1063" s="43"/>
      <c r="B1063" s="44"/>
      <c r="C1063" s="44"/>
      <c r="D1063" s="85"/>
      <c r="E1063" s="44"/>
      <c r="F1063" s="44"/>
      <c r="G1063" s="44"/>
      <c r="H1063" s="44"/>
      <c r="I1063" s="48"/>
      <c r="J1063" s="45"/>
      <c r="K1063" s="45"/>
      <c r="L1063" s="45"/>
    </row>
    <row r="1064" spans="1:12" ht="18" customHeight="1">
      <c r="A1064" s="43"/>
      <c r="B1064" s="44"/>
      <c r="C1064" s="44"/>
      <c r="D1064" s="85"/>
      <c r="E1064" s="44"/>
      <c r="F1064" s="44"/>
      <c r="G1064" s="44"/>
      <c r="H1064" s="44"/>
      <c r="I1064" s="48"/>
      <c r="J1064" s="45"/>
      <c r="K1064" s="45"/>
      <c r="L1064" s="45"/>
    </row>
    <row r="1065" spans="1:12" ht="18" customHeight="1">
      <c r="A1065" s="43"/>
      <c r="B1065" s="44"/>
      <c r="C1065" s="44"/>
      <c r="D1065" s="85"/>
      <c r="E1065" s="44"/>
      <c r="F1065" s="44"/>
      <c r="G1065" s="44"/>
      <c r="H1065" s="44"/>
      <c r="I1065" s="48"/>
      <c r="J1065" s="45"/>
      <c r="K1065" s="45"/>
      <c r="L1065" s="45"/>
    </row>
    <row r="1066" spans="1:12" ht="18" customHeight="1">
      <c r="A1066" s="43"/>
      <c r="B1066" s="44"/>
      <c r="C1066" s="44"/>
      <c r="D1066" s="85"/>
      <c r="E1066" s="44"/>
      <c r="F1066" s="44"/>
      <c r="G1066" s="44"/>
      <c r="H1066" s="44"/>
      <c r="I1066" s="48"/>
      <c r="J1066" s="45"/>
      <c r="K1066" s="45"/>
      <c r="L1066" s="45"/>
    </row>
    <row r="1067" spans="1:12" ht="18" customHeight="1">
      <c r="A1067" s="43"/>
      <c r="B1067" s="44"/>
      <c r="C1067" s="44"/>
      <c r="D1067" s="85"/>
      <c r="E1067" s="44"/>
      <c r="F1067" s="44"/>
      <c r="G1067" s="44"/>
      <c r="H1067" s="44"/>
      <c r="I1067" s="48"/>
      <c r="J1067" s="45"/>
      <c r="K1067" s="45"/>
      <c r="L1067" s="45"/>
    </row>
    <row r="1068" spans="1:12" ht="18" customHeight="1">
      <c r="A1068" s="43"/>
      <c r="B1068" s="44"/>
      <c r="C1068" s="44"/>
      <c r="D1068" s="85"/>
      <c r="E1068" s="44"/>
      <c r="F1068" s="44"/>
      <c r="G1068" s="44"/>
      <c r="H1068" s="44"/>
      <c r="I1068" s="48"/>
      <c r="J1068" s="45"/>
      <c r="K1068" s="45"/>
      <c r="L1068" s="45"/>
    </row>
    <row r="1069" spans="1:12" ht="18" customHeight="1">
      <c r="A1069" s="43"/>
      <c r="B1069" s="44"/>
      <c r="C1069" s="44"/>
      <c r="D1069" s="85"/>
      <c r="E1069" s="44"/>
      <c r="F1069" s="44"/>
      <c r="G1069" s="44"/>
      <c r="H1069" s="44"/>
      <c r="I1069" s="48"/>
      <c r="J1069" s="45"/>
      <c r="K1069" s="45"/>
      <c r="L1069" s="45"/>
    </row>
    <row r="1070" spans="1:12" ht="18" customHeight="1">
      <c r="A1070" s="43"/>
      <c r="B1070" s="44"/>
      <c r="C1070" s="44"/>
      <c r="D1070" s="85"/>
      <c r="E1070" s="44"/>
      <c r="F1070" s="44"/>
      <c r="G1070" s="44"/>
      <c r="H1070" s="44"/>
      <c r="I1070" s="48"/>
      <c r="J1070" s="45"/>
      <c r="K1070" s="45"/>
      <c r="L1070" s="45"/>
    </row>
    <row r="1071" spans="1:12" ht="18" customHeight="1">
      <c r="A1071" s="43"/>
      <c r="B1071" s="44"/>
      <c r="C1071" s="44"/>
      <c r="D1071" s="85"/>
      <c r="E1071" s="44"/>
      <c r="F1071" s="44"/>
      <c r="G1071" s="44"/>
      <c r="H1071" s="44"/>
      <c r="I1071" s="48"/>
      <c r="J1071" s="45"/>
      <c r="K1071" s="45"/>
      <c r="L1071" s="45"/>
    </row>
    <row r="1072" spans="1:12" ht="18" customHeight="1">
      <c r="A1072" s="43"/>
      <c r="B1072" s="44"/>
      <c r="C1072" s="44"/>
      <c r="D1072" s="85"/>
      <c r="E1072" s="44"/>
      <c r="F1072" s="44"/>
      <c r="G1072" s="44"/>
      <c r="H1072" s="44"/>
      <c r="I1072" s="48"/>
      <c r="J1072" s="45"/>
      <c r="K1072" s="45"/>
      <c r="L1072" s="45"/>
    </row>
    <row r="1073" spans="1:12" ht="18" customHeight="1">
      <c r="A1073" s="43"/>
      <c r="B1073" s="44"/>
      <c r="C1073" s="44"/>
      <c r="D1073" s="85"/>
      <c r="E1073" s="44"/>
      <c r="F1073" s="44"/>
      <c r="G1073" s="44"/>
      <c r="H1073" s="44"/>
      <c r="I1073" s="48"/>
      <c r="J1073" s="45"/>
      <c r="K1073" s="45"/>
      <c r="L1073" s="45"/>
    </row>
    <row r="1074" spans="1:12" ht="18" customHeight="1">
      <c r="A1074" s="43"/>
      <c r="B1074" s="44"/>
      <c r="C1074" s="44"/>
      <c r="D1074" s="85"/>
      <c r="E1074" s="44"/>
      <c r="F1074" s="44"/>
      <c r="G1074" s="44"/>
      <c r="H1074" s="44"/>
      <c r="I1074" s="48"/>
      <c r="J1074" s="45"/>
      <c r="K1074" s="45"/>
      <c r="L1074" s="45"/>
    </row>
    <row r="1075" spans="1:12" ht="18" customHeight="1">
      <c r="A1075" s="43"/>
      <c r="B1075" s="44"/>
      <c r="C1075" s="44"/>
      <c r="D1075" s="85"/>
      <c r="E1075" s="44"/>
      <c r="F1075" s="44"/>
      <c r="G1075" s="44"/>
      <c r="H1075" s="44"/>
      <c r="I1075" s="48"/>
      <c r="J1075" s="45"/>
      <c r="K1075" s="45"/>
      <c r="L1075" s="45"/>
    </row>
    <row r="1076" spans="1:12" ht="18" customHeight="1">
      <c r="A1076" s="43"/>
      <c r="B1076" s="44"/>
      <c r="C1076" s="44"/>
      <c r="D1076" s="85"/>
      <c r="E1076" s="44"/>
      <c r="F1076" s="44"/>
      <c r="G1076" s="44"/>
      <c r="H1076" s="44"/>
      <c r="I1076" s="48"/>
      <c r="J1076" s="45"/>
      <c r="K1076" s="45"/>
      <c r="L1076" s="45"/>
    </row>
    <row r="1077" spans="1:12" ht="18" customHeight="1">
      <c r="A1077" s="43"/>
      <c r="B1077" s="44"/>
      <c r="C1077" s="44"/>
      <c r="D1077" s="85"/>
      <c r="E1077" s="44"/>
      <c r="F1077" s="44"/>
      <c r="G1077" s="44"/>
      <c r="H1077" s="44"/>
      <c r="I1077" s="48"/>
      <c r="J1077" s="45"/>
      <c r="K1077" s="45"/>
      <c r="L1077" s="45"/>
    </row>
    <row r="1078" spans="1:12" ht="18" customHeight="1">
      <c r="A1078" s="43"/>
      <c r="B1078" s="44"/>
      <c r="C1078" s="44"/>
      <c r="D1078" s="85"/>
      <c r="E1078" s="44"/>
      <c r="F1078" s="44"/>
      <c r="G1078" s="44"/>
      <c r="H1078" s="44"/>
      <c r="I1078" s="48"/>
      <c r="J1078" s="45"/>
      <c r="K1078" s="45"/>
      <c r="L1078" s="45"/>
    </row>
    <row r="1079" spans="1:12" ht="18" customHeight="1">
      <c r="A1079" s="43"/>
      <c r="B1079" s="44"/>
      <c r="C1079" s="44"/>
      <c r="D1079" s="85"/>
      <c r="E1079" s="44"/>
      <c r="F1079" s="44"/>
      <c r="G1079" s="44"/>
      <c r="H1079" s="44"/>
      <c r="I1079" s="48"/>
      <c r="J1079" s="45"/>
      <c r="K1079" s="45"/>
      <c r="L1079" s="45"/>
    </row>
    <row r="1080" spans="1:12" ht="18" customHeight="1">
      <c r="A1080" s="43"/>
      <c r="B1080" s="44"/>
      <c r="C1080" s="44"/>
      <c r="D1080" s="85"/>
      <c r="E1080" s="44"/>
      <c r="F1080" s="44"/>
      <c r="G1080" s="44"/>
      <c r="H1080" s="44"/>
      <c r="I1080" s="48"/>
      <c r="J1080" s="45"/>
      <c r="K1080" s="45"/>
      <c r="L1080" s="45"/>
    </row>
    <row r="1081" spans="1:12" ht="18" customHeight="1">
      <c r="A1081" s="43"/>
      <c r="B1081" s="44"/>
      <c r="C1081" s="44"/>
      <c r="D1081" s="85"/>
      <c r="E1081" s="44"/>
      <c r="F1081" s="44"/>
      <c r="G1081" s="44"/>
      <c r="H1081" s="44"/>
      <c r="I1081" s="48"/>
      <c r="J1081" s="45"/>
      <c r="K1081" s="45"/>
      <c r="L1081" s="45"/>
    </row>
    <row r="1082" spans="1:12" ht="18" customHeight="1">
      <c r="A1082" s="43"/>
      <c r="B1082" s="44"/>
      <c r="C1082" s="44"/>
      <c r="D1082" s="85"/>
      <c r="E1082" s="44"/>
      <c r="F1082" s="44"/>
      <c r="G1082" s="44"/>
      <c r="H1082" s="44"/>
      <c r="I1082" s="48"/>
      <c r="J1082" s="45"/>
      <c r="K1082" s="45"/>
      <c r="L1082" s="45"/>
    </row>
    <row r="1083" spans="1:12" ht="18" customHeight="1">
      <c r="A1083" s="43"/>
      <c r="B1083" s="44"/>
      <c r="C1083" s="44"/>
      <c r="D1083" s="85"/>
      <c r="E1083" s="44"/>
      <c r="F1083" s="44"/>
      <c r="G1083" s="44"/>
      <c r="H1083" s="44"/>
      <c r="I1083" s="48"/>
      <c r="J1083" s="45"/>
      <c r="K1083" s="45"/>
      <c r="L1083" s="45"/>
    </row>
    <row r="1084" spans="1:12" ht="18" customHeight="1">
      <c r="A1084" s="43"/>
      <c r="B1084" s="44"/>
      <c r="C1084" s="44"/>
      <c r="D1084" s="85"/>
      <c r="E1084" s="44"/>
      <c r="F1084" s="44"/>
      <c r="G1084" s="44"/>
      <c r="H1084" s="44"/>
      <c r="I1084" s="48"/>
      <c r="J1084" s="45"/>
      <c r="K1084" s="45"/>
      <c r="L1084" s="45"/>
    </row>
    <row r="1085" spans="1:12" ht="18" customHeight="1">
      <c r="A1085" s="43"/>
      <c r="B1085" s="44"/>
      <c r="C1085" s="44"/>
      <c r="D1085" s="85"/>
      <c r="E1085" s="44"/>
      <c r="F1085" s="44"/>
      <c r="G1085" s="44"/>
      <c r="H1085" s="44"/>
      <c r="I1085" s="48"/>
      <c r="J1085" s="45"/>
      <c r="K1085" s="45"/>
      <c r="L1085" s="45"/>
    </row>
    <row r="1086" spans="1:12" ht="18" customHeight="1">
      <c r="A1086" s="43"/>
      <c r="B1086" s="44"/>
      <c r="C1086" s="44"/>
      <c r="D1086" s="85"/>
      <c r="E1086" s="44"/>
      <c r="F1086" s="44"/>
      <c r="G1086" s="44"/>
      <c r="H1086" s="44"/>
      <c r="I1086" s="48"/>
      <c r="J1086" s="45"/>
      <c r="K1086" s="45"/>
      <c r="L1086" s="45"/>
    </row>
    <row r="1087" spans="1:12" ht="18" customHeight="1">
      <c r="A1087" s="43"/>
      <c r="B1087" s="44"/>
      <c r="C1087" s="44"/>
      <c r="D1087" s="85"/>
      <c r="E1087" s="44"/>
      <c r="F1087" s="44"/>
      <c r="G1087" s="44"/>
      <c r="H1087" s="44"/>
      <c r="I1087" s="48"/>
      <c r="J1087" s="45"/>
      <c r="K1087" s="45"/>
      <c r="L1087" s="45"/>
    </row>
    <row r="1088" spans="1:12" ht="18" customHeight="1">
      <c r="A1088" s="43"/>
      <c r="B1088" s="44"/>
      <c r="C1088" s="44"/>
      <c r="D1088" s="85"/>
      <c r="E1088" s="44"/>
      <c r="F1088" s="44"/>
      <c r="G1088" s="44"/>
      <c r="H1088" s="44"/>
      <c r="I1088" s="48"/>
      <c r="J1088" s="45"/>
      <c r="K1088" s="45"/>
      <c r="L1088" s="45"/>
    </row>
    <row r="1089" spans="1:12" ht="18" customHeight="1">
      <c r="A1089" s="43"/>
      <c r="B1089" s="44"/>
      <c r="C1089" s="44"/>
      <c r="D1089" s="85"/>
      <c r="E1089" s="44"/>
      <c r="F1089" s="44"/>
      <c r="G1089" s="44"/>
      <c r="H1089" s="44"/>
      <c r="I1089" s="48"/>
      <c r="J1089" s="45"/>
      <c r="K1089" s="45"/>
      <c r="L1089" s="45"/>
    </row>
    <row r="1090" spans="1:12" ht="18" customHeight="1">
      <c r="A1090" s="43"/>
      <c r="B1090" s="44"/>
      <c r="C1090" s="44"/>
      <c r="D1090" s="85"/>
      <c r="E1090" s="44"/>
      <c r="F1090" s="44"/>
      <c r="G1090" s="44"/>
      <c r="H1090" s="44"/>
      <c r="I1090" s="48"/>
      <c r="J1090" s="45"/>
      <c r="K1090" s="45"/>
      <c r="L1090" s="45"/>
    </row>
    <row r="1091" spans="1:12" ht="18" customHeight="1">
      <c r="A1091" s="43"/>
      <c r="B1091" s="44"/>
      <c r="C1091" s="44"/>
      <c r="D1091" s="85"/>
      <c r="E1091" s="44"/>
      <c r="F1091" s="44"/>
      <c r="G1091" s="44"/>
      <c r="H1091" s="44"/>
      <c r="I1091" s="48"/>
      <c r="J1091" s="45"/>
      <c r="K1091" s="45"/>
      <c r="L1091" s="45"/>
    </row>
    <row r="1092" spans="1:12" ht="18" customHeight="1">
      <c r="A1092" s="43"/>
      <c r="B1092" s="44"/>
      <c r="C1092" s="44"/>
      <c r="D1092" s="85"/>
      <c r="E1092" s="44"/>
      <c r="F1092" s="44"/>
      <c r="G1092" s="44"/>
      <c r="H1092" s="44"/>
      <c r="I1092" s="48"/>
      <c r="J1092" s="45"/>
      <c r="K1092" s="45"/>
      <c r="L1092" s="45"/>
    </row>
    <row r="1093" spans="1:12" ht="18" customHeight="1">
      <c r="A1093" s="43"/>
      <c r="B1093" s="44"/>
      <c r="C1093" s="44"/>
      <c r="D1093" s="85"/>
      <c r="E1093" s="44"/>
      <c r="F1093" s="44"/>
      <c r="G1093" s="44"/>
      <c r="H1093" s="44"/>
      <c r="I1093" s="48"/>
      <c r="J1093" s="45"/>
      <c r="K1093" s="45"/>
      <c r="L1093" s="45"/>
    </row>
    <row r="1094" spans="1:12" ht="18" customHeight="1">
      <c r="A1094" s="43"/>
      <c r="B1094" s="44"/>
      <c r="C1094" s="44"/>
      <c r="D1094" s="85"/>
      <c r="E1094" s="44"/>
      <c r="F1094" s="44"/>
      <c r="G1094" s="44"/>
      <c r="H1094" s="44"/>
      <c r="I1094" s="48"/>
      <c r="J1094" s="45"/>
      <c r="K1094" s="45"/>
      <c r="L1094" s="45"/>
    </row>
    <row r="1095" spans="1:12" ht="18" customHeight="1">
      <c r="A1095" s="43"/>
      <c r="B1095" s="44"/>
      <c r="C1095" s="44"/>
      <c r="D1095" s="85"/>
      <c r="E1095" s="44"/>
      <c r="F1095" s="44"/>
      <c r="G1095" s="44"/>
      <c r="H1095" s="44"/>
      <c r="I1095" s="48"/>
      <c r="J1095" s="45"/>
      <c r="K1095" s="45"/>
      <c r="L1095" s="45"/>
    </row>
    <row r="1096" spans="1:12" ht="18" customHeight="1">
      <c r="A1096" s="43"/>
      <c r="B1096" s="44"/>
      <c r="C1096" s="44"/>
      <c r="D1096" s="85"/>
      <c r="E1096" s="44"/>
      <c r="F1096" s="44"/>
      <c r="G1096" s="44"/>
      <c r="H1096" s="44"/>
      <c r="I1096" s="48"/>
      <c r="J1096" s="45"/>
      <c r="K1096" s="45"/>
      <c r="L1096" s="45"/>
    </row>
    <row r="1097" spans="1:12" ht="18" customHeight="1">
      <c r="A1097" s="43"/>
      <c r="B1097" s="44"/>
      <c r="C1097" s="44"/>
      <c r="D1097" s="85"/>
      <c r="E1097" s="44"/>
      <c r="F1097" s="44"/>
      <c r="G1097" s="44"/>
      <c r="H1097" s="44"/>
      <c r="I1097" s="48"/>
      <c r="J1097" s="45"/>
      <c r="K1097" s="45"/>
      <c r="L1097" s="45"/>
    </row>
    <row r="1098" spans="1:12" ht="18" customHeight="1">
      <c r="A1098" s="43"/>
      <c r="B1098" s="44"/>
      <c r="C1098" s="44"/>
      <c r="D1098" s="85"/>
      <c r="E1098" s="44"/>
      <c r="F1098" s="44"/>
      <c r="G1098" s="44"/>
      <c r="H1098" s="44"/>
      <c r="I1098" s="48"/>
      <c r="J1098" s="45"/>
      <c r="K1098" s="45"/>
      <c r="L1098" s="45"/>
    </row>
    <row r="1099" spans="1:12" ht="18" customHeight="1">
      <c r="A1099" s="43"/>
      <c r="B1099" s="44"/>
      <c r="C1099" s="44"/>
      <c r="D1099" s="85"/>
      <c r="E1099" s="44"/>
      <c r="F1099" s="44"/>
      <c r="G1099" s="44"/>
      <c r="H1099" s="44"/>
      <c r="I1099" s="48"/>
      <c r="J1099" s="45"/>
      <c r="K1099" s="45"/>
      <c r="L1099" s="45"/>
    </row>
    <row r="1100" spans="1:12" ht="18" customHeight="1">
      <c r="A1100" s="43"/>
      <c r="B1100" s="44"/>
      <c r="C1100" s="44"/>
      <c r="D1100" s="85"/>
      <c r="E1100" s="44"/>
      <c r="F1100" s="44"/>
      <c r="G1100" s="44"/>
      <c r="H1100" s="44"/>
      <c r="I1100" s="48"/>
      <c r="J1100" s="45"/>
      <c r="K1100" s="45"/>
      <c r="L1100" s="45"/>
    </row>
    <row r="1101" spans="1:12" ht="18" customHeight="1">
      <c r="A1101" s="43"/>
      <c r="B1101" s="44"/>
      <c r="C1101" s="44"/>
      <c r="D1101" s="85"/>
      <c r="E1101" s="44"/>
      <c r="F1101" s="44"/>
      <c r="G1101" s="44"/>
      <c r="H1101" s="44"/>
      <c r="I1101" s="48"/>
      <c r="J1101" s="45"/>
      <c r="K1101" s="45"/>
      <c r="L1101" s="45"/>
    </row>
    <row r="1102" spans="1:12" ht="18" customHeight="1">
      <c r="A1102" s="43"/>
      <c r="B1102" s="44"/>
      <c r="C1102" s="44"/>
      <c r="D1102" s="85"/>
      <c r="E1102" s="44"/>
      <c r="F1102" s="44"/>
      <c r="G1102" s="44"/>
      <c r="H1102" s="44"/>
      <c r="I1102" s="48"/>
      <c r="J1102" s="45"/>
      <c r="K1102" s="45"/>
      <c r="L1102" s="45"/>
    </row>
    <row r="1103" spans="1:12" ht="18" customHeight="1">
      <c r="A1103" s="43"/>
      <c r="B1103" s="44"/>
      <c r="C1103" s="44"/>
      <c r="D1103" s="85"/>
      <c r="E1103" s="44"/>
      <c r="F1103" s="44"/>
      <c r="G1103" s="44"/>
      <c r="H1103" s="44"/>
      <c r="I1103" s="48"/>
      <c r="J1103" s="45"/>
      <c r="K1103" s="45"/>
      <c r="L1103" s="45"/>
    </row>
    <row r="1104" spans="1:12" ht="18" customHeight="1">
      <c r="A1104" s="43"/>
      <c r="B1104" s="44"/>
      <c r="C1104" s="44"/>
      <c r="D1104" s="85"/>
      <c r="E1104" s="44"/>
      <c r="F1104" s="44"/>
      <c r="G1104" s="44"/>
      <c r="H1104" s="44"/>
      <c r="I1104" s="48"/>
      <c r="J1104" s="45"/>
      <c r="K1104" s="45"/>
      <c r="L1104" s="45"/>
    </row>
    <row r="1105" spans="1:12" ht="18" customHeight="1">
      <c r="A1105" s="43"/>
      <c r="B1105" s="44"/>
      <c r="C1105" s="44"/>
      <c r="D1105" s="85"/>
      <c r="E1105" s="44"/>
      <c r="F1105" s="44"/>
      <c r="G1105" s="44"/>
      <c r="H1105" s="44"/>
      <c r="I1105" s="48"/>
      <c r="J1105" s="45"/>
      <c r="K1105" s="45"/>
      <c r="L1105" s="45"/>
    </row>
    <row r="1106" spans="1:12" ht="18" customHeight="1">
      <c r="A1106" s="43"/>
      <c r="B1106" s="44"/>
      <c r="C1106" s="44"/>
      <c r="D1106" s="85"/>
      <c r="E1106" s="44"/>
      <c r="F1106" s="44"/>
      <c r="G1106" s="44"/>
      <c r="H1106" s="44"/>
      <c r="I1106" s="48"/>
      <c r="J1106" s="45"/>
      <c r="K1106" s="45"/>
      <c r="L1106" s="45"/>
    </row>
    <row r="1107" spans="1:12" ht="18" customHeight="1">
      <c r="A1107" s="43"/>
      <c r="B1107" s="44"/>
      <c r="C1107" s="44"/>
      <c r="D1107" s="85"/>
      <c r="E1107" s="44"/>
      <c r="F1107" s="44"/>
      <c r="G1107" s="44"/>
      <c r="H1107" s="44"/>
      <c r="I1107" s="48"/>
      <c r="J1107" s="45"/>
      <c r="K1107" s="45"/>
      <c r="L1107" s="45"/>
    </row>
    <row r="1108" spans="1:12" ht="18" customHeight="1">
      <c r="A1108" s="43"/>
      <c r="B1108" s="44"/>
      <c r="C1108" s="44"/>
      <c r="D1108" s="85"/>
      <c r="E1108" s="44"/>
      <c r="F1108" s="44"/>
      <c r="G1108" s="44"/>
      <c r="H1108" s="44"/>
      <c r="I1108" s="48"/>
      <c r="J1108" s="45"/>
      <c r="K1108" s="45"/>
      <c r="L1108" s="45"/>
    </row>
    <row r="1109" spans="1:12" ht="18" customHeight="1">
      <c r="A1109" s="43"/>
      <c r="B1109" s="44"/>
      <c r="C1109" s="44"/>
      <c r="D1109" s="85"/>
      <c r="E1109" s="44"/>
      <c r="F1109" s="44"/>
      <c r="G1109" s="44"/>
      <c r="H1109" s="44"/>
      <c r="I1109" s="48"/>
      <c r="J1109" s="45"/>
      <c r="K1109" s="45"/>
      <c r="L1109" s="45"/>
    </row>
    <row r="1110" spans="1:12" ht="18" customHeight="1">
      <c r="A1110" s="43"/>
      <c r="B1110" s="44"/>
      <c r="C1110" s="44"/>
      <c r="D1110" s="85"/>
      <c r="E1110" s="44"/>
      <c r="F1110" s="44"/>
      <c r="G1110" s="44"/>
      <c r="H1110" s="44"/>
      <c r="I1110" s="48"/>
      <c r="J1110" s="45"/>
      <c r="K1110" s="45"/>
      <c r="L1110" s="45"/>
    </row>
    <row r="1111" spans="1:12" ht="18" customHeight="1">
      <c r="A1111" s="43"/>
      <c r="B1111" s="44"/>
      <c r="C1111" s="44"/>
      <c r="D1111" s="85"/>
      <c r="E1111" s="44"/>
      <c r="F1111" s="44"/>
      <c r="G1111" s="44"/>
      <c r="H1111" s="44"/>
      <c r="I1111" s="48"/>
      <c r="J1111" s="45"/>
      <c r="K1111" s="45"/>
      <c r="L1111" s="45"/>
    </row>
    <row r="1112" spans="1:12" ht="18" customHeight="1">
      <c r="A1112" s="43"/>
      <c r="B1112" s="44"/>
      <c r="C1112" s="44"/>
      <c r="D1112" s="85"/>
      <c r="E1112" s="44"/>
      <c r="F1112" s="44"/>
      <c r="G1112" s="44"/>
      <c r="H1112" s="44"/>
      <c r="I1112" s="48"/>
      <c r="J1112" s="45"/>
      <c r="K1112" s="45"/>
      <c r="L1112" s="45"/>
    </row>
    <row r="1113" spans="1:12" ht="18" customHeight="1">
      <c r="A1113" s="43"/>
      <c r="B1113" s="44"/>
      <c r="C1113" s="44"/>
      <c r="D1113" s="85"/>
      <c r="E1113" s="44"/>
      <c r="F1113" s="44"/>
      <c r="G1113" s="44"/>
      <c r="H1113" s="44"/>
      <c r="I1113" s="48"/>
      <c r="J1113" s="45"/>
      <c r="K1113" s="45"/>
      <c r="L1113" s="45"/>
    </row>
    <row r="1114" spans="1:12" ht="18" customHeight="1">
      <c r="A1114" s="43"/>
      <c r="B1114" s="44"/>
      <c r="C1114" s="44"/>
      <c r="D1114" s="85"/>
      <c r="E1114" s="44"/>
      <c r="F1114" s="44"/>
      <c r="G1114" s="44"/>
      <c r="H1114" s="44"/>
      <c r="I1114" s="48"/>
      <c r="J1114" s="45"/>
      <c r="K1114" s="45"/>
      <c r="L1114" s="45"/>
    </row>
    <row r="1115" spans="1:12" ht="18" customHeight="1">
      <c r="A1115" s="43"/>
      <c r="B1115" s="44"/>
      <c r="C1115" s="44"/>
      <c r="D1115" s="85"/>
      <c r="E1115" s="44"/>
      <c r="F1115" s="44"/>
      <c r="G1115" s="44"/>
      <c r="H1115" s="44"/>
      <c r="I1115" s="48"/>
      <c r="J1115" s="45"/>
      <c r="K1115" s="45"/>
      <c r="L1115" s="45"/>
    </row>
    <row r="1116" spans="1:12" ht="18" customHeight="1">
      <c r="A1116" s="43"/>
      <c r="B1116" s="44"/>
      <c r="C1116" s="44"/>
      <c r="D1116" s="85"/>
      <c r="E1116" s="44"/>
      <c r="F1116" s="44"/>
      <c r="G1116" s="44"/>
      <c r="H1116" s="44"/>
      <c r="I1116" s="48"/>
      <c r="J1116" s="45"/>
      <c r="K1116" s="45"/>
      <c r="L1116" s="45"/>
    </row>
    <row r="1117" spans="1:12" ht="18" customHeight="1">
      <c r="A1117" s="43"/>
      <c r="B1117" s="44"/>
      <c r="C1117" s="44"/>
      <c r="D1117" s="85"/>
      <c r="E1117" s="44"/>
      <c r="F1117" s="44"/>
      <c r="G1117" s="44"/>
      <c r="H1117" s="44"/>
      <c r="I1117" s="48"/>
      <c r="J1117" s="45"/>
      <c r="K1117" s="45"/>
      <c r="L1117" s="45"/>
    </row>
    <row r="1118" spans="1:12" ht="18" customHeight="1">
      <c r="A1118" s="43"/>
      <c r="B1118" s="44"/>
      <c r="C1118" s="44"/>
      <c r="D1118" s="85"/>
      <c r="E1118" s="44"/>
      <c r="F1118" s="44"/>
      <c r="G1118" s="44"/>
      <c r="H1118" s="44"/>
      <c r="I1118" s="48"/>
      <c r="J1118" s="45"/>
      <c r="K1118" s="45"/>
      <c r="L1118" s="45"/>
    </row>
    <row r="1119" spans="1:12" ht="18" customHeight="1">
      <c r="A1119" s="43"/>
      <c r="B1119" s="44"/>
      <c r="C1119" s="44"/>
      <c r="D1119" s="85"/>
      <c r="E1119" s="44"/>
      <c r="F1119" s="44"/>
      <c r="G1119" s="44"/>
      <c r="H1119" s="44"/>
      <c r="I1119" s="48"/>
      <c r="J1119" s="45"/>
      <c r="K1119" s="45"/>
      <c r="L1119" s="45"/>
    </row>
    <row r="1120" spans="1:12" ht="18" customHeight="1">
      <c r="A1120" s="43"/>
      <c r="B1120" s="44"/>
      <c r="C1120" s="44"/>
      <c r="D1120" s="85"/>
      <c r="E1120" s="44"/>
      <c r="F1120" s="44"/>
      <c r="G1120" s="44"/>
      <c r="H1120" s="44"/>
      <c r="I1120" s="48"/>
      <c r="J1120" s="45"/>
      <c r="K1120" s="45"/>
      <c r="L1120" s="45"/>
    </row>
    <row r="1121" spans="1:12" ht="18" customHeight="1">
      <c r="A1121" s="43"/>
      <c r="B1121" s="44"/>
      <c r="C1121" s="44"/>
      <c r="D1121" s="85"/>
      <c r="E1121" s="44"/>
      <c r="F1121" s="44"/>
      <c r="G1121" s="44"/>
      <c r="H1121" s="44"/>
      <c r="I1121" s="48"/>
      <c r="J1121" s="45"/>
      <c r="K1121" s="45"/>
      <c r="L1121" s="45"/>
    </row>
    <row r="1122" spans="1:12" ht="18" customHeight="1">
      <c r="A1122" s="43"/>
      <c r="B1122" s="44"/>
      <c r="C1122" s="44"/>
      <c r="D1122" s="85"/>
      <c r="E1122" s="44"/>
      <c r="F1122" s="44"/>
      <c r="G1122" s="44"/>
      <c r="H1122" s="44"/>
      <c r="I1122" s="48"/>
      <c r="J1122" s="45"/>
      <c r="K1122" s="45"/>
      <c r="L1122" s="45"/>
    </row>
    <row r="1123" spans="1:12" ht="18" customHeight="1">
      <c r="A1123" s="43"/>
      <c r="B1123" s="44"/>
      <c r="C1123" s="44"/>
      <c r="D1123" s="85"/>
      <c r="E1123" s="44"/>
      <c r="F1123" s="44"/>
      <c r="G1123" s="44"/>
      <c r="H1123" s="44"/>
      <c r="I1123" s="48"/>
      <c r="J1123" s="45"/>
      <c r="K1123" s="45"/>
      <c r="L1123" s="45"/>
    </row>
    <row r="1124" spans="1:12" ht="18" customHeight="1">
      <c r="A1124" s="43"/>
      <c r="B1124" s="44"/>
      <c r="C1124" s="44"/>
      <c r="D1124" s="85"/>
      <c r="E1124" s="44"/>
      <c r="F1124" s="44"/>
      <c r="G1124" s="44"/>
      <c r="H1124" s="44"/>
      <c r="I1124" s="48"/>
      <c r="J1124" s="45"/>
      <c r="K1124" s="45"/>
      <c r="L1124" s="45"/>
    </row>
    <row r="1125" spans="1:12" ht="18" customHeight="1">
      <c r="A1125" s="43"/>
      <c r="B1125" s="44"/>
      <c r="C1125" s="44"/>
      <c r="D1125" s="85"/>
      <c r="E1125" s="44"/>
      <c r="F1125" s="44"/>
      <c r="G1125" s="44"/>
      <c r="H1125" s="44"/>
      <c r="I1125" s="48"/>
      <c r="J1125" s="45"/>
      <c r="K1125" s="45"/>
      <c r="L1125" s="45"/>
    </row>
    <row r="1126" spans="1:12" ht="18" customHeight="1">
      <c r="A1126" s="43"/>
      <c r="B1126" s="44"/>
      <c r="C1126" s="44"/>
      <c r="D1126" s="85"/>
      <c r="E1126" s="44"/>
      <c r="F1126" s="44"/>
      <c r="G1126" s="44"/>
      <c r="H1126" s="44"/>
      <c r="I1126" s="48"/>
      <c r="J1126" s="45"/>
      <c r="K1126" s="45"/>
      <c r="L1126" s="45"/>
    </row>
    <row r="1127" spans="1:12" ht="18" customHeight="1">
      <c r="A1127" s="43"/>
      <c r="B1127" s="44"/>
      <c r="C1127" s="44"/>
      <c r="D1127" s="85"/>
      <c r="E1127" s="44"/>
      <c r="F1127" s="44"/>
      <c r="G1127" s="44"/>
      <c r="H1127" s="44"/>
      <c r="I1127" s="48"/>
      <c r="J1127" s="45"/>
      <c r="K1127" s="45"/>
      <c r="L1127" s="45"/>
    </row>
    <row r="1128" spans="1:12" ht="18" customHeight="1">
      <c r="A1128" s="43"/>
      <c r="B1128" s="44"/>
      <c r="C1128" s="44"/>
      <c r="D1128" s="85"/>
      <c r="E1128" s="44"/>
      <c r="F1128" s="44"/>
      <c r="G1128" s="44"/>
      <c r="H1128" s="44"/>
      <c r="I1128" s="48"/>
      <c r="J1128" s="45"/>
      <c r="K1128" s="45"/>
      <c r="L1128" s="45"/>
    </row>
    <row r="1129" spans="1:12" ht="18" customHeight="1">
      <c r="A1129" s="43"/>
      <c r="B1129" s="44"/>
      <c r="C1129" s="44"/>
      <c r="D1129" s="85"/>
      <c r="E1129" s="44"/>
      <c r="F1129" s="44"/>
      <c r="G1129" s="44"/>
      <c r="H1129" s="44"/>
      <c r="I1129" s="48"/>
      <c r="J1129" s="45"/>
      <c r="K1129" s="45"/>
      <c r="L1129" s="45"/>
    </row>
    <row r="1130" spans="1:12" ht="18" customHeight="1">
      <c r="A1130" s="43"/>
      <c r="B1130" s="44"/>
      <c r="C1130" s="44"/>
      <c r="D1130" s="85"/>
      <c r="E1130" s="44"/>
      <c r="F1130" s="44"/>
      <c r="G1130" s="44"/>
      <c r="H1130" s="44"/>
      <c r="I1130" s="48"/>
      <c r="J1130" s="45"/>
      <c r="K1130" s="45"/>
      <c r="L1130" s="45"/>
    </row>
    <row r="1131" spans="1:12" ht="18" customHeight="1">
      <c r="A1131" s="43"/>
      <c r="B1131" s="44"/>
      <c r="C1131" s="44"/>
      <c r="D1131" s="85"/>
      <c r="E1131" s="44"/>
      <c r="F1131" s="44"/>
      <c r="G1131" s="44"/>
      <c r="H1131" s="44"/>
      <c r="I1131" s="48"/>
      <c r="J1131" s="45"/>
      <c r="K1131" s="45"/>
      <c r="L1131" s="45"/>
    </row>
    <row r="1132" spans="1:12" ht="18" customHeight="1">
      <c r="A1132" s="43"/>
      <c r="B1132" s="44"/>
      <c r="C1132" s="44"/>
      <c r="D1132" s="85"/>
      <c r="E1132" s="44"/>
      <c r="F1132" s="44"/>
      <c r="G1132" s="44"/>
      <c r="H1132" s="44"/>
      <c r="I1132" s="48"/>
      <c r="J1132" s="45"/>
      <c r="K1132" s="45"/>
      <c r="L1132" s="45"/>
    </row>
    <row r="1133" spans="1:12" ht="18" customHeight="1">
      <c r="A1133" s="43"/>
      <c r="B1133" s="44"/>
      <c r="C1133" s="44"/>
      <c r="D1133" s="85"/>
      <c r="E1133" s="44"/>
      <c r="F1133" s="44"/>
      <c r="G1133" s="44"/>
      <c r="H1133" s="44"/>
      <c r="I1133" s="48"/>
      <c r="J1133" s="45"/>
      <c r="K1133" s="45"/>
      <c r="L1133" s="45"/>
    </row>
    <row r="1134" spans="1:12" ht="18" customHeight="1">
      <c r="A1134" s="43"/>
      <c r="B1134" s="44"/>
      <c r="C1134" s="44"/>
      <c r="D1134" s="85"/>
      <c r="E1134" s="44"/>
      <c r="F1134" s="44"/>
      <c r="G1134" s="44"/>
      <c r="H1134" s="44"/>
      <c r="I1134" s="48"/>
      <c r="J1134" s="45"/>
      <c r="K1134" s="45"/>
      <c r="L1134" s="45"/>
    </row>
    <row r="1135" spans="1:12" ht="18" customHeight="1">
      <c r="A1135" s="43"/>
      <c r="B1135" s="44"/>
      <c r="C1135" s="44"/>
      <c r="D1135" s="85"/>
      <c r="E1135" s="44"/>
      <c r="F1135" s="44"/>
      <c r="G1135" s="44"/>
      <c r="H1135" s="44"/>
      <c r="I1135" s="48"/>
      <c r="J1135" s="45"/>
      <c r="K1135" s="45"/>
      <c r="L1135" s="45"/>
    </row>
    <row r="1136" spans="1:12" ht="18" customHeight="1">
      <c r="A1136" s="43"/>
      <c r="B1136" s="44"/>
      <c r="C1136" s="44"/>
      <c r="D1136" s="85"/>
      <c r="E1136" s="44"/>
      <c r="F1136" s="44"/>
      <c r="G1136" s="44"/>
      <c r="H1136" s="44"/>
      <c r="I1136" s="48"/>
      <c r="J1136" s="45"/>
      <c r="K1136" s="45"/>
      <c r="L1136" s="45"/>
    </row>
    <row r="1137" spans="1:12" ht="18" customHeight="1">
      <c r="A1137" s="43"/>
      <c r="B1137" s="44"/>
      <c r="C1137" s="44"/>
      <c r="D1137" s="85"/>
      <c r="E1137" s="44"/>
      <c r="F1137" s="44"/>
      <c r="G1137" s="44"/>
      <c r="H1137" s="44"/>
      <c r="I1137" s="48"/>
      <c r="J1137" s="45"/>
      <c r="K1137" s="45"/>
      <c r="L1137" s="45"/>
    </row>
    <row r="1138" spans="1:12" ht="18" customHeight="1">
      <c r="A1138" s="43"/>
      <c r="B1138" s="44"/>
      <c r="C1138" s="44"/>
      <c r="D1138" s="85"/>
      <c r="E1138" s="44"/>
      <c r="F1138" s="44"/>
      <c r="G1138" s="44"/>
      <c r="H1138" s="44"/>
      <c r="I1138" s="48"/>
      <c r="J1138" s="45"/>
      <c r="K1138" s="45"/>
      <c r="L1138" s="45"/>
    </row>
    <row r="1139" spans="1:12" ht="18" customHeight="1">
      <c r="A1139" s="43"/>
      <c r="B1139" s="44"/>
      <c r="C1139" s="44"/>
      <c r="D1139" s="85"/>
      <c r="E1139" s="44"/>
      <c r="F1139" s="44"/>
      <c r="G1139" s="44"/>
      <c r="H1139" s="44"/>
      <c r="I1139" s="48"/>
      <c r="J1139" s="45"/>
      <c r="K1139" s="45"/>
      <c r="L1139" s="45"/>
    </row>
    <row r="1140" spans="1:12" ht="18" customHeight="1">
      <c r="A1140" s="43"/>
      <c r="B1140" s="44"/>
      <c r="C1140" s="44"/>
      <c r="D1140" s="85"/>
      <c r="E1140" s="44"/>
      <c r="F1140" s="44"/>
      <c r="G1140" s="44"/>
      <c r="H1140" s="44"/>
      <c r="I1140" s="48"/>
      <c r="J1140" s="45"/>
      <c r="K1140" s="45"/>
      <c r="L1140" s="45"/>
    </row>
    <row r="1141" spans="1:12" ht="18" customHeight="1">
      <c r="A1141" s="43"/>
      <c r="B1141" s="44"/>
      <c r="C1141" s="44"/>
      <c r="D1141" s="85"/>
      <c r="E1141" s="44"/>
      <c r="F1141" s="44"/>
      <c r="G1141" s="44"/>
      <c r="H1141" s="44"/>
      <c r="I1141" s="48"/>
      <c r="J1141" s="45"/>
      <c r="K1141" s="45"/>
      <c r="L1141" s="45"/>
    </row>
    <row r="1142" spans="1:12" ht="18" customHeight="1">
      <c r="A1142" s="43"/>
      <c r="B1142" s="44"/>
      <c r="C1142" s="44"/>
      <c r="D1142" s="85"/>
      <c r="E1142" s="44"/>
      <c r="F1142" s="44"/>
      <c r="G1142" s="44"/>
      <c r="H1142" s="44"/>
      <c r="I1142" s="48"/>
      <c r="J1142" s="45"/>
      <c r="K1142" s="45"/>
      <c r="L1142" s="45"/>
    </row>
    <row r="1143" spans="1:12" ht="18" customHeight="1">
      <c r="A1143" s="43"/>
      <c r="B1143" s="44"/>
      <c r="C1143" s="44"/>
      <c r="D1143" s="85"/>
      <c r="E1143" s="44"/>
      <c r="F1143" s="44"/>
      <c r="G1143" s="44"/>
      <c r="H1143" s="44"/>
      <c r="I1143" s="48"/>
      <c r="J1143" s="45"/>
      <c r="K1143" s="45"/>
      <c r="L1143" s="45"/>
    </row>
    <row r="1144" spans="1:12" ht="18" customHeight="1">
      <c r="A1144" s="43"/>
      <c r="B1144" s="44"/>
      <c r="C1144" s="44"/>
      <c r="D1144" s="85"/>
      <c r="E1144" s="44"/>
      <c r="F1144" s="44"/>
      <c r="G1144" s="44"/>
      <c r="H1144" s="44"/>
      <c r="I1144" s="48"/>
      <c r="J1144" s="45"/>
      <c r="K1144" s="45"/>
      <c r="L1144" s="45"/>
    </row>
    <row r="1145" spans="1:12" ht="18" customHeight="1">
      <c r="A1145" s="43"/>
      <c r="B1145" s="44"/>
      <c r="C1145" s="44"/>
      <c r="D1145" s="85"/>
      <c r="E1145" s="44"/>
      <c r="F1145" s="44"/>
      <c r="G1145" s="44"/>
      <c r="H1145" s="44"/>
      <c r="I1145" s="48"/>
      <c r="J1145" s="45"/>
      <c r="K1145" s="45"/>
      <c r="L1145" s="45"/>
    </row>
    <row r="1146" spans="1:12" ht="18" customHeight="1">
      <c r="A1146" s="43"/>
      <c r="B1146" s="44"/>
      <c r="C1146" s="44"/>
      <c r="D1146" s="85"/>
      <c r="E1146" s="44"/>
      <c r="F1146" s="44"/>
      <c r="G1146" s="44"/>
      <c r="H1146" s="44"/>
      <c r="I1146" s="48"/>
      <c r="J1146" s="45"/>
      <c r="K1146" s="45"/>
      <c r="L1146" s="45"/>
    </row>
    <row r="1147" spans="1:12" ht="18" customHeight="1">
      <c r="A1147" s="43"/>
      <c r="B1147" s="44"/>
      <c r="C1147" s="44"/>
      <c r="D1147" s="85"/>
      <c r="E1147" s="44"/>
      <c r="F1147" s="44"/>
      <c r="G1147" s="44"/>
      <c r="H1147" s="44"/>
      <c r="I1147" s="48"/>
      <c r="J1147" s="45"/>
      <c r="K1147" s="45"/>
      <c r="L1147" s="45"/>
    </row>
    <row r="1148" spans="1:12" ht="18" customHeight="1">
      <c r="A1148" s="43"/>
      <c r="B1148" s="44"/>
      <c r="C1148" s="44"/>
      <c r="D1148" s="85"/>
      <c r="E1148" s="44"/>
      <c r="F1148" s="44"/>
      <c r="G1148" s="44"/>
      <c r="H1148" s="44"/>
      <c r="I1148" s="48"/>
      <c r="J1148" s="45"/>
      <c r="K1148" s="45"/>
      <c r="L1148" s="45"/>
    </row>
    <row r="1149" spans="1:12" ht="18" customHeight="1">
      <c r="A1149" s="43"/>
      <c r="B1149" s="44"/>
      <c r="C1149" s="44"/>
      <c r="D1149" s="85"/>
      <c r="E1149" s="44"/>
      <c r="F1149" s="44"/>
      <c r="G1149" s="44"/>
      <c r="H1149" s="44"/>
      <c r="I1149" s="48"/>
      <c r="J1149" s="45"/>
      <c r="K1149" s="45"/>
      <c r="L1149" s="45"/>
    </row>
    <row r="1150" spans="1:12" ht="18" customHeight="1">
      <c r="A1150" s="43"/>
      <c r="B1150" s="44"/>
      <c r="C1150" s="44"/>
      <c r="D1150" s="85"/>
      <c r="E1150" s="44"/>
      <c r="F1150" s="44"/>
      <c r="G1150" s="44"/>
      <c r="H1150" s="44"/>
      <c r="I1150" s="48"/>
      <c r="J1150" s="45"/>
      <c r="K1150" s="45"/>
      <c r="L1150" s="45"/>
    </row>
    <row r="1151" spans="1:12" ht="18" customHeight="1">
      <c r="A1151" s="43"/>
      <c r="B1151" s="44"/>
      <c r="C1151" s="44"/>
      <c r="D1151" s="85"/>
      <c r="E1151" s="44"/>
      <c r="F1151" s="44"/>
      <c r="G1151" s="44"/>
      <c r="H1151" s="44"/>
      <c r="I1151" s="48"/>
      <c r="J1151" s="45"/>
      <c r="K1151" s="45"/>
      <c r="L1151" s="45"/>
    </row>
    <row r="1152" spans="1:12" ht="18" customHeight="1">
      <c r="A1152" s="43"/>
      <c r="B1152" s="44"/>
      <c r="C1152" s="44"/>
      <c r="D1152" s="85"/>
      <c r="E1152" s="44"/>
      <c r="F1152" s="44"/>
      <c r="G1152" s="44"/>
      <c r="H1152" s="44"/>
      <c r="I1152" s="48"/>
      <c r="J1152" s="45"/>
      <c r="K1152" s="45"/>
      <c r="L1152" s="45"/>
    </row>
    <row r="1153" spans="1:12" ht="18" customHeight="1">
      <c r="A1153" s="43"/>
      <c r="B1153" s="44"/>
      <c r="C1153" s="44"/>
      <c r="D1153" s="85"/>
      <c r="E1153" s="44"/>
      <c r="F1153" s="44"/>
      <c r="G1153" s="44"/>
      <c r="H1153" s="44"/>
      <c r="I1153" s="48"/>
      <c r="J1153" s="45"/>
      <c r="K1153" s="45"/>
      <c r="L1153" s="45"/>
    </row>
    <row r="1154" spans="1:12" ht="18" customHeight="1">
      <c r="A1154" s="43"/>
      <c r="B1154" s="44"/>
      <c r="C1154" s="44"/>
      <c r="D1154" s="85"/>
      <c r="E1154" s="44"/>
      <c r="F1154" s="44"/>
      <c r="G1154" s="44"/>
      <c r="H1154" s="44"/>
      <c r="I1154" s="48"/>
      <c r="J1154" s="45"/>
      <c r="K1154" s="45"/>
      <c r="L1154" s="45"/>
    </row>
    <row r="1155" spans="1:12" ht="18" customHeight="1">
      <c r="A1155" s="43"/>
      <c r="B1155" s="44"/>
      <c r="C1155" s="44"/>
      <c r="D1155" s="85"/>
      <c r="E1155" s="44"/>
      <c r="F1155" s="44"/>
      <c r="G1155" s="44"/>
      <c r="H1155" s="44"/>
      <c r="I1155" s="48"/>
      <c r="J1155" s="45"/>
      <c r="K1155" s="45"/>
      <c r="L1155" s="45"/>
    </row>
    <row r="1156" spans="1:12" ht="18" customHeight="1">
      <c r="A1156" s="43"/>
      <c r="B1156" s="44"/>
      <c r="C1156" s="44"/>
      <c r="D1156" s="85"/>
      <c r="E1156" s="44"/>
      <c r="F1156" s="44"/>
      <c r="G1156" s="44"/>
      <c r="H1156" s="44"/>
      <c r="I1156" s="48"/>
      <c r="J1156" s="45"/>
      <c r="K1156" s="45"/>
      <c r="L1156" s="45"/>
    </row>
    <row r="1157" spans="1:12" ht="18" customHeight="1">
      <c r="A1157" s="43"/>
      <c r="B1157" s="44"/>
      <c r="C1157" s="44"/>
      <c r="D1157" s="85"/>
      <c r="E1157" s="44"/>
      <c r="F1157" s="44"/>
      <c r="G1157" s="44"/>
      <c r="H1157" s="44"/>
      <c r="I1157" s="48"/>
      <c r="J1157" s="45"/>
      <c r="K1157" s="45"/>
      <c r="L1157" s="45"/>
    </row>
    <row r="1158" spans="1:12" ht="18" customHeight="1">
      <c r="A1158" s="43"/>
      <c r="B1158" s="44"/>
      <c r="C1158" s="44"/>
      <c r="D1158" s="85"/>
      <c r="E1158" s="44"/>
      <c r="F1158" s="44"/>
      <c r="G1158" s="44"/>
      <c r="H1158" s="44"/>
      <c r="I1158" s="48"/>
      <c r="J1158" s="45"/>
      <c r="K1158" s="45"/>
      <c r="L1158" s="45"/>
    </row>
    <row r="1159" spans="1:12" ht="18" customHeight="1">
      <c r="A1159" s="43"/>
      <c r="B1159" s="44"/>
      <c r="C1159" s="44"/>
      <c r="D1159" s="85"/>
      <c r="E1159" s="44"/>
      <c r="F1159" s="44"/>
      <c r="G1159" s="44"/>
      <c r="H1159" s="44"/>
      <c r="I1159" s="48"/>
      <c r="J1159" s="45"/>
      <c r="K1159" s="45"/>
      <c r="L1159" s="45"/>
    </row>
    <row r="1160" spans="1:12" ht="18" customHeight="1">
      <c r="A1160" s="43"/>
      <c r="B1160" s="44"/>
      <c r="C1160" s="44"/>
      <c r="D1160" s="85"/>
      <c r="E1160" s="44"/>
      <c r="F1160" s="44"/>
      <c r="G1160" s="44"/>
      <c r="H1160" s="44"/>
      <c r="I1160" s="48"/>
      <c r="J1160" s="45"/>
      <c r="K1160" s="45"/>
      <c r="L1160" s="45"/>
    </row>
    <row r="1161" spans="1:12" ht="18" customHeight="1">
      <c r="A1161" s="43"/>
      <c r="B1161" s="44"/>
      <c r="C1161" s="44"/>
      <c r="D1161" s="85"/>
      <c r="E1161" s="44"/>
      <c r="F1161" s="44"/>
      <c r="G1161" s="44"/>
      <c r="H1161" s="44"/>
      <c r="I1161" s="48"/>
      <c r="J1161" s="45"/>
      <c r="K1161" s="45"/>
      <c r="L1161" s="45"/>
    </row>
    <row r="1162" spans="1:12" ht="18" customHeight="1">
      <c r="A1162" s="43"/>
      <c r="B1162" s="44"/>
      <c r="C1162" s="44"/>
      <c r="D1162" s="85"/>
      <c r="E1162" s="44"/>
      <c r="F1162" s="44"/>
      <c r="G1162" s="44"/>
      <c r="H1162" s="44"/>
      <c r="I1162" s="48"/>
      <c r="J1162" s="45"/>
      <c r="K1162" s="45"/>
      <c r="L1162" s="45"/>
    </row>
    <row r="1163" spans="1:12" ht="18" customHeight="1">
      <c r="A1163" s="43"/>
      <c r="B1163" s="44"/>
      <c r="C1163" s="44"/>
      <c r="D1163" s="85"/>
      <c r="E1163" s="44"/>
      <c r="F1163" s="44"/>
      <c r="G1163" s="44"/>
      <c r="H1163" s="44"/>
      <c r="I1163" s="48"/>
      <c r="J1163" s="45"/>
      <c r="K1163" s="45"/>
      <c r="L1163" s="45"/>
    </row>
    <row r="1164" spans="1:12" ht="18" customHeight="1">
      <c r="A1164" s="43"/>
      <c r="B1164" s="44"/>
      <c r="C1164" s="44"/>
      <c r="D1164" s="85"/>
      <c r="E1164" s="44"/>
      <c r="F1164" s="44"/>
      <c r="G1164" s="44"/>
      <c r="H1164" s="44"/>
      <c r="I1164" s="48"/>
      <c r="J1164" s="45"/>
      <c r="K1164" s="45"/>
      <c r="L1164" s="45"/>
    </row>
    <row r="1165" spans="1:12" ht="18" customHeight="1">
      <c r="A1165" s="43"/>
      <c r="B1165" s="44"/>
      <c r="C1165" s="44"/>
      <c r="D1165" s="85"/>
      <c r="E1165" s="44"/>
      <c r="F1165" s="44"/>
      <c r="G1165" s="44"/>
      <c r="H1165" s="44"/>
      <c r="I1165" s="48"/>
      <c r="J1165" s="45"/>
      <c r="K1165" s="45"/>
      <c r="L1165" s="45"/>
    </row>
    <row r="1166" spans="1:12" ht="18" customHeight="1">
      <c r="A1166" s="43"/>
      <c r="B1166" s="44"/>
      <c r="C1166" s="44"/>
      <c r="D1166" s="85"/>
      <c r="E1166" s="44"/>
      <c r="F1166" s="44"/>
      <c r="G1166" s="44"/>
      <c r="H1166" s="44"/>
      <c r="I1166" s="48"/>
      <c r="J1166" s="45"/>
      <c r="K1166" s="45"/>
      <c r="L1166" s="45"/>
    </row>
    <row r="1167" spans="1:12" ht="18" customHeight="1">
      <c r="A1167" s="43"/>
      <c r="B1167" s="44"/>
      <c r="C1167" s="44"/>
      <c r="D1167" s="85"/>
      <c r="E1167" s="44"/>
      <c r="F1167" s="44"/>
      <c r="G1167" s="44"/>
      <c r="H1167" s="44"/>
      <c r="I1167" s="48"/>
      <c r="J1167" s="45"/>
      <c r="K1167" s="45"/>
      <c r="L1167" s="45"/>
    </row>
    <row r="1168" spans="1:12" ht="18" customHeight="1">
      <c r="A1168" s="43"/>
      <c r="B1168" s="44"/>
      <c r="C1168" s="44"/>
      <c r="D1168" s="85"/>
      <c r="E1168" s="44"/>
      <c r="F1168" s="44"/>
      <c r="G1168" s="44"/>
      <c r="H1168" s="44"/>
      <c r="I1168" s="48"/>
      <c r="J1168" s="45"/>
      <c r="K1168" s="45"/>
      <c r="L1168" s="45"/>
    </row>
    <row r="1169" spans="1:12" ht="18" customHeight="1">
      <c r="A1169" s="43"/>
      <c r="B1169" s="44"/>
      <c r="C1169" s="44"/>
      <c r="D1169" s="85"/>
      <c r="E1169" s="44"/>
      <c r="F1169" s="44"/>
      <c r="G1169" s="44"/>
      <c r="H1169" s="44"/>
      <c r="I1169" s="48"/>
      <c r="J1169" s="45"/>
      <c r="K1169" s="45"/>
      <c r="L1169" s="45"/>
    </row>
    <row r="1170" spans="1:12" ht="18" customHeight="1">
      <c r="A1170" s="43"/>
      <c r="B1170" s="44"/>
      <c r="C1170" s="44"/>
      <c r="D1170" s="85"/>
      <c r="E1170" s="44"/>
      <c r="F1170" s="44"/>
      <c r="G1170" s="44"/>
      <c r="H1170" s="44"/>
      <c r="I1170" s="48"/>
      <c r="J1170" s="45"/>
      <c r="K1170" s="45"/>
      <c r="L1170" s="45"/>
    </row>
    <row r="1171" spans="1:12" ht="18" customHeight="1">
      <c r="A1171" s="43"/>
      <c r="B1171" s="44"/>
      <c r="C1171" s="44"/>
      <c r="D1171" s="85"/>
      <c r="E1171" s="44"/>
      <c r="F1171" s="44"/>
      <c r="G1171" s="44"/>
      <c r="H1171" s="44"/>
      <c r="I1171" s="48"/>
      <c r="J1171" s="45"/>
      <c r="K1171" s="45"/>
      <c r="L1171" s="45"/>
    </row>
    <row r="1172" spans="1:12" ht="18" customHeight="1">
      <c r="A1172" s="43"/>
      <c r="B1172" s="44"/>
      <c r="C1172" s="44"/>
      <c r="D1172" s="85"/>
      <c r="E1172" s="44"/>
      <c r="F1172" s="44"/>
      <c r="G1172" s="44"/>
      <c r="H1172" s="44"/>
      <c r="I1172" s="48"/>
      <c r="J1172" s="45"/>
      <c r="K1172" s="45"/>
      <c r="L1172" s="45"/>
    </row>
    <row r="1173" spans="1:12" ht="18" customHeight="1">
      <c r="A1173" s="43"/>
      <c r="B1173" s="44"/>
      <c r="C1173" s="44"/>
      <c r="D1173" s="85"/>
      <c r="E1173" s="44"/>
      <c r="F1173" s="44"/>
      <c r="G1173" s="44"/>
      <c r="H1173" s="44"/>
      <c r="I1173" s="48"/>
      <c r="J1173" s="45"/>
      <c r="K1173" s="45"/>
      <c r="L1173" s="45"/>
    </row>
    <row r="1174" spans="1:12" ht="18" customHeight="1">
      <c r="A1174" s="43"/>
      <c r="B1174" s="44"/>
      <c r="C1174" s="44"/>
      <c r="D1174" s="85"/>
      <c r="E1174" s="44"/>
      <c r="F1174" s="44"/>
      <c r="G1174" s="44"/>
      <c r="H1174" s="44"/>
      <c r="I1174" s="48"/>
      <c r="J1174" s="45"/>
      <c r="K1174" s="45"/>
      <c r="L1174" s="45"/>
    </row>
    <row r="1175" spans="1:12" ht="18" customHeight="1">
      <c r="A1175" s="43"/>
      <c r="B1175" s="44"/>
      <c r="C1175" s="44"/>
      <c r="D1175" s="85"/>
      <c r="E1175" s="44"/>
      <c r="F1175" s="44"/>
      <c r="G1175" s="44"/>
      <c r="H1175" s="44"/>
      <c r="I1175" s="48"/>
      <c r="J1175" s="45"/>
      <c r="K1175" s="45"/>
      <c r="L1175" s="45"/>
    </row>
    <row r="1176" spans="1:12" ht="18" customHeight="1">
      <c r="A1176" s="43"/>
      <c r="B1176" s="44"/>
      <c r="C1176" s="44"/>
      <c r="D1176" s="85"/>
      <c r="E1176" s="44"/>
      <c r="F1176" s="44"/>
      <c r="G1176" s="44"/>
      <c r="H1176" s="44"/>
      <c r="I1176" s="48"/>
      <c r="J1176" s="45"/>
      <c r="K1176" s="45"/>
      <c r="L1176" s="45"/>
    </row>
    <row r="1177" spans="1:12" ht="18" customHeight="1">
      <c r="A1177" s="43"/>
      <c r="B1177" s="44"/>
      <c r="C1177" s="44"/>
      <c r="D1177" s="85"/>
      <c r="E1177" s="44"/>
      <c r="F1177" s="44"/>
      <c r="G1177" s="44"/>
      <c r="H1177" s="44"/>
      <c r="I1177" s="48"/>
      <c r="J1177" s="45"/>
      <c r="K1177" s="45"/>
      <c r="L1177" s="45"/>
    </row>
    <row r="1178" spans="1:12" ht="18" customHeight="1">
      <c r="A1178" s="43"/>
      <c r="B1178" s="44"/>
      <c r="C1178" s="44"/>
      <c r="D1178" s="85"/>
      <c r="E1178" s="44"/>
      <c r="F1178" s="44"/>
      <c r="G1178" s="44"/>
      <c r="H1178" s="44"/>
      <c r="I1178" s="48"/>
      <c r="J1178" s="45"/>
      <c r="K1178" s="45"/>
      <c r="L1178" s="45"/>
    </row>
    <row r="1179" spans="1:12" ht="18" customHeight="1">
      <c r="A1179" s="43"/>
      <c r="B1179" s="44"/>
      <c r="C1179" s="44"/>
      <c r="D1179" s="85"/>
      <c r="E1179" s="44"/>
      <c r="F1179" s="44"/>
      <c r="G1179" s="44"/>
      <c r="H1179" s="44"/>
      <c r="I1179" s="48"/>
      <c r="J1179" s="45"/>
      <c r="K1179" s="45"/>
      <c r="L1179" s="45"/>
    </row>
    <row r="1180" spans="1:12" ht="18" customHeight="1">
      <c r="A1180" s="43"/>
      <c r="B1180" s="44"/>
      <c r="C1180" s="44"/>
      <c r="D1180" s="85"/>
      <c r="E1180" s="44"/>
      <c r="F1180" s="44"/>
      <c r="G1180" s="44"/>
      <c r="H1180" s="44"/>
      <c r="I1180" s="48"/>
      <c r="J1180" s="45"/>
      <c r="K1180" s="45"/>
      <c r="L1180" s="45"/>
    </row>
    <row r="1181" spans="1:12" ht="18" customHeight="1">
      <c r="A1181" s="43"/>
      <c r="B1181" s="44"/>
      <c r="C1181" s="44"/>
      <c r="D1181" s="85"/>
      <c r="E1181" s="44"/>
      <c r="F1181" s="44"/>
      <c r="G1181" s="44"/>
      <c r="H1181" s="44"/>
      <c r="I1181" s="48"/>
      <c r="J1181" s="45"/>
      <c r="K1181" s="45"/>
      <c r="L1181" s="45"/>
    </row>
    <row r="1182" spans="1:12" ht="18" customHeight="1">
      <c r="A1182" s="43"/>
      <c r="B1182" s="44"/>
      <c r="C1182" s="44"/>
      <c r="D1182" s="85"/>
      <c r="E1182" s="44"/>
      <c r="F1182" s="44"/>
      <c r="G1182" s="44"/>
      <c r="H1182" s="44"/>
      <c r="I1182" s="48"/>
      <c r="J1182" s="45"/>
      <c r="K1182" s="45"/>
      <c r="L1182" s="45"/>
    </row>
    <row r="1183" spans="1:12" ht="18" customHeight="1">
      <c r="A1183" s="43"/>
      <c r="B1183" s="44"/>
      <c r="C1183" s="44"/>
      <c r="D1183" s="85"/>
      <c r="E1183" s="44"/>
      <c r="F1183" s="44"/>
      <c r="G1183" s="44"/>
      <c r="H1183" s="44"/>
      <c r="I1183" s="48"/>
      <c r="J1183" s="45"/>
      <c r="K1183" s="45"/>
      <c r="L1183" s="45"/>
    </row>
    <row r="1184" spans="1:12" ht="18" customHeight="1">
      <c r="A1184" s="43"/>
      <c r="B1184" s="44"/>
      <c r="C1184" s="44"/>
      <c r="D1184" s="85"/>
      <c r="E1184" s="44"/>
      <c r="F1184" s="44"/>
      <c r="G1184" s="44"/>
      <c r="H1184" s="44"/>
      <c r="I1184" s="48"/>
      <c r="J1184" s="45"/>
      <c r="K1184" s="45"/>
      <c r="L1184" s="45"/>
    </row>
    <row r="1185" spans="1:12" ht="18" customHeight="1">
      <c r="A1185" s="43"/>
      <c r="B1185" s="44"/>
      <c r="C1185" s="44"/>
      <c r="D1185" s="85"/>
      <c r="E1185" s="44"/>
      <c r="F1185" s="44"/>
      <c r="G1185" s="44"/>
      <c r="H1185" s="44"/>
      <c r="I1185" s="48"/>
      <c r="J1185" s="45"/>
      <c r="K1185" s="45"/>
      <c r="L1185" s="45"/>
    </row>
    <row r="1186" spans="1:12" ht="18" customHeight="1">
      <c r="A1186" s="43"/>
      <c r="B1186" s="44"/>
      <c r="C1186" s="44"/>
      <c r="D1186" s="85"/>
      <c r="E1186" s="44"/>
      <c r="F1186" s="44"/>
      <c r="G1186" s="44"/>
      <c r="H1186" s="44"/>
      <c r="I1186" s="48"/>
      <c r="J1186" s="45"/>
      <c r="K1186" s="45"/>
      <c r="L1186" s="45"/>
    </row>
    <row r="1187" spans="1:12" ht="18" customHeight="1">
      <c r="A1187" s="43"/>
      <c r="B1187" s="44"/>
      <c r="C1187" s="44"/>
      <c r="D1187" s="85"/>
      <c r="E1187" s="44"/>
      <c r="F1187" s="44"/>
      <c r="G1187" s="44"/>
      <c r="H1187" s="44"/>
      <c r="I1187" s="48"/>
      <c r="J1187" s="45"/>
      <c r="K1187" s="45"/>
      <c r="L1187" s="45"/>
    </row>
    <row r="1188" spans="1:12" ht="18" customHeight="1">
      <c r="A1188" s="43"/>
      <c r="B1188" s="44"/>
      <c r="C1188" s="44"/>
      <c r="D1188" s="85"/>
      <c r="E1188" s="44"/>
      <c r="F1188" s="44"/>
      <c r="G1188" s="44"/>
      <c r="H1188" s="44"/>
      <c r="I1188" s="48"/>
      <c r="J1188" s="45"/>
      <c r="K1188" s="45"/>
      <c r="L1188" s="45"/>
    </row>
    <row r="1189" spans="1:12" ht="18" customHeight="1">
      <c r="A1189" s="43"/>
      <c r="B1189" s="44"/>
      <c r="C1189" s="44"/>
      <c r="D1189" s="85"/>
      <c r="E1189" s="44"/>
      <c r="F1189" s="44"/>
      <c r="G1189" s="44"/>
      <c r="H1189" s="44"/>
      <c r="I1189" s="48"/>
      <c r="J1189" s="45"/>
      <c r="K1189" s="45"/>
      <c r="L1189" s="45"/>
    </row>
    <row r="1190" spans="1:12" ht="18" customHeight="1">
      <c r="A1190" s="43"/>
      <c r="B1190" s="44"/>
      <c r="C1190" s="44"/>
      <c r="D1190" s="85"/>
      <c r="E1190" s="44"/>
      <c r="F1190" s="44"/>
      <c r="G1190" s="44"/>
      <c r="H1190" s="44"/>
      <c r="I1190" s="48"/>
      <c r="J1190" s="45"/>
      <c r="K1190" s="45"/>
      <c r="L1190" s="45"/>
    </row>
    <row r="1191" spans="1:12" ht="18" customHeight="1">
      <c r="A1191" s="43"/>
      <c r="B1191" s="44"/>
      <c r="C1191" s="44"/>
      <c r="D1191" s="85"/>
      <c r="E1191" s="44"/>
      <c r="F1191" s="44"/>
      <c r="G1191" s="44"/>
      <c r="H1191" s="44"/>
      <c r="I1191" s="48"/>
      <c r="J1191" s="45"/>
      <c r="K1191" s="45"/>
      <c r="L1191" s="45"/>
    </row>
    <row r="1192" spans="1:12" ht="18" customHeight="1">
      <c r="A1192" s="43"/>
      <c r="B1192" s="44"/>
      <c r="C1192" s="44"/>
      <c r="D1192" s="85"/>
      <c r="E1192" s="44"/>
      <c r="F1192" s="44"/>
      <c r="G1192" s="44"/>
      <c r="H1192" s="44"/>
      <c r="I1192" s="48"/>
      <c r="J1192" s="45"/>
      <c r="K1192" s="45"/>
      <c r="L1192" s="45"/>
    </row>
    <row r="1193" spans="1:12" ht="18" customHeight="1">
      <c r="A1193" s="43"/>
      <c r="B1193" s="44"/>
      <c r="C1193" s="44"/>
      <c r="D1193" s="85"/>
      <c r="E1193" s="44"/>
      <c r="F1193" s="44"/>
      <c r="G1193" s="44"/>
      <c r="H1193" s="44"/>
      <c r="I1193" s="48"/>
      <c r="J1193" s="45"/>
      <c r="K1193" s="45"/>
      <c r="L1193" s="45"/>
    </row>
    <row r="1194" spans="1:12" ht="18" customHeight="1">
      <c r="A1194" s="43"/>
      <c r="B1194" s="44"/>
      <c r="C1194" s="44"/>
      <c r="D1194" s="85"/>
      <c r="E1194" s="44"/>
      <c r="F1194" s="44"/>
      <c r="G1194" s="44"/>
      <c r="H1194" s="44"/>
      <c r="I1194" s="48"/>
      <c r="J1194" s="45"/>
      <c r="K1194" s="45"/>
      <c r="L1194" s="45"/>
    </row>
    <row r="1195" spans="1:12" ht="18" customHeight="1">
      <c r="A1195" s="43"/>
      <c r="B1195" s="44"/>
      <c r="C1195" s="44"/>
      <c r="D1195" s="85"/>
      <c r="E1195" s="44"/>
      <c r="F1195" s="44"/>
      <c r="G1195" s="44"/>
      <c r="H1195" s="44"/>
      <c r="I1195" s="48"/>
      <c r="J1195" s="45"/>
      <c r="K1195" s="45"/>
      <c r="L1195" s="45"/>
    </row>
    <row r="1196" spans="1:12" ht="18" customHeight="1">
      <c r="A1196" s="43"/>
      <c r="B1196" s="44"/>
      <c r="C1196" s="44"/>
      <c r="D1196" s="85"/>
      <c r="E1196" s="44"/>
      <c r="F1196" s="44"/>
      <c r="G1196" s="44"/>
      <c r="H1196" s="44"/>
      <c r="I1196" s="48"/>
      <c r="J1196" s="45"/>
      <c r="K1196" s="45"/>
      <c r="L1196" s="45"/>
    </row>
    <row r="1197" spans="1:12" ht="18" customHeight="1">
      <c r="A1197" s="43"/>
      <c r="B1197" s="44"/>
      <c r="C1197" s="44"/>
      <c r="D1197" s="85"/>
      <c r="E1197" s="44"/>
      <c r="F1197" s="44"/>
      <c r="G1197" s="44"/>
      <c r="H1197" s="44"/>
      <c r="I1197" s="48"/>
      <c r="J1197" s="45"/>
      <c r="K1197" s="45"/>
      <c r="L1197" s="45"/>
    </row>
    <row r="1198" spans="1:12" ht="18" customHeight="1">
      <c r="A1198" s="43"/>
      <c r="B1198" s="44"/>
      <c r="C1198" s="44"/>
      <c r="D1198" s="85"/>
      <c r="E1198" s="44"/>
      <c r="F1198" s="44"/>
      <c r="G1198" s="44"/>
      <c r="H1198" s="44"/>
      <c r="I1198" s="48"/>
      <c r="J1198" s="45"/>
      <c r="K1198" s="45"/>
      <c r="L1198" s="45"/>
    </row>
    <row r="1199" spans="1:12" ht="18" customHeight="1">
      <c r="A1199" s="43"/>
      <c r="B1199" s="44"/>
      <c r="C1199" s="44"/>
      <c r="D1199" s="85"/>
      <c r="E1199" s="44"/>
      <c r="F1199" s="44"/>
      <c r="G1199" s="44"/>
      <c r="H1199" s="44"/>
      <c r="I1199" s="48"/>
      <c r="J1199" s="45"/>
      <c r="K1199" s="45"/>
      <c r="L1199" s="45"/>
    </row>
    <row r="1200" spans="1:12" ht="18" customHeight="1">
      <c r="A1200" s="43"/>
      <c r="B1200" s="44"/>
      <c r="C1200" s="44"/>
      <c r="D1200" s="85"/>
      <c r="E1200" s="44"/>
      <c r="F1200" s="44"/>
      <c r="G1200" s="44"/>
      <c r="H1200" s="44"/>
      <c r="I1200" s="48"/>
      <c r="J1200" s="45"/>
      <c r="K1200" s="45"/>
      <c r="L1200" s="45"/>
    </row>
    <row r="1201" spans="1:12" ht="18" customHeight="1">
      <c r="A1201" s="43"/>
      <c r="B1201" s="44"/>
      <c r="C1201" s="44"/>
      <c r="D1201" s="85"/>
      <c r="E1201" s="44"/>
      <c r="F1201" s="44"/>
      <c r="G1201" s="44"/>
      <c r="H1201" s="44"/>
      <c r="I1201" s="48"/>
      <c r="J1201" s="45"/>
      <c r="K1201" s="45"/>
      <c r="L1201" s="45"/>
    </row>
    <row r="1202" spans="1:12" ht="18" customHeight="1">
      <c r="A1202" s="43"/>
      <c r="B1202" s="44"/>
      <c r="C1202" s="44"/>
      <c r="D1202" s="85"/>
      <c r="E1202" s="44"/>
      <c r="F1202" s="44"/>
      <c r="G1202" s="44"/>
      <c r="H1202" s="44"/>
      <c r="I1202" s="48"/>
      <c r="J1202" s="45"/>
      <c r="K1202" s="45"/>
      <c r="L1202" s="45"/>
    </row>
    <row r="1203" spans="1:12" ht="18" customHeight="1">
      <c r="A1203" s="43"/>
      <c r="B1203" s="44"/>
      <c r="C1203" s="44"/>
      <c r="D1203" s="85"/>
      <c r="E1203" s="44"/>
      <c r="F1203" s="44"/>
      <c r="G1203" s="44"/>
      <c r="H1203" s="44"/>
      <c r="I1203" s="48"/>
      <c r="J1203" s="45"/>
      <c r="K1203" s="45"/>
      <c r="L1203" s="45"/>
    </row>
    <row r="1204" spans="1:12" ht="18" customHeight="1">
      <c r="A1204" s="43"/>
      <c r="B1204" s="44"/>
      <c r="C1204" s="44"/>
      <c r="D1204" s="85"/>
      <c r="E1204" s="44"/>
      <c r="F1204" s="44"/>
      <c r="G1204" s="44"/>
      <c r="H1204" s="44"/>
      <c r="I1204" s="48"/>
      <c r="J1204" s="45"/>
      <c r="K1204" s="45"/>
      <c r="L1204" s="45"/>
    </row>
    <row r="1205" spans="1:12" ht="18" customHeight="1">
      <c r="A1205" s="43"/>
      <c r="B1205" s="44"/>
      <c r="C1205" s="44"/>
      <c r="D1205" s="85"/>
      <c r="E1205" s="44"/>
      <c r="F1205" s="44"/>
      <c r="G1205" s="44"/>
      <c r="H1205" s="44"/>
      <c r="I1205" s="48"/>
      <c r="J1205" s="45"/>
      <c r="K1205" s="45"/>
      <c r="L1205" s="45"/>
    </row>
    <row r="1206" spans="1:12" ht="18" customHeight="1">
      <c r="A1206" s="43"/>
      <c r="B1206" s="44"/>
      <c r="C1206" s="44"/>
      <c r="D1206" s="85"/>
      <c r="E1206" s="44"/>
      <c r="F1206" s="44"/>
      <c r="G1206" s="44"/>
      <c r="H1206" s="44"/>
      <c r="I1206" s="48"/>
      <c r="J1206" s="45"/>
      <c r="K1206" s="45"/>
      <c r="L1206" s="45"/>
    </row>
    <row r="1207" spans="1:12" ht="18" customHeight="1">
      <c r="A1207" s="43"/>
      <c r="B1207" s="44"/>
      <c r="C1207" s="44"/>
      <c r="D1207" s="85"/>
      <c r="E1207" s="44"/>
      <c r="F1207" s="44"/>
      <c r="G1207" s="44"/>
      <c r="H1207" s="44"/>
      <c r="I1207" s="48"/>
      <c r="J1207" s="45"/>
      <c r="K1207" s="45"/>
      <c r="L1207" s="45"/>
    </row>
    <row r="1208" spans="1:12" ht="18" customHeight="1">
      <c r="A1208" s="43"/>
      <c r="B1208" s="44"/>
      <c r="C1208" s="44"/>
      <c r="D1208" s="85"/>
      <c r="E1208" s="44"/>
      <c r="F1208" s="44"/>
      <c r="G1208" s="44"/>
      <c r="H1208" s="44"/>
      <c r="I1208" s="48"/>
      <c r="J1208" s="45"/>
      <c r="K1208" s="45"/>
      <c r="L1208" s="45"/>
    </row>
    <row r="1209" spans="1:12" ht="18" customHeight="1">
      <c r="A1209" s="43"/>
      <c r="B1209" s="44"/>
      <c r="C1209" s="44"/>
      <c r="D1209" s="85"/>
      <c r="E1209" s="44"/>
      <c r="F1209" s="44"/>
      <c r="G1209" s="44"/>
      <c r="H1209" s="44"/>
      <c r="I1209" s="48"/>
      <c r="J1209" s="45"/>
      <c r="K1209" s="45"/>
      <c r="L1209" s="45"/>
    </row>
    <row r="1210" spans="1:12" ht="18" customHeight="1">
      <c r="A1210" s="43"/>
      <c r="B1210" s="44"/>
      <c r="C1210" s="44"/>
      <c r="D1210" s="85"/>
      <c r="E1210" s="44"/>
      <c r="F1210" s="44"/>
      <c r="G1210" s="44"/>
      <c r="H1210" s="44"/>
      <c r="I1210" s="48"/>
      <c r="J1210" s="45"/>
      <c r="K1210" s="45"/>
      <c r="L1210" s="45"/>
    </row>
    <row r="1211" spans="1:12" ht="18" customHeight="1">
      <c r="A1211" s="43"/>
      <c r="B1211" s="44"/>
      <c r="C1211" s="44"/>
      <c r="D1211" s="85"/>
      <c r="E1211" s="44"/>
      <c r="F1211" s="44"/>
      <c r="G1211" s="44"/>
      <c r="H1211" s="44"/>
      <c r="I1211" s="48"/>
      <c r="J1211" s="45"/>
      <c r="K1211" s="45"/>
      <c r="L1211" s="45"/>
    </row>
    <row r="1212" spans="1:12" ht="18" customHeight="1">
      <c r="A1212" s="43"/>
      <c r="B1212" s="44"/>
      <c r="C1212" s="44"/>
      <c r="D1212" s="85"/>
      <c r="E1212" s="44"/>
      <c r="F1212" s="44"/>
      <c r="G1212" s="44"/>
      <c r="H1212" s="44"/>
      <c r="I1212" s="48"/>
      <c r="J1212" s="45"/>
      <c r="K1212" s="45"/>
      <c r="L1212" s="45"/>
    </row>
    <row r="1213" spans="1:12" ht="18" customHeight="1">
      <c r="A1213" s="43"/>
      <c r="B1213" s="44"/>
      <c r="C1213" s="44"/>
      <c r="D1213" s="85"/>
      <c r="E1213" s="44"/>
      <c r="F1213" s="44"/>
      <c r="G1213" s="44"/>
      <c r="H1213" s="44"/>
      <c r="I1213" s="48"/>
      <c r="J1213" s="45"/>
      <c r="K1213" s="45"/>
      <c r="L1213" s="45"/>
    </row>
    <row r="1214" spans="1:12" ht="18" customHeight="1">
      <c r="A1214" s="43"/>
      <c r="B1214" s="44"/>
      <c r="C1214" s="44"/>
      <c r="D1214" s="85"/>
      <c r="E1214" s="44"/>
      <c r="F1214" s="44"/>
      <c r="G1214" s="44"/>
      <c r="H1214" s="44"/>
      <c r="I1214" s="48"/>
      <c r="J1214" s="45"/>
      <c r="K1214" s="45"/>
      <c r="L1214" s="45"/>
    </row>
    <row r="1215" spans="1:12" ht="18" customHeight="1">
      <c r="A1215" s="43"/>
      <c r="B1215" s="44"/>
      <c r="C1215" s="44"/>
      <c r="D1215" s="85"/>
      <c r="E1215" s="44"/>
      <c r="F1215" s="44"/>
      <c r="G1215" s="44"/>
      <c r="H1215" s="44"/>
      <c r="I1215" s="48"/>
      <c r="J1215" s="45"/>
      <c r="K1215" s="45"/>
      <c r="L1215" s="45"/>
    </row>
    <row r="1216" spans="1:12" ht="18" customHeight="1">
      <c r="A1216" s="43"/>
      <c r="B1216" s="44"/>
      <c r="C1216" s="44"/>
      <c r="D1216" s="85"/>
      <c r="E1216" s="44"/>
      <c r="F1216" s="44"/>
      <c r="G1216" s="44"/>
      <c r="H1216" s="44"/>
      <c r="I1216" s="48"/>
      <c r="J1216" s="45"/>
      <c r="K1216" s="45"/>
      <c r="L1216" s="45"/>
    </row>
    <row r="1217" spans="1:12" ht="18" customHeight="1">
      <c r="A1217" s="43"/>
      <c r="B1217" s="44"/>
      <c r="C1217" s="44"/>
      <c r="D1217" s="85"/>
      <c r="E1217" s="44"/>
      <c r="F1217" s="44"/>
      <c r="G1217" s="44"/>
      <c r="H1217" s="44"/>
      <c r="I1217" s="48"/>
      <c r="J1217" s="45"/>
      <c r="K1217" s="45"/>
      <c r="L1217" s="45"/>
    </row>
    <row r="1218" spans="1:12" ht="18" customHeight="1">
      <c r="A1218" s="43"/>
      <c r="B1218" s="44"/>
      <c r="C1218" s="44"/>
      <c r="D1218" s="85"/>
      <c r="E1218" s="44"/>
      <c r="F1218" s="44"/>
      <c r="G1218" s="44"/>
      <c r="H1218" s="44"/>
      <c r="I1218" s="48"/>
      <c r="J1218" s="45"/>
      <c r="K1218" s="45"/>
      <c r="L1218" s="45"/>
    </row>
    <row r="1219" spans="1:12" ht="18" customHeight="1">
      <c r="A1219" s="43"/>
      <c r="B1219" s="44"/>
      <c r="C1219" s="44"/>
      <c r="D1219" s="85"/>
      <c r="E1219" s="44"/>
      <c r="F1219" s="44"/>
      <c r="G1219" s="44"/>
      <c r="H1219" s="44"/>
      <c r="I1219" s="48"/>
      <c r="J1219" s="45"/>
      <c r="K1219" s="45"/>
      <c r="L1219" s="45"/>
    </row>
    <row r="1220" spans="1:12" ht="18" customHeight="1">
      <c r="A1220" s="43"/>
      <c r="B1220" s="44"/>
      <c r="C1220" s="44"/>
      <c r="D1220" s="85"/>
      <c r="E1220" s="44"/>
      <c r="F1220" s="44"/>
      <c r="G1220" s="44"/>
      <c r="H1220" s="44"/>
      <c r="I1220" s="48"/>
      <c r="J1220" s="45"/>
      <c r="K1220" s="45"/>
      <c r="L1220" s="45"/>
    </row>
    <row r="1221" spans="1:12" ht="18" customHeight="1">
      <c r="A1221" s="43"/>
      <c r="B1221" s="44"/>
      <c r="C1221" s="44"/>
      <c r="D1221" s="85"/>
      <c r="E1221" s="44"/>
      <c r="F1221" s="44"/>
      <c r="G1221" s="44"/>
      <c r="H1221" s="44"/>
      <c r="I1221" s="48"/>
      <c r="J1221" s="45"/>
      <c r="K1221" s="45"/>
      <c r="L1221" s="45"/>
    </row>
    <row r="1222" spans="1:12" ht="18" customHeight="1">
      <c r="A1222" s="43"/>
      <c r="B1222" s="44"/>
      <c r="C1222" s="44"/>
      <c r="D1222" s="85"/>
      <c r="E1222" s="44"/>
      <c r="F1222" s="44"/>
      <c r="G1222" s="44"/>
      <c r="H1222" s="44"/>
      <c r="I1222" s="48"/>
      <c r="J1222" s="45"/>
      <c r="K1222" s="45"/>
      <c r="L1222" s="45"/>
    </row>
    <row r="1223" spans="1:12" ht="18" customHeight="1">
      <c r="A1223" s="43"/>
      <c r="B1223" s="44"/>
      <c r="C1223" s="44"/>
      <c r="D1223" s="85"/>
      <c r="E1223" s="44"/>
      <c r="F1223" s="44"/>
      <c r="G1223" s="44"/>
      <c r="H1223" s="44"/>
      <c r="I1223" s="48"/>
      <c r="J1223" s="45"/>
      <c r="K1223" s="45"/>
      <c r="L1223" s="45"/>
    </row>
    <row r="1224" spans="1:12" ht="18" customHeight="1">
      <c r="A1224" s="43"/>
      <c r="B1224" s="44"/>
      <c r="C1224" s="44"/>
      <c r="D1224" s="85"/>
      <c r="E1224" s="44"/>
      <c r="F1224" s="44"/>
      <c r="G1224" s="44"/>
      <c r="H1224" s="44"/>
      <c r="I1224" s="48"/>
      <c r="J1224" s="45"/>
      <c r="K1224" s="45"/>
      <c r="L1224" s="45"/>
    </row>
    <row r="1225" spans="1:12" ht="18" customHeight="1">
      <c r="A1225" s="43"/>
      <c r="B1225" s="44"/>
      <c r="C1225" s="44"/>
      <c r="D1225" s="85"/>
      <c r="E1225" s="44"/>
      <c r="F1225" s="44"/>
      <c r="G1225" s="44"/>
      <c r="H1225" s="44"/>
      <c r="I1225" s="48"/>
      <c r="J1225" s="45"/>
      <c r="K1225" s="45"/>
      <c r="L1225" s="45"/>
    </row>
    <row r="1226" spans="1:12" ht="18" customHeight="1">
      <c r="A1226" s="43"/>
      <c r="B1226" s="44"/>
      <c r="C1226" s="44"/>
      <c r="D1226" s="85"/>
      <c r="E1226" s="44"/>
      <c r="F1226" s="44"/>
      <c r="G1226" s="44"/>
      <c r="H1226" s="44"/>
      <c r="I1226" s="48"/>
      <c r="J1226" s="45"/>
      <c r="K1226" s="45"/>
      <c r="L1226" s="45"/>
    </row>
    <row r="1227" spans="1:12" ht="18" customHeight="1">
      <c r="A1227" s="43"/>
      <c r="B1227" s="44"/>
      <c r="C1227" s="44"/>
      <c r="D1227" s="85"/>
      <c r="E1227" s="44"/>
      <c r="F1227" s="44"/>
      <c r="G1227" s="44"/>
      <c r="H1227" s="44"/>
      <c r="I1227" s="48"/>
      <c r="J1227" s="45"/>
      <c r="K1227" s="45"/>
      <c r="L1227" s="45"/>
    </row>
    <row r="1228" spans="1:12" ht="18" customHeight="1">
      <c r="A1228" s="43"/>
      <c r="B1228" s="44"/>
      <c r="C1228" s="44"/>
      <c r="D1228" s="85"/>
      <c r="E1228" s="44"/>
      <c r="F1228" s="44"/>
      <c r="G1228" s="44"/>
      <c r="H1228" s="44"/>
      <c r="I1228" s="48"/>
      <c r="J1228" s="45"/>
      <c r="K1228" s="45"/>
      <c r="L1228" s="45"/>
    </row>
    <row r="1229" spans="1:12" ht="18" customHeight="1">
      <c r="A1229" s="43"/>
      <c r="B1229" s="44"/>
      <c r="C1229" s="44"/>
      <c r="D1229" s="85"/>
      <c r="E1229" s="44"/>
      <c r="F1229" s="44"/>
      <c r="G1229" s="44"/>
      <c r="H1229" s="44"/>
      <c r="I1229" s="48"/>
      <c r="J1229" s="45"/>
      <c r="K1229" s="45"/>
      <c r="L1229" s="45"/>
    </row>
    <row r="1230" spans="1:12" ht="18" customHeight="1">
      <c r="A1230" s="43"/>
      <c r="B1230" s="44"/>
      <c r="C1230" s="44"/>
      <c r="D1230" s="85"/>
      <c r="E1230" s="44"/>
      <c r="F1230" s="44"/>
      <c r="G1230" s="44"/>
      <c r="H1230" s="44"/>
      <c r="I1230" s="48"/>
      <c r="J1230" s="45"/>
      <c r="K1230" s="45"/>
      <c r="L1230" s="45"/>
    </row>
    <row r="1231" spans="1:12" ht="18" customHeight="1">
      <c r="A1231" s="43"/>
      <c r="B1231" s="44"/>
      <c r="C1231" s="44"/>
      <c r="D1231" s="85"/>
      <c r="E1231" s="44"/>
      <c r="F1231" s="44"/>
      <c r="G1231" s="44"/>
      <c r="H1231" s="44"/>
      <c r="I1231" s="48"/>
      <c r="J1231" s="45"/>
      <c r="K1231" s="45"/>
      <c r="L1231" s="45"/>
    </row>
    <row r="1232" spans="1:12" ht="18" customHeight="1">
      <c r="A1232" s="43"/>
      <c r="B1232" s="44"/>
      <c r="C1232" s="44"/>
      <c r="D1232" s="85"/>
      <c r="E1232" s="44"/>
      <c r="F1232" s="44"/>
      <c r="G1232" s="44"/>
      <c r="H1232" s="44"/>
      <c r="I1232" s="48"/>
      <c r="J1232" s="45"/>
      <c r="K1232" s="45"/>
      <c r="L1232" s="45"/>
    </row>
    <row r="1233" spans="1:12" ht="18" customHeight="1">
      <c r="A1233" s="43"/>
      <c r="B1233" s="44"/>
      <c r="C1233" s="44"/>
      <c r="D1233" s="85"/>
      <c r="E1233" s="44"/>
      <c r="F1233" s="44"/>
      <c r="G1233" s="44"/>
      <c r="H1233" s="44"/>
      <c r="I1233" s="48"/>
      <c r="J1233" s="45"/>
      <c r="K1233" s="45"/>
      <c r="L1233" s="45"/>
    </row>
    <row r="1234" spans="1:12" ht="18" customHeight="1">
      <c r="A1234" s="43"/>
      <c r="B1234" s="44"/>
      <c r="C1234" s="44"/>
      <c r="D1234" s="85"/>
      <c r="E1234" s="44"/>
      <c r="F1234" s="44"/>
      <c r="G1234" s="44"/>
      <c r="H1234" s="44"/>
      <c r="I1234" s="48"/>
      <c r="J1234" s="45"/>
      <c r="K1234" s="45"/>
      <c r="L1234" s="45"/>
    </row>
    <row r="1235" spans="1:12" ht="18" customHeight="1">
      <c r="A1235" s="43"/>
      <c r="B1235" s="44"/>
      <c r="C1235" s="44"/>
      <c r="D1235" s="85"/>
      <c r="E1235" s="44"/>
      <c r="F1235" s="44"/>
      <c r="G1235" s="44"/>
      <c r="H1235" s="44"/>
      <c r="I1235" s="48"/>
      <c r="J1235" s="45"/>
      <c r="K1235" s="45"/>
      <c r="L1235" s="45"/>
    </row>
    <row r="1236" spans="1:12" ht="18" customHeight="1">
      <c r="A1236" s="43"/>
      <c r="B1236" s="44"/>
      <c r="C1236" s="44"/>
      <c r="D1236" s="85"/>
      <c r="E1236" s="44"/>
      <c r="F1236" s="44"/>
      <c r="G1236" s="44"/>
      <c r="H1236" s="44"/>
      <c r="I1236" s="48"/>
      <c r="J1236" s="45"/>
      <c r="K1236" s="45"/>
      <c r="L1236" s="45"/>
    </row>
    <row r="1237" spans="1:12" ht="18" customHeight="1">
      <c r="A1237" s="43"/>
      <c r="B1237" s="44"/>
      <c r="C1237" s="44"/>
      <c r="D1237" s="85"/>
      <c r="E1237" s="44"/>
      <c r="F1237" s="44"/>
      <c r="G1237" s="44"/>
      <c r="H1237" s="44"/>
      <c r="I1237" s="48"/>
      <c r="J1237" s="45"/>
      <c r="K1237" s="45"/>
      <c r="L1237" s="45"/>
    </row>
    <row r="1238" spans="1:12" ht="18" customHeight="1">
      <c r="A1238" s="43"/>
      <c r="B1238" s="44"/>
      <c r="C1238" s="44"/>
      <c r="D1238" s="85"/>
      <c r="E1238" s="44"/>
      <c r="F1238" s="44"/>
      <c r="G1238" s="44"/>
      <c r="H1238" s="44"/>
      <c r="I1238" s="48"/>
      <c r="J1238" s="45"/>
      <c r="K1238" s="45"/>
      <c r="L1238" s="45"/>
    </row>
    <row r="1239" spans="1:12" ht="18" customHeight="1">
      <c r="A1239" s="43"/>
      <c r="B1239" s="44"/>
      <c r="C1239" s="44"/>
      <c r="D1239" s="85"/>
      <c r="E1239" s="44"/>
      <c r="F1239" s="44"/>
      <c r="G1239" s="44"/>
      <c r="H1239" s="44"/>
      <c r="I1239" s="48"/>
      <c r="J1239" s="45"/>
      <c r="K1239" s="45"/>
      <c r="L1239" s="45"/>
    </row>
    <row r="1240" spans="1:12" ht="18" customHeight="1">
      <c r="A1240" s="43"/>
      <c r="B1240" s="44"/>
      <c r="C1240" s="44"/>
      <c r="D1240" s="85"/>
      <c r="E1240" s="44"/>
      <c r="F1240" s="44"/>
      <c r="G1240" s="44"/>
      <c r="H1240" s="44"/>
      <c r="I1240" s="48"/>
      <c r="J1240" s="45"/>
      <c r="K1240" s="45"/>
      <c r="L1240" s="45"/>
    </row>
    <row r="1241" spans="1:12" ht="18" customHeight="1">
      <c r="A1241" s="43"/>
      <c r="B1241" s="44"/>
      <c r="C1241" s="44"/>
      <c r="D1241" s="85"/>
      <c r="E1241" s="44"/>
      <c r="F1241" s="44"/>
      <c r="G1241" s="44"/>
      <c r="H1241" s="44"/>
      <c r="I1241" s="48"/>
      <c r="J1241" s="45"/>
      <c r="K1241" s="45"/>
      <c r="L1241" s="45"/>
    </row>
    <row r="1242" spans="1:12" ht="18" customHeight="1">
      <c r="A1242" s="43"/>
      <c r="B1242" s="44"/>
      <c r="C1242" s="44"/>
      <c r="D1242" s="85"/>
      <c r="E1242" s="44"/>
      <c r="F1242" s="44"/>
      <c r="G1242" s="44"/>
      <c r="H1242" s="44"/>
      <c r="I1242" s="48"/>
      <c r="J1242" s="45"/>
      <c r="K1242" s="45"/>
      <c r="L1242" s="45"/>
    </row>
    <row r="1243" spans="1:12" ht="18" customHeight="1">
      <c r="A1243" s="43"/>
      <c r="B1243" s="44"/>
      <c r="C1243" s="44"/>
      <c r="D1243" s="85"/>
      <c r="E1243" s="44"/>
      <c r="F1243" s="44"/>
      <c r="G1243" s="44"/>
      <c r="H1243" s="44"/>
      <c r="I1243" s="48"/>
      <c r="J1243" s="45"/>
      <c r="K1243" s="45"/>
      <c r="L1243" s="45"/>
    </row>
    <row r="1244" spans="1:12" ht="18" customHeight="1">
      <c r="A1244" s="43"/>
      <c r="B1244" s="44"/>
      <c r="C1244" s="44"/>
      <c r="D1244" s="85"/>
      <c r="E1244" s="44"/>
      <c r="F1244" s="44"/>
      <c r="G1244" s="44"/>
      <c r="H1244" s="44"/>
      <c r="I1244" s="48"/>
      <c r="J1244" s="45"/>
      <c r="K1244" s="45"/>
      <c r="L1244" s="45"/>
    </row>
    <row r="1245" spans="1:12" ht="18" customHeight="1">
      <c r="A1245" s="43"/>
      <c r="B1245" s="44"/>
      <c r="C1245" s="44"/>
      <c r="D1245" s="85"/>
      <c r="E1245" s="44"/>
      <c r="F1245" s="44"/>
      <c r="G1245" s="44"/>
      <c r="H1245" s="44"/>
      <c r="I1245" s="48"/>
      <c r="J1245" s="45"/>
      <c r="K1245" s="45"/>
      <c r="L1245" s="45"/>
    </row>
    <row r="1246" spans="1:12" ht="18" customHeight="1">
      <c r="A1246" s="43"/>
      <c r="B1246" s="44"/>
      <c r="C1246" s="44"/>
      <c r="D1246" s="85"/>
      <c r="E1246" s="44"/>
      <c r="F1246" s="44"/>
      <c r="G1246" s="44"/>
      <c r="H1246" s="44"/>
      <c r="I1246" s="48"/>
      <c r="J1246" s="45"/>
      <c r="K1246" s="45"/>
      <c r="L1246" s="45"/>
    </row>
    <row r="1247" spans="1:12" ht="18" customHeight="1">
      <c r="A1247" s="43"/>
      <c r="B1247" s="44"/>
      <c r="C1247" s="44"/>
      <c r="D1247" s="85"/>
      <c r="E1247" s="44"/>
      <c r="F1247" s="44"/>
      <c r="G1247" s="44"/>
      <c r="H1247" s="44"/>
      <c r="I1247" s="48"/>
      <c r="J1247" s="45"/>
      <c r="K1247" s="45"/>
      <c r="L1247" s="45"/>
    </row>
    <row r="1248" spans="1:12" ht="18" customHeight="1">
      <c r="A1248" s="43"/>
      <c r="B1248" s="44"/>
      <c r="C1248" s="44"/>
      <c r="D1248" s="85"/>
      <c r="E1248" s="44"/>
      <c r="F1248" s="44"/>
      <c r="G1248" s="44"/>
      <c r="H1248" s="44"/>
      <c r="I1248" s="48"/>
      <c r="J1248" s="45"/>
      <c r="K1248" s="45"/>
      <c r="L1248" s="45"/>
    </row>
    <row r="1249" spans="1:12" ht="18" customHeight="1">
      <c r="A1249" s="43"/>
      <c r="B1249" s="44"/>
      <c r="C1249" s="44"/>
      <c r="D1249" s="85"/>
      <c r="E1249" s="44"/>
      <c r="F1249" s="44"/>
      <c r="G1249" s="44"/>
      <c r="H1249" s="44"/>
      <c r="I1249" s="48"/>
      <c r="J1249" s="45"/>
      <c r="K1249" s="45"/>
      <c r="L1249" s="45"/>
    </row>
    <row r="1250" spans="1:12" ht="18" customHeight="1">
      <c r="A1250" s="43"/>
      <c r="B1250" s="44"/>
      <c r="C1250" s="44"/>
      <c r="D1250" s="85"/>
      <c r="E1250" s="44"/>
      <c r="F1250" s="44"/>
      <c r="G1250" s="44"/>
      <c r="H1250" s="44"/>
      <c r="I1250" s="48"/>
      <c r="J1250" s="45"/>
      <c r="K1250" s="45"/>
      <c r="L1250" s="45"/>
    </row>
    <row r="1251" spans="1:12" ht="18" customHeight="1">
      <c r="A1251" s="43"/>
      <c r="B1251" s="44"/>
      <c r="C1251" s="44"/>
      <c r="D1251" s="85"/>
      <c r="E1251" s="44"/>
      <c r="F1251" s="44"/>
      <c r="G1251" s="44"/>
      <c r="H1251" s="44"/>
      <c r="I1251" s="48"/>
      <c r="J1251" s="45"/>
      <c r="K1251" s="45"/>
      <c r="L1251" s="45"/>
    </row>
    <row r="1252" spans="1:12" ht="18" customHeight="1">
      <c r="A1252" s="43"/>
      <c r="B1252" s="44"/>
      <c r="C1252" s="44"/>
      <c r="D1252" s="85"/>
      <c r="E1252" s="44"/>
      <c r="F1252" s="44"/>
      <c r="G1252" s="44"/>
      <c r="H1252" s="44"/>
      <c r="I1252" s="48"/>
      <c r="J1252" s="45"/>
      <c r="K1252" s="45"/>
      <c r="L1252" s="45"/>
    </row>
    <row r="1253" spans="1:12" ht="18" customHeight="1">
      <c r="A1253" s="43"/>
      <c r="B1253" s="44"/>
      <c r="C1253" s="44"/>
      <c r="D1253" s="85"/>
      <c r="E1253" s="44"/>
      <c r="F1253" s="44"/>
      <c r="G1253" s="44"/>
      <c r="H1253" s="44"/>
      <c r="I1253" s="48"/>
      <c r="J1253" s="45"/>
      <c r="K1253" s="45"/>
      <c r="L1253" s="45"/>
    </row>
    <row r="1254" spans="1:12" ht="18" customHeight="1">
      <c r="A1254" s="43"/>
      <c r="B1254" s="44"/>
      <c r="C1254" s="44"/>
      <c r="D1254" s="85"/>
      <c r="E1254" s="44"/>
      <c r="F1254" s="44"/>
      <c r="G1254" s="44"/>
      <c r="H1254" s="44"/>
      <c r="I1254" s="48"/>
      <c r="J1254" s="45"/>
      <c r="K1254" s="45"/>
      <c r="L1254" s="45"/>
    </row>
    <row r="1255" spans="1:12" ht="18" customHeight="1">
      <c r="A1255" s="43"/>
      <c r="B1255" s="44"/>
      <c r="C1255" s="44"/>
      <c r="D1255" s="85"/>
      <c r="E1255" s="44"/>
      <c r="F1255" s="44"/>
      <c r="G1255" s="44"/>
      <c r="H1255" s="44"/>
      <c r="I1255" s="48"/>
      <c r="J1255" s="45"/>
      <c r="K1255" s="45"/>
      <c r="L1255" s="45"/>
    </row>
    <row r="1256" spans="1:12" ht="18" customHeight="1">
      <c r="A1256" s="43"/>
      <c r="B1256" s="44"/>
      <c r="C1256" s="44"/>
      <c r="D1256" s="85"/>
      <c r="E1256" s="44"/>
      <c r="F1256" s="44"/>
      <c r="G1256" s="44"/>
      <c r="H1256" s="44"/>
      <c r="I1256" s="48"/>
      <c r="J1256" s="45"/>
      <c r="K1256" s="45"/>
      <c r="L1256" s="45"/>
    </row>
    <row r="1257" spans="1:12" ht="18" customHeight="1">
      <c r="A1257" s="43"/>
      <c r="B1257" s="44"/>
      <c r="C1257" s="44"/>
      <c r="D1257" s="85"/>
      <c r="E1257" s="44"/>
      <c r="F1257" s="44"/>
      <c r="G1257" s="44"/>
      <c r="H1257" s="44"/>
      <c r="I1257" s="48"/>
      <c r="J1257" s="45"/>
      <c r="K1257" s="45"/>
      <c r="L1257" s="45"/>
    </row>
    <row r="1258" spans="1:12" ht="18" customHeight="1">
      <c r="A1258" s="43"/>
      <c r="B1258" s="44"/>
      <c r="C1258" s="44"/>
      <c r="D1258" s="85"/>
      <c r="E1258" s="44"/>
      <c r="F1258" s="44"/>
      <c r="G1258" s="44"/>
      <c r="H1258" s="44"/>
      <c r="I1258" s="48"/>
      <c r="J1258" s="45"/>
      <c r="K1258" s="45"/>
      <c r="L1258" s="45"/>
    </row>
    <row r="1259" spans="1:12" ht="18" customHeight="1">
      <c r="A1259" s="43"/>
      <c r="B1259" s="44"/>
      <c r="C1259" s="44"/>
      <c r="D1259" s="85"/>
      <c r="E1259" s="44"/>
      <c r="F1259" s="44"/>
      <c r="G1259" s="44"/>
      <c r="H1259" s="44"/>
      <c r="I1259" s="48"/>
      <c r="J1259" s="45"/>
      <c r="K1259" s="45"/>
      <c r="L1259" s="45"/>
    </row>
    <row r="1260" spans="1:12" ht="18" customHeight="1">
      <c r="A1260" s="43"/>
      <c r="B1260" s="44"/>
      <c r="C1260" s="44"/>
      <c r="D1260" s="85"/>
      <c r="E1260" s="44"/>
      <c r="F1260" s="44"/>
      <c r="G1260" s="44"/>
      <c r="H1260" s="44"/>
      <c r="I1260" s="48"/>
      <c r="J1260" s="45"/>
      <c r="K1260" s="45"/>
      <c r="L1260" s="45"/>
    </row>
    <row r="1261" spans="1:12" ht="18" customHeight="1">
      <c r="A1261" s="43"/>
      <c r="B1261" s="44"/>
      <c r="C1261" s="44"/>
      <c r="D1261" s="85"/>
      <c r="E1261" s="44"/>
      <c r="F1261" s="44"/>
      <c r="G1261" s="44"/>
      <c r="H1261" s="44"/>
      <c r="I1261" s="48"/>
      <c r="J1261" s="45"/>
      <c r="K1261" s="45"/>
      <c r="L1261" s="45"/>
    </row>
    <row r="1262" spans="1:12" ht="18" customHeight="1">
      <c r="A1262" s="43"/>
      <c r="B1262" s="44"/>
      <c r="C1262" s="44"/>
      <c r="D1262" s="85"/>
      <c r="E1262" s="44"/>
      <c r="F1262" s="44"/>
      <c r="G1262" s="44"/>
      <c r="H1262" s="44"/>
      <c r="I1262" s="48"/>
      <c r="J1262" s="45"/>
      <c r="K1262" s="45"/>
      <c r="L1262" s="45"/>
    </row>
    <row r="1263" spans="1:12" ht="18" customHeight="1">
      <c r="A1263" s="43"/>
      <c r="B1263" s="44"/>
      <c r="C1263" s="44"/>
      <c r="D1263" s="85"/>
      <c r="E1263" s="44"/>
      <c r="F1263" s="44"/>
      <c r="G1263" s="44"/>
      <c r="H1263" s="44"/>
      <c r="I1263" s="48"/>
      <c r="J1263" s="45"/>
      <c r="K1263" s="45"/>
      <c r="L1263" s="45"/>
    </row>
    <row r="1264" spans="1:12" ht="18" customHeight="1">
      <c r="A1264" s="43"/>
      <c r="B1264" s="44"/>
      <c r="C1264" s="44"/>
      <c r="D1264" s="85"/>
      <c r="E1264" s="44"/>
      <c r="F1264" s="44"/>
      <c r="G1264" s="44"/>
      <c r="H1264" s="44"/>
      <c r="I1264" s="48"/>
      <c r="J1264" s="45"/>
      <c r="K1264" s="45"/>
      <c r="L1264" s="45"/>
    </row>
    <row r="1265" spans="1:12" ht="18" customHeight="1">
      <c r="A1265" s="43"/>
      <c r="B1265" s="44"/>
      <c r="C1265" s="44"/>
      <c r="D1265" s="85"/>
      <c r="E1265" s="44"/>
      <c r="F1265" s="44"/>
      <c r="G1265" s="44"/>
      <c r="H1265" s="44"/>
      <c r="I1265" s="48"/>
      <c r="J1265" s="45"/>
      <c r="K1265" s="45"/>
      <c r="L1265" s="45"/>
    </row>
    <row r="1266" spans="1:12" ht="18" customHeight="1">
      <c r="A1266" s="43"/>
      <c r="B1266" s="44"/>
      <c r="C1266" s="44"/>
      <c r="D1266" s="85"/>
      <c r="E1266" s="44"/>
      <c r="F1266" s="44"/>
      <c r="G1266" s="44"/>
      <c r="H1266" s="44"/>
      <c r="I1266" s="48"/>
      <c r="J1266" s="45"/>
      <c r="K1266" s="45"/>
      <c r="L1266" s="45"/>
    </row>
    <row r="1267" spans="1:12" ht="18" customHeight="1">
      <c r="A1267" s="43"/>
      <c r="B1267" s="44"/>
      <c r="C1267" s="44"/>
      <c r="D1267" s="85"/>
      <c r="E1267" s="44"/>
      <c r="F1267" s="44"/>
      <c r="G1267" s="44"/>
      <c r="H1267" s="44"/>
      <c r="I1267" s="48"/>
      <c r="J1267" s="45"/>
      <c r="K1267" s="45"/>
      <c r="L1267" s="45"/>
    </row>
    <row r="1268" spans="1:12" ht="18" customHeight="1">
      <c r="A1268" s="43"/>
      <c r="B1268" s="44"/>
      <c r="C1268" s="44"/>
      <c r="D1268" s="85"/>
      <c r="E1268" s="44"/>
      <c r="F1268" s="44"/>
      <c r="G1268" s="44"/>
      <c r="H1268" s="44"/>
      <c r="I1268" s="48"/>
      <c r="J1268" s="45"/>
      <c r="K1268" s="45"/>
      <c r="L1268" s="45"/>
    </row>
    <row r="1269" spans="1:12" ht="18" customHeight="1">
      <c r="A1269" s="43"/>
      <c r="B1269" s="44"/>
      <c r="C1269" s="44"/>
      <c r="D1269" s="85"/>
      <c r="E1269" s="44"/>
      <c r="F1269" s="44"/>
      <c r="G1269" s="44"/>
      <c r="H1269" s="44"/>
      <c r="I1269" s="48"/>
      <c r="J1269" s="45"/>
      <c r="K1269" s="45"/>
      <c r="L1269" s="45"/>
    </row>
    <row r="1270" spans="1:12" ht="18" customHeight="1">
      <c r="A1270" s="43"/>
      <c r="B1270" s="44"/>
      <c r="C1270" s="44"/>
      <c r="D1270" s="85"/>
      <c r="E1270" s="44"/>
      <c r="F1270" s="44"/>
      <c r="G1270" s="44"/>
      <c r="H1270" s="44"/>
      <c r="I1270" s="48"/>
      <c r="J1270" s="45"/>
      <c r="K1270" s="45"/>
      <c r="L1270" s="45"/>
    </row>
    <row r="1271" spans="1:12" ht="18" customHeight="1">
      <c r="A1271" s="43"/>
      <c r="B1271" s="44"/>
      <c r="C1271" s="44"/>
      <c r="D1271" s="85"/>
      <c r="E1271" s="44"/>
      <c r="F1271" s="44"/>
      <c r="G1271" s="44"/>
      <c r="H1271" s="44"/>
      <c r="I1271" s="48"/>
      <c r="J1271" s="45"/>
      <c r="K1271" s="45"/>
      <c r="L1271" s="45"/>
    </row>
    <row r="1272" spans="1:12" ht="18" customHeight="1">
      <c r="A1272" s="43"/>
      <c r="B1272" s="44"/>
      <c r="C1272" s="44"/>
      <c r="D1272" s="85"/>
      <c r="E1272" s="44"/>
      <c r="F1272" s="44"/>
      <c r="G1272" s="44"/>
      <c r="H1272" s="44"/>
      <c r="I1272" s="48"/>
      <c r="J1272" s="45"/>
      <c r="K1272" s="45"/>
      <c r="L1272" s="45"/>
    </row>
    <row r="1273" spans="1:12" ht="18" customHeight="1">
      <c r="A1273" s="43"/>
      <c r="B1273" s="44"/>
      <c r="C1273" s="44"/>
      <c r="D1273" s="85"/>
      <c r="E1273" s="44"/>
      <c r="F1273" s="44"/>
      <c r="G1273" s="44"/>
      <c r="H1273" s="44"/>
      <c r="I1273" s="48"/>
      <c r="J1273" s="45"/>
      <c r="K1273" s="45"/>
      <c r="L1273" s="45"/>
    </row>
    <row r="1274" spans="1:12" ht="18" customHeight="1">
      <c r="A1274" s="43"/>
      <c r="B1274" s="44"/>
      <c r="C1274" s="44"/>
      <c r="D1274" s="85"/>
      <c r="E1274" s="44"/>
      <c r="F1274" s="44"/>
      <c r="G1274" s="44"/>
      <c r="H1274" s="44"/>
      <c r="I1274" s="48"/>
      <c r="J1274" s="45"/>
      <c r="K1274" s="45"/>
      <c r="L1274" s="45"/>
    </row>
    <row r="1275" spans="1:12" ht="18" customHeight="1">
      <c r="A1275" s="43"/>
      <c r="B1275" s="44"/>
      <c r="C1275" s="44"/>
      <c r="D1275" s="85"/>
      <c r="E1275" s="44"/>
      <c r="F1275" s="44"/>
      <c r="G1275" s="44"/>
      <c r="H1275" s="44"/>
      <c r="I1275" s="48"/>
      <c r="J1275" s="45"/>
      <c r="K1275" s="45"/>
      <c r="L1275" s="45"/>
    </row>
    <row r="1276" spans="1:12" ht="18" customHeight="1">
      <c r="A1276" s="43"/>
      <c r="B1276" s="44"/>
      <c r="C1276" s="44"/>
      <c r="D1276" s="85"/>
      <c r="E1276" s="44"/>
      <c r="F1276" s="44"/>
      <c r="G1276" s="44"/>
      <c r="H1276" s="44"/>
      <c r="I1276" s="48"/>
      <c r="J1276" s="45"/>
      <c r="K1276" s="45"/>
      <c r="L1276" s="45"/>
    </row>
    <row r="1277" spans="1:12" ht="18" customHeight="1">
      <c r="A1277" s="43"/>
      <c r="B1277" s="44"/>
      <c r="C1277" s="44"/>
      <c r="D1277" s="85"/>
      <c r="E1277" s="44"/>
      <c r="F1277" s="44"/>
      <c r="G1277" s="44"/>
      <c r="H1277" s="44"/>
      <c r="I1277" s="48"/>
      <c r="J1277" s="45"/>
      <c r="K1277" s="45"/>
      <c r="L1277" s="45"/>
    </row>
    <row r="1278" spans="1:12" ht="18" customHeight="1">
      <c r="A1278" s="43"/>
      <c r="B1278" s="44"/>
      <c r="C1278" s="44"/>
      <c r="D1278" s="85"/>
      <c r="E1278" s="44"/>
      <c r="F1278" s="44"/>
      <c r="G1278" s="44"/>
      <c r="H1278" s="44"/>
      <c r="I1278" s="48"/>
      <c r="J1278" s="45"/>
      <c r="K1278" s="45"/>
      <c r="L1278" s="45"/>
    </row>
    <row r="1279" spans="1:12" ht="18" customHeight="1">
      <c r="A1279" s="43"/>
      <c r="B1279" s="44"/>
      <c r="C1279" s="44"/>
      <c r="D1279" s="85"/>
      <c r="E1279" s="44"/>
      <c r="F1279" s="44"/>
      <c r="G1279" s="44"/>
      <c r="H1279" s="44"/>
      <c r="I1279" s="48"/>
      <c r="J1279" s="45"/>
      <c r="K1279" s="45"/>
      <c r="L1279" s="45"/>
    </row>
    <row r="1280" spans="1:12" ht="18" customHeight="1">
      <c r="A1280" s="43"/>
      <c r="B1280" s="44"/>
      <c r="C1280" s="44"/>
      <c r="D1280" s="85"/>
      <c r="E1280" s="44"/>
      <c r="F1280" s="44"/>
      <c r="G1280" s="44"/>
      <c r="H1280" s="44"/>
      <c r="I1280" s="48"/>
      <c r="J1280" s="45"/>
      <c r="K1280" s="45"/>
      <c r="L1280" s="45"/>
    </row>
    <row r="1281" spans="1:12" ht="18" customHeight="1">
      <c r="A1281" s="43"/>
      <c r="B1281" s="44"/>
      <c r="C1281" s="44"/>
      <c r="D1281" s="85"/>
      <c r="E1281" s="44"/>
      <c r="F1281" s="44"/>
      <c r="G1281" s="44"/>
      <c r="H1281" s="44"/>
      <c r="I1281" s="48"/>
      <c r="J1281" s="45"/>
      <c r="K1281" s="45"/>
      <c r="L1281" s="45"/>
    </row>
    <row r="1282" spans="1:12" ht="18" customHeight="1">
      <c r="A1282" s="43"/>
      <c r="B1282" s="44"/>
      <c r="C1282" s="44"/>
      <c r="D1282" s="85"/>
      <c r="E1282" s="44"/>
      <c r="F1282" s="44"/>
      <c r="G1282" s="44"/>
      <c r="H1282" s="44"/>
      <c r="I1282" s="48"/>
      <c r="J1282" s="45"/>
      <c r="K1282" s="45"/>
      <c r="L1282" s="45"/>
    </row>
    <row r="1283" spans="1:12" ht="18" customHeight="1">
      <c r="A1283" s="43"/>
      <c r="B1283" s="44"/>
      <c r="C1283" s="44"/>
      <c r="D1283" s="85"/>
      <c r="E1283" s="44"/>
      <c r="F1283" s="44"/>
      <c r="G1283" s="44"/>
      <c r="H1283" s="44"/>
      <c r="I1283" s="48"/>
      <c r="J1283" s="45"/>
      <c r="K1283" s="45"/>
      <c r="L1283" s="45"/>
    </row>
    <row r="1284" spans="1:12" ht="18" customHeight="1">
      <c r="A1284" s="43"/>
      <c r="B1284" s="44"/>
      <c r="C1284" s="44"/>
      <c r="D1284" s="85"/>
      <c r="E1284" s="44"/>
      <c r="F1284" s="44"/>
      <c r="G1284" s="44"/>
      <c r="H1284" s="44"/>
      <c r="I1284" s="48"/>
      <c r="J1284" s="45"/>
      <c r="K1284" s="45"/>
      <c r="L1284" s="45"/>
    </row>
    <row r="1285" spans="1:12" ht="18" customHeight="1">
      <c r="A1285" s="43"/>
      <c r="B1285" s="44"/>
      <c r="C1285" s="44"/>
      <c r="D1285" s="85"/>
      <c r="E1285" s="44"/>
      <c r="F1285" s="44"/>
      <c r="G1285" s="44"/>
      <c r="H1285" s="44"/>
      <c r="I1285" s="48"/>
      <c r="J1285" s="45"/>
      <c r="K1285" s="45"/>
      <c r="L1285" s="45"/>
    </row>
    <row r="1286" spans="1:12" ht="18" customHeight="1">
      <c r="A1286" s="43"/>
      <c r="B1286" s="44"/>
      <c r="C1286" s="44"/>
      <c r="D1286" s="85"/>
      <c r="E1286" s="44"/>
      <c r="F1286" s="44"/>
      <c r="G1286" s="44"/>
      <c r="H1286" s="44"/>
      <c r="I1286" s="48"/>
      <c r="J1286" s="45"/>
      <c r="K1286" s="45"/>
      <c r="L1286" s="45"/>
    </row>
    <row r="1287" spans="1:12" ht="18" customHeight="1">
      <c r="A1287" s="43"/>
      <c r="B1287" s="44"/>
      <c r="C1287" s="44"/>
      <c r="D1287" s="85"/>
      <c r="E1287" s="44"/>
      <c r="F1287" s="44"/>
      <c r="G1287" s="44"/>
      <c r="H1287" s="44"/>
      <c r="I1287" s="48"/>
      <c r="J1287" s="45"/>
      <c r="K1287" s="45"/>
      <c r="L1287" s="45"/>
    </row>
    <row r="1288" spans="1:12" ht="18" customHeight="1">
      <c r="A1288" s="43"/>
      <c r="B1288" s="44"/>
      <c r="C1288" s="44"/>
      <c r="D1288" s="85"/>
      <c r="E1288" s="44"/>
      <c r="F1288" s="44"/>
      <c r="G1288" s="44"/>
      <c r="H1288" s="44"/>
      <c r="I1288" s="48"/>
      <c r="J1288" s="45"/>
      <c r="K1288" s="45"/>
      <c r="L1288" s="45"/>
    </row>
    <row r="1289" spans="1:12" ht="18" customHeight="1">
      <c r="A1289" s="43"/>
      <c r="B1289" s="44"/>
      <c r="C1289" s="44"/>
      <c r="D1289" s="85"/>
      <c r="E1289" s="44"/>
      <c r="F1289" s="44"/>
      <c r="G1289" s="44"/>
      <c r="H1289" s="44"/>
      <c r="I1289" s="48"/>
      <c r="J1289" s="45"/>
      <c r="K1289" s="45"/>
      <c r="L1289" s="45"/>
    </row>
    <row r="1290" spans="1:12" ht="18" customHeight="1">
      <c r="A1290" s="43"/>
      <c r="B1290" s="44"/>
      <c r="C1290" s="44"/>
      <c r="D1290" s="85"/>
      <c r="E1290" s="44"/>
      <c r="F1290" s="44"/>
      <c r="G1290" s="44"/>
      <c r="H1290" s="44"/>
      <c r="I1290" s="48"/>
      <c r="J1290" s="45"/>
      <c r="K1290" s="45"/>
      <c r="L1290" s="45"/>
    </row>
    <row r="1291" spans="1:12" ht="18" customHeight="1">
      <c r="A1291" s="43"/>
      <c r="B1291" s="44"/>
      <c r="C1291" s="44"/>
      <c r="D1291" s="85"/>
      <c r="E1291" s="44"/>
      <c r="F1291" s="44"/>
      <c r="G1291" s="44"/>
      <c r="H1291" s="44"/>
      <c r="I1291" s="48"/>
      <c r="J1291" s="45"/>
      <c r="K1291" s="45"/>
      <c r="L1291" s="45"/>
    </row>
    <row r="1292" spans="1:12" ht="18" customHeight="1">
      <c r="A1292" s="43"/>
      <c r="B1292" s="44"/>
      <c r="C1292" s="44"/>
      <c r="D1292" s="85"/>
      <c r="E1292" s="44"/>
      <c r="F1292" s="44"/>
      <c r="G1292" s="44"/>
      <c r="H1292" s="44"/>
      <c r="I1292" s="48"/>
      <c r="J1292" s="45"/>
      <c r="K1292" s="45"/>
      <c r="L1292" s="45"/>
    </row>
    <row r="1293" spans="1:12" ht="18" customHeight="1">
      <c r="A1293" s="43"/>
      <c r="B1293" s="44"/>
      <c r="C1293" s="44"/>
      <c r="D1293" s="85"/>
      <c r="E1293" s="44"/>
      <c r="F1293" s="44"/>
      <c r="G1293" s="44"/>
      <c r="H1293" s="44"/>
      <c r="I1293" s="48"/>
      <c r="J1293" s="45"/>
      <c r="K1293" s="45"/>
      <c r="L1293" s="45"/>
    </row>
    <row r="1294" spans="1:12" ht="18" customHeight="1">
      <c r="A1294" s="43"/>
      <c r="B1294" s="44"/>
      <c r="C1294" s="44"/>
      <c r="D1294" s="85"/>
      <c r="E1294" s="44"/>
      <c r="F1294" s="44"/>
      <c r="G1294" s="44"/>
      <c r="H1294" s="44"/>
      <c r="I1294" s="48"/>
      <c r="J1294" s="45"/>
      <c r="K1294" s="45"/>
      <c r="L1294" s="45"/>
    </row>
    <row r="1295" spans="1:12" ht="18" customHeight="1">
      <c r="A1295" s="43"/>
      <c r="B1295" s="44"/>
      <c r="C1295" s="44"/>
      <c r="D1295" s="85"/>
      <c r="E1295" s="44"/>
      <c r="F1295" s="44"/>
      <c r="G1295" s="44"/>
      <c r="H1295" s="44"/>
      <c r="I1295" s="48"/>
      <c r="J1295" s="45"/>
      <c r="K1295" s="45"/>
      <c r="L1295" s="45"/>
    </row>
    <row r="1296" spans="1:12" ht="18" customHeight="1">
      <c r="A1296" s="43"/>
      <c r="B1296" s="44"/>
      <c r="C1296" s="44"/>
      <c r="D1296" s="85"/>
      <c r="E1296" s="44"/>
      <c r="F1296" s="44"/>
      <c r="G1296" s="44"/>
      <c r="H1296" s="44"/>
      <c r="I1296" s="48"/>
      <c r="J1296" s="45"/>
      <c r="K1296" s="45"/>
      <c r="L1296" s="45"/>
    </row>
    <row r="1297" spans="1:12" ht="18" customHeight="1">
      <c r="A1297" s="43"/>
      <c r="B1297" s="44"/>
      <c r="C1297" s="44"/>
      <c r="D1297" s="85"/>
      <c r="E1297" s="44"/>
      <c r="F1297" s="44"/>
      <c r="G1297" s="44"/>
      <c r="H1297" s="44"/>
      <c r="I1297" s="48"/>
      <c r="J1297" s="45"/>
      <c r="K1297" s="45"/>
      <c r="L1297" s="45"/>
    </row>
    <row r="1298" spans="1:12" ht="18" customHeight="1">
      <c r="A1298" s="43"/>
      <c r="B1298" s="44"/>
      <c r="C1298" s="44"/>
      <c r="D1298" s="85"/>
      <c r="E1298" s="44"/>
      <c r="F1298" s="44"/>
      <c r="G1298" s="44"/>
      <c r="H1298" s="44"/>
      <c r="I1298" s="48"/>
      <c r="J1298" s="45"/>
      <c r="K1298" s="45"/>
      <c r="L1298" s="45"/>
    </row>
    <row r="1299" spans="1:12" ht="18" customHeight="1">
      <c r="A1299" s="43"/>
      <c r="B1299" s="44"/>
      <c r="C1299" s="44"/>
      <c r="D1299" s="85"/>
      <c r="E1299" s="44"/>
      <c r="F1299" s="44"/>
      <c r="G1299" s="44"/>
      <c r="H1299" s="44"/>
      <c r="I1299" s="48"/>
      <c r="J1299" s="45"/>
      <c r="K1299" s="45"/>
      <c r="L1299" s="45"/>
    </row>
    <row r="1300" spans="1:12" ht="18" customHeight="1">
      <c r="A1300" s="43"/>
      <c r="B1300" s="44"/>
      <c r="C1300" s="44"/>
      <c r="D1300" s="85"/>
      <c r="E1300" s="44"/>
      <c r="F1300" s="44"/>
      <c r="G1300" s="44"/>
      <c r="H1300" s="44"/>
      <c r="I1300" s="48"/>
      <c r="J1300" s="45"/>
      <c r="K1300" s="45"/>
      <c r="L1300" s="45"/>
    </row>
    <row r="1301" spans="1:12" ht="18" customHeight="1">
      <c r="A1301" s="43"/>
      <c r="B1301" s="44"/>
      <c r="C1301" s="44"/>
      <c r="D1301" s="85"/>
      <c r="E1301" s="44"/>
      <c r="F1301" s="44"/>
      <c r="G1301" s="44"/>
      <c r="H1301" s="44"/>
      <c r="I1301" s="48"/>
      <c r="J1301" s="45"/>
      <c r="K1301" s="45"/>
      <c r="L1301" s="45"/>
    </row>
    <row r="1302" spans="1:12" ht="18" customHeight="1">
      <c r="A1302" s="43"/>
      <c r="B1302" s="44"/>
      <c r="C1302" s="44"/>
      <c r="D1302" s="85"/>
      <c r="E1302" s="44"/>
      <c r="F1302" s="44"/>
      <c r="G1302" s="44"/>
      <c r="H1302" s="44"/>
      <c r="I1302" s="48"/>
      <c r="J1302" s="45"/>
      <c r="K1302" s="45"/>
      <c r="L1302" s="45"/>
    </row>
    <row r="1303" spans="1:12" ht="18" customHeight="1">
      <c r="A1303" s="43"/>
      <c r="B1303" s="44"/>
      <c r="C1303" s="44"/>
      <c r="D1303" s="85"/>
      <c r="E1303" s="44"/>
      <c r="F1303" s="44"/>
      <c r="G1303" s="44"/>
      <c r="H1303" s="44"/>
      <c r="I1303" s="48"/>
      <c r="J1303" s="45"/>
      <c r="K1303" s="45"/>
      <c r="L1303" s="45"/>
    </row>
    <row r="1304" spans="1:12" ht="18" customHeight="1">
      <c r="A1304" s="43"/>
      <c r="B1304" s="44"/>
      <c r="C1304" s="44"/>
      <c r="D1304" s="85"/>
      <c r="E1304" s="44"/>
      <c r="F1304" s="44"/>
      <c r="G1304" s="44"/>
      <c r="H1304" s="44"/>
      <c r="I1304" s="48"/>
      <c r="J1304" s="45"/>
      <c r="K1304" s="45"/>
      <c r="L1304" s="45"/>
    </row>
    <row r="1305" spans="1:12" ht="18" customHeight="1">
      <c r="A1305" s="43"/>
      <c r="B1305" s="44"/>
      <c r="C1305" s="44"/>
      <c r="D1305" s="85"/>
      <c r="E1305" s="44"/>
      <c r="F1305" s="44"/>
      <c r="G1305" s="44"/>
      <c r="H1305" s="44"/>
      <c r="I1305" s="48"/>
      <c r="J1305" s="45"/>
      <c r="K1305" s="45"/>
      <c r="L1305" s="45"/>
    </row>
    <row r="1306" spans="1:12" ht="18" customHeight="1">
      <c r="A1306" s="43"/>
      <c r="B1306" s="44"/>
      <c r="C1306" s="44"/>
      <c r="D1306" s="85"/>
      <c r="E1306" s="44"/>
      <c r="F1306" s="44"/>
      <c r="G1306" s="44"/>
      <c r="H1306" s="44"/>
      <c r="I1306" s="48"/>
      <c r="J1306" s="45"/>
      <c r="K1306" s="45"/>
      <c r="L1306" s="45"/>
    </row>
    <row r="1307" spans="1:12" ht="18" customHeight="1">
      <c r="A1307" s="43"/>
      <c r="B1307" s="44"/>
      <c r="C1307" s="44"/>
      <c r="D1307" s="85"/>
      <c r="E1307" s="44"/>
      <c r="F1307" s="44"/>
      <c r="G1307" s="44"/>
      <c r="H1307" s="44"/>
      <c r="I1307" s="48"/>
      <c r="J1307" s="45"/>
      <c r="K1307" s="45"/>
      <c r="L1307" s="45"/>
    </row>
    <row r="1308" spans="1:12" ht="18" customHeight="1">
      <c r="A1308" s="43"/>
      <c r="B1308" s="44"/>
      <c r="C1308" s="44"/>
      <c r="D1308" s="85"/>
      <c r="E1308" s="44"/>
      <c r="F1308" s="44"/>
      <c r="G1308" s="44"/>
      <c r="H1308" s="44"/>
      <c r="I1308" s="48"/>
      <c r="J1308" s="45"/>
      <c r="K1308" s="45"/>
      <c r="L1308" s="45"/>
    </row>
    <row r="1309" spans="1:12" ht="18" customHeight="1">
      <c r="A1309" s="43"/>
      <c r="B1309" s="44"/>
      <c r="C1309" s="44"/>
      <c r="D1309" s="85"/>
      <c r="E1309" s="44"/>
      <c r="F1309" s="44"/>
      <c r="G1309" s="44"/>
      <c r="H1309" s="44"/>
      <c r="I1309" s="48"/>
      <c r="J1309" s="45"/>
      <c r="K1309" s="45"/>
      <c r="L1309" s="45"/>
    </row>
    <row r="1310" spans="1:12" ht="18" customHeight="1">
      <c r="A1310" s="43"/>
      <c r="B1310" s="44"/>
      <c r="C1310" s="44"/>
      <c r="D1310" s="85"/>
      <c r="E1310" s="44"/>
      <c r="F1310" s="44"/>
      <c r="G1310" s="44"/>
      <c r="H1310" s="44"/>
      <c r="I1310" s="48"/>
      <c r="J1310" s="45"/>
      <c r="K1310" s="45"/>
      <c r="L1310" s="45"/>
    </row>
    <row r="1311" spans="1:12" ht="18" customHeight="1">
      <c r="A1311" s="43"/>
      <c r="B1311" s="44"/>
      <c r="C1311" s="44"/>
      <c r="D1311" s="85"/>
      <c r="E1311" s="44"/>
      <c r="F1311" s="44"/>
      <c r="G1311" s="44"/>
      <c r="H1311" s="44"/>
      <c r="I1311" s="48"/>
      <c r="J1311" s="45"/>
      <c r="K1311" s="45"/>
      <c r="L1311" s="45"/>
    </row>
    <row r="1312" spans="1:12" ht="18" customHeight="1">
      <c r="A1312" s="43"/>
      <c r="B1312" s="44"/>
      <c r="C1312" s="44"/>
      <c r="D1312" s="85"/>
      <c r="E1312" s="44"/>
      <c r="F1312" s="44"/>
      <c r="G1312" s="44"/>
      <c r="H1312" s="44"/>
      <c r="I1312" s="48"/>
      <c r="J1312" s="45"/>
      <c r="K1312" s="45"/>
      <c r="L1312" s="45"/>
    </row>
    <row r="1313" spans="1:12" ht="18" customHeight="1">
      <c r="A1313" s="43"/>
      <c r="B1313" s="44"/>
      <c r="C1313" s="44"/>
      <c r="D1313" s="85"/>
      <c r="E1313" s="44"/>
      <c r="F1313" s="44"/>
      <c r="G1313" s="44"/>
      <c r="H1313" s="44"/>
      <c r="I1313" s="48"/>
      <c r="J1313" s="45"/>
      <c r="K1313" s="45"/>
      <c r="L1313" s="45"/>
    </row>
    <row r="1314" spans="1:12" ht="18" customHeight="1">
      <c r="A1314" s="43"/>
      <c r="B1314" s="44"/>
      <c r="C1314" s="44"/>
      <c r="D1314" s="85"/>
      <c r="E1314" s="44"/>
      <c r="F1314" s="44"/>
      <c r="G1314" s="44"/>
      <c r="H1314" s="44"/>
      <c r="I1314" s="48"/>
      <c r="J1314" s="45"/>
      <c r="K1314" s="45"/>
      <c r="L1314" s="45"/>
    </row>
    <row r="1315" spans="1:12" ht="18" customHeight="1">
      <c r="A1315" s="43"/>
      <c r="B1315" s="44"/>
      <c r="C1315" s="44"/>
      <c r="D1315" s="85"/>
      <c r="E1315" s="44"/>
      <c r="F1315" s="44"/>
      <c r="G1315" s="44"/>
      <c r="H1315" s="44"/>
      <c r="I1315" s="48"/>
      <c r="J1315" s="45"/>
      <c r="K1315" s="45"/>
      <c r="L1315" s="45"/>
    </row>
    <row r="1316" spans="1:12" ht="18" customHeight="1">
      <c r="A1316" s="43"/>
      <c r="B1316" s="44"/>
      <c r="C1316" s="44"/>
      <c r="D1316" s="85"/>
      <c r="E1316" s="44"/>
      <c r="F1316" s="44"/>
      <c r="G1316" s="44"/>
      <c r="H1316" s="44"/>
      <c r="I1316" s="48"/>
      <c r="J1316" s="45"/>
      <c r="K1316" s="45"/>
      <c r="L1316" s="45"/>
    </row>
    <row r="1317" spans="1:12" ht="18" customHeight="1">
      <c r="A1317" s="43"/>
      <c r="B1317" s="44"/>
      <c r="C1317" s="44"/>
      <c r="D1317" s="85"/>
      <c r="E1317" s="44"/>
      <c r="F1317" s="44"/>
      <c r="G1317" s="44"/>
      <c r="H1317" s="44"/>
      <c r="I1317" s="48"/>
      <c r="J1317" s="45"/>
      <c r="K1317" s="45"/>
      <c r="L1317" s="45"/>
    </row>
    <row r="1318" spans="1:12" ht="18" customHeight="1">
      <c r="A1318" s="43"/>
      <c r="B1318" s="44"/>
      <c r="C1318" s="44"/>
      <c r="D1318" s="85"/>
      <c r="E1318" s="44"/>
      <c r="F1318" s="44"/>
      <c r="G1318" s="44"/>
      <c r="H1318" s="44"/>
      <c r="I1318" s="48"/>
      <c r="J1318" s="45"/>
      <c r="K1318" s="45"/>
      <c r="L1318" s="45"/>
    </row>
    <row r="1319" spans="1:12" ht="18" customHeight="1">
      <c r="A1319" s="43"/>
      <c r="B1319" s="44"/>
      <c r="C1319" s="44"/>
      <c r="D1319" s="85"/>
      <c r="E1319" s="44"/>
      <c r="F1319" s="44"/>
      <c r="G1319" s="44"/>
      <c r="H1319" s="44"/>
      <c r="I1319" s="48"/>
      <c r="J1319" s="45"/>
      <c r="K1319" s="45"/>
      <c r="L1319" s="45"/>
    </row>
    <row r="1320" spans="1:12" ht="18" customHeight="1">
      <c r="A1320" s="43"/>
      <c r="B1320" s="44"/>
      <c r="C1320" s="44"/>
      <c r="D1320" s="85"/>
      <c r="E1320" s="44"/>
      <c r="F1320" s="44"/>
      <c r="G1320" s="44"/>
      <c r="H1320" s="44"/>
      <c r="I1320" s="48"/>
      <c r="J1320" s="45"/>
      <c r="K1320" s="45"/>
      <c r="L1320" s="45"/>
    </row>
    <row r="1321" spans="1:12" ht="18" customHeight="1">
      <c r="A1321" s="43"/>
      <c r="B1321" s="44"/>
      <c r="C1321" s="44"/>
      <c r="D1321" s="85"/>
      <c r="E1321" s="44"/>
      <c r="F1321" s="44"/>
      <c r="G1321" s="44"/>
      <c r="H1321" s="44"/>
      <c r="I1321" s="48"/>
      <c r="J1321" s="45"/>
      <c r="K1321" s="45"/>
      <c r="L1321" s="45"/>
    </row>
    <row r="1322" spans="1:12" ht="18" customHeight="1">
      <c r="A1322" s="43"/>
      <c r="B1322" s="44"/>
      <c r="C1322" s="44"/>
      <c r="D1322" s="85"/>
      <c r="E1322" s="44"/>
      <c r="F1322" s="44"/>
      <c r="G1322" s="44"/>
      <c r="H1322" s="44"/>
      <c r="I1322" s="48"/>
      <c r="J1322" s="45"/>
      <c r="K1322" s="45"/>
      <c r="L1322" s="45"/>
    </row>
    <row r="1323" spans="1:12" ht="18" customHeight="1">
      <c r="A1323" s="43"/>
      <c r="B1323" s="44"/>
      <c r="C1323" s="44"/>
      <c r="D1323" s="85"/>
      <c r="E1323" s="44"/>
      <c r="F1323" s="44"/>
      <c r="G1323" s="44"/>
      <c r="H1323" s="44"/>
      <c r="I1323" s="48"/>
      <c r="J1323" s="45"/>
      <c r="K1323" s="45"/>
      <c r="L1323" s="45"/>
    </row>
    <row r="1324" spans="1:12" ht="18" customHeight="1">
      <c r="A1324" s="43"/>
      <c r="B1324" s="44"/>
      <c r="C1324" s="44"/>
      <c r="D1324" s="85"/>
      <c r="E1324" s="44"/>
      <c r="F1324" s="44"/>
      <c r="G1324" s="44"/>
      <c r="H1324" s="44"/>
      <c r="I1324" s="48"/>
      <c r="J1324" s="45"/>
      <c r="K1324" s="45"/>
      <c r="L1324" s="45"/>
    </row>
    <row r="1325" spans="1:12" ht="18" customHeight="1">
      <c r="A1325" s="43"/>
      <c r="B1325" s="44"/>
      <c r="C1325" s="44"/>
      <c r="D1325" s="85"/>
      <c r="E1325" s="44"/>
      <c r="F1325" s="44"/>
      <c r="G1325" s="44"/>
      <c r="H1325" s="44"/>
      <c r="I1325" s="48"/>
      <c r="J1325" s="45"/>
      <c r="K1325" s="45"/>
      <c r="L1325" s="45"/>
    </row>
    <row r="1326" spans="1:12" ht="18" customHeight="1">
      <c r="A1326" s="43"/>
      <c r="B1326" s="44"/>
      <c r="C1326" s="44"/>
      <c r="D1326" s="85"/>
      <c r="E1326" s="44"/>
      <c r="F1326" s="44"/>
      <c r="G1326" s="44"/>
      <c r="H1326" s="44"/>
      <c r="I1326" s="48"/>
      <c r="J1326" s="45"/>
      <c r="K1326" s="45"/>
      <c r="L1326" s="45"/>
    </row>
    <row r="1327" spans="1:12" ht="18" customHeight="1">
      <c r="A1327" s="43"/>
      <c r="B1327" s="44"/>
      <c r="C1327" s="44"/>
      <c r="D1327" s="85"/>
      <c r="E1327" s="44"/>
      <c r="F1327" s="44"/>
      <c r="G1327" s="44"/>
      <c r="H1327" s="44"/>
      <c r="I1327" s="48"/>
      <c r="J1327" s="45"/>
      <c r="K1327" s="45"/>
      <c r="L1327" s="45"/>
    </row>
    <row r="1328" spans="1:12" ht="18" customHeight="1">
      <c r="A1328" s="43"/>
      <c r="B1328" s="44"/>
      <c r="C1328" s="44"/>
      <c r="D1328" s="85"/>
      <c r="E1328" s="44"/>
      <c r="F1328" s="44"/>
      <c r="G1328" s="44"/>
      <c r="H1328" s="44"/>
      <c r="I1328" s="48"/>
      <c r="J1328" s="45"/>
      <c r="K1328" s="45"/>
      <c r="L1328" s="45"/>
    </row>
    <row r="1329" spans="1:12" ht="18" customHeight="1">
      <c r="A1329" s="43"/>
      <c r="B1329" s="44"/>
      <c r="C1329" s="44"/>
      <c r="D1329" s="85"/>
      <c r="E1329" s="44"/>
      <c r="F1329" s="44"/>
      <c r="G1329" s="44"/>
      <c r="H1329" s="44"/>
      <c r="I1329" s="48"/>
      <c r="J1329" s="45"/>
      <c r="K1329" s="45"/>
      <c r="L1329" s="45"/>
    </row>
    <row r="1330" spans="1:12" ht="18" customHeight="1">
      <c r="A1330" s="43"/>
      <c r="B1330" s="44"/>
      <c r="C1330" s="44"/>
      <c r="D1330" s="85"/>
      <c r="E1330" s="44"/>
      <c r="F1330" s="44"/>
      <c r="G1330" s="44"/>
      <c r="H1330" s="44"/>
      <c r="I1330" s="48"/>
      <c r="J1330" s="45"/>
      <c r="K1330" s="45"/>
      <c r="L1330" s="45"/>
    </row>
    <row r="1331" spans="1:12" ht="18" customHeight="1">
      <c r="A1331" s="43"/>
      <c r="B1331" s="44"/>
      <c r="C1331" s="44"/>
      <c r="D1331" s="85"/>
      <c r="E1331" s="44"/>
      <c r="F1331" s="44"/>
      <c r="G1331" s="44"/>
      <c r="H1331" s="44"/>
      <c r="I1331" s="48"/>
      <c r="J1331" s="45"/>
      <c r="K1331" s="45"/>
      <c r="L1331" s="45"/>
    </row>
    <row r="1332" spans="1:12" ht="18" customHeight="1">
      <c r="A1332" s="43"/>
      <c r="B1332" s="44"/>
      <c r="C1332" s="44"/>
      <c r="D1332" s="85"/>
      <c r="E1332" s="44"/>
      <c r="F1332" s="44"/>
      <c r="G1332" s="44"/>
      <c r="H1332" s="44"/>
      <c r="I1332" s="48"/>
      <c r="J1332" s="45"/>
      <c r="K1332" s="45"/>
      <c r="L1332" s="45"/>
    </row>
    <row r="1333" spans="1:12" ht="18" customHeight="1">
      <c r="A1333" s="43"/>
      <c r="B1333" s="44"/>
      <c r="C1333" s="44"/>
      <c r="D1333" s="85"/>
      <c r="E1333" s="44"/>
      <c r="F1333" s="44"/>
      <c r="G1333" s="44"/>
      <c r="H1333" s="44"/>
      <c r="I1333" s="48"/>
      <c r="J1333" s="45"/>
      <c r="K1333" s="45"/>
      <c r="L1333" s="45"/>
    </row>
    <row r="1334" spans="1:12" ht="18" customHeight="1">
      <c r="A1334" s="43"/>
      <c r="B1334" s="44"/>
      <c r="C1334" s="44"/>
      <c r="D1334" s="85"/>
      <c r="E1334" s="44"/>
      <c r="F1334" s="44"/>
      <c r="G1334" s="44"/>
      <c r="H1334" s="44"/>
      <c r="I1334" s="48"/>
      <c r="J1334" s="45"/>
      <c r="K1334" s="45"/>
      <c r="L1334" s="45"/>
    </row>
    <row r="1335" spans="1:12" ht="18" customHeight="1">
      <c r="A1335" s="43"/>
      <c r="B1335" s="44"/>
      <c r="C1335" s="44"/>
      <c r="D1335" s="85"/>
      <c r="E1335" s="44"/>
      <c r="F1335" s="44"/>
      <c r="G1335" s="44"/>
      <c r="H1335" s="44"/>
      <c r="I1335" s="48"/>
      <c r="J1335" s="45"/>
      <c r="K1335" s="45"/>
      <c r="L1335" s="45"/>
    </row>
    <row r="1336" spans="1:12" ht="18" customHeight="1">
      <c r="A1336" s="43"/>
      <c r="B1336" s="44"/>
      <c r="C1336" s="44"/>
      <c r="D1336" s="85"/>
      <c r="E1336" s="44"/>
      <c r="F1336" s="44"/>
      <c r="G1336" s="44"/>
      <c r="H1336" s="44"/>
      <c r="I1336" s="48"/>
      <c r="J1336" s="45"/>
      <c r="K1336" s="45"/>
      <c r="L1336" s="45"/>
    </row>
    <row r="1337" spans="1:12" ht="18" customHeight="1">
      <c r="A1337" s="43"/>
      <c r="B1337" s="44"/>
      <c r="C1337" s="44"/>
      <c r="D1337" s="85"/>
      <c r="E1337" s="44"/>
      <c r="F1337" s="44"/>
      <c r="G1337" s="44"/>
      <c r="H1337" s="44"/>
      <c r="I1337" s="48"/>
      <c r="J1337" s="45"/>
      <c r="K1337" s="45"/>
      <c r="L1337" s="45"/>
    </row>
    <row r="1338" spans="1:12" ht="18" customHeight="1">
      <c r="A1338" s="43"/>
      <c r="B1338" s="44"/>
      <c r="C1338" s="44"/>
      <c r="D1338" s="85"/>
      <c r="E1338" s="44"/>
      <c r="F1338" s="44"/>
      <c r="G1338" s="44"/>
      <c r="H1338" s="44"/>
      <c r="I1338" s="48"/>
      <c r="J1338" s="45"/>
      <c r="K1338" s="45"/>
      <c r="L1338" s="45"/>
    </row>
    <row r="1339" spans="1:12" ht="18" customHeight="1">
      <c r="A1339" s="43"/>
      <c r="B1339" s="44"/>
      <c r="C1339" s="44"/>
      <c r="D1339" s="85"/>
      <c r="E1339" s="44"/>
      <c r="F1339" s="44"/>
      <c r="G1339" s="44"/>
      <c r="H1339" s="44"/>
      <c r="I1339" s="48"/>
      <c r="J1339" s="45"/>
      <c r="K1339" s="45"/>
      <c r="L1339" s="45"/>
    </row>
    <row r="1340" spans="1:12" ht="18" customHeight="1">
      <c r="A1340" s="43"/>
      <c r="B1340" s="44"/>
      <c r="C1340" s="44"/>
      <c r="D1340" s="85"/>
      <c r="E1340" s="44"/>
      <c r="F1340" s="44"/>
      <c r="G1340" s="44"/>
      <c r="H1340" s="44"/>
      <c r="I1340" s="48"/>
      <c r="J1340" s="45"/>
      <c r="K1340" s="45"/>
      <c r="L1340" s="45"/>
    </row>
    <row r="1341" spans="1:12" ht="18" customHeight="1">
      <c r="A1341" s="43"/>
      <c r="B1341" s="44"/>
      <c r="C1341" s="44"/>
      <c r="D1341" s="85"/>
      <c r="E1341" s="44"/>
      <c r="F1341" s="44"/>
      <c r="G1341" s="44"/>
      <c r="H1341" s="44"/>
      <c r="I1341" s="48"/>
      <c r="J1341" s="45"/>
      <c r="K1341" s="45"/>
      <c r="L1341" s="45"/>
    </row>
    <row r="1342" spans="1:12" ht="18" customHeight="1">
      <c r="A1342" s="43"/>
      <c r="B1342" s="44"/>
      <c r="C1342" s="44"/>
      <c r="D1342" s="85"/>
      <c r="E1342" s="44"/>
      <c r="F1342" s="44"/>
      <c r="G1342" s="44"/>
      <c r="H1342" s="44"/>
      <c r="I1342" s="48"/>
      <c r="J1342" s="45"/>
      <c r="K1342" s="45"/>
      <c r="L1342" s="45"/>
    </row>
    <row r="1343" spans="1:12" ht="18" customHeight="1">
      <c r="A1343" s="43"/>
      <c r="B1343" s="44"/>
      <c r="C1343" s="44"/>
      <c r="D1343" s="85"/>
      <c r="E1343" s="44"/>
      <c r="F1343" s="44"/>
      <c r="G1343" s="44"/>
      <c r="H1343" s="44"/>
      <c r="I1343" s="48"/>
      <c r="J1343" s="45"/>
      <c r="K1343" s="45"/>
      <c r="L1343" s="45"/>
    </row>
    <row r="1344" spans="1:12" ht="18" customHeight="1">
      <c r="A1344" s="43"/>
      <c r="B1344" s="44"/>
      <c r="C1344" s="44"/>
      <c r="D1344" s="85"/>
      <c r="E1344" s="44"/>
      <c r="F1344" s="44"/>
      <c r="G1344" s="44"/>
      <c r="H1344" s="44"/>
      <c r="I1344" s="48"/>
      <c r="J1344" s="45"/>
      <c r="K1344" s="45"/>
      <c r="L1344" s="45"/>
    </row>
    <row r="1345" spans="1:12" ht="18" customHeight="1">
      <c r="A1345" s="43"/>
      <c r="B1345" s="44"/>
      <c r="C1345" s="44"/>
      <c r="D1345" s="85"/>
      <c r="E1345" s="44"/>
      <c r="F1345" s="44"/>
      <c r="G1345" s="44"/>
      <c r="H1345" s="44"/>
      <c r="I1345" s="48"/>
      <c r="J1345" s="45"/>
      <c r="K1345" s="45"/>
      <c r="L1345" s="45"/>
    </row>
    <row r="1346" spans="1:12" ht="18" customHeight="1">
      <c r="A1346" s="43"/>
      <c r="B1346" s="44"/>
      <c r="C1346" s="44"/>
      <c r="D1346" s="85"/>
      <c r="E1346" s="44"/>
      <c r="F1346" s="44"/>
      <c r="G1346" s="44"/>
      <c r="H1346" s="44"/>
      <c r="I1346" s="48"/>
      <c r="J1346" s="45"/>
      <c r="K1346" s="45"/>
      <c r="L1346" s="45"/>
    </row>
    <row r="1347" spans="1:12" ht="18" customHeight="1">
      <c r="A1347" s="43"/>
      <c r="B1347" s="44"/>
      <c r="C1347" s="44"/>
      <c r="D1347" s="85"/>
      <c r="E1347" s="44"/>
      <c r="F1347" s="44"/>
      <c r="G1347" s="44"/>
      <c r="H1347" s="44"/>
      <c r="I1347" s="48"/>
      <c r="J1347" s="45"/>
      <c r="K1347" s="45"/>
      <c r="L1347" s="45"/>
    </row>
    <row r="1348" spans="1:12" ht="18" customHeight="1">
      <c r="A1348" s="43"/>
      <c r="B1348" s="44"/>
      <c r="C1348" s="44"/>
      <c r="D1348" s="85"/>
      <c r="E1348" s="44"/>
      <c r="F1348" s="44"/>
      <c r="G1348" s="44"/>
      <c r="H1348" s="44"/>
      <c r="I1348" s="48"/>
      <c r="J1348" s="45"/>
      <c r="K1348" s="45"/>
      <c r="L1348" s="45"/>
    </row>
    <row r="1349" spans="1:12" ht="18" customHeight="1">
      <c r="A1349" s="43"/>
      <c r="B1349" s="44"/>
      <c r="C1349" s="44"/>
      <c r="D1349" s="85"/>
      <c r="E1349" s="44"/>
      <c r="F1349" s="44"/>
      <c r="G1349" s="44"/>
      <c r="H1349" s="44"/>
      <c r="I1349" s="48"/>
      <c r="J1349" s="45"/>
      <c r="K1349" s="45"/>
      <c r="L1349" s="45"/>
    </row>
    <row r="1350" spans="1:12" ht="18" customHeight="1">
      <c r="A1350" s="43"/>
      <c r="B1350" s="44"/>
      <c r="C1350" s="44"/>
      <c r="D1350" s="85"/>
      <c r="E1350" s="44"/>
      <c r="F1350" s="44"/>
      <c r="G1350" s="44"/>
      <c r="H1350" s="44"/>
      <c r="I1350" s="48"/>
      <c r="J1350" s="45"/>
      <c r="K1350" s="45"/>
      <c r="L1350" s="45"/>
    </row>
    <row r="1351" spans="1:12" ht="18" customHeight="1">
      <c r="A1351" s="43"/>
      <c r="B1351" s="44"/>
      <c r="C1351" s="44"/>
      <c r="D1351" s="85"/>
      <c r="E1351" s="44"/>
      <c r="F1351" s="44"/>
      <c r="G1351" s="44"/>
      <c r="H1351" s="44"/>
      <c r="I1351" s="48"/>
      <c r="J1351" s="45"/>
      <c r="K1351" s="45"/>
      <c r="L1351" s="45"/>
    </row>
    <row r="1352" spans="1:12" ht="18" customHeight="1">
      <c r="A1352" s="43"/>
      <c r="B1352" s="44"/>
      <c r="C1352" s="44"/>
      <c r="D1352" s="85"/>
      <c r="E1352" s="44"/>
      <c r="F1352" s="44"/>
      <c r="G1352" s="44"/>
      <c r="H1352" s="44"/>
      <c r="I1352" s="48"/>
      <c r="J1352" s="45"/>
      <c r="K1352" s="45"/>
      <c r="L1352" s="45"/>
    </row>
    <row r="1353" spans="1:12" ht="18" customHeight="1">
      <c r="A1353" s="43"/>
      <c r="B1353" s="44"/>
      <c r="C1353" s="44"/>
      <c r="D1353" s="85"/>
      <c r="E1353" s="44"/>
      <c r="F1353" s="44"/>
      <c r="G1353" s="44"/>
      <c r="H1353" s="44"/>
      <c r="I1353" s="48"/>
      <c r="J1353" s="45"/>
      <c r="K1353" s="45"/>
      <c r="L1353" s="45"/>
    </row>
    <row r="1354" spans="1:12" ht="18" customHeight="1">
      <c r="A1354" s="43"/>
      <c r="B1354" s="44"/>
      <c r="C1354" s="44"/>
      <c r="D1354" s="85"/>
      <c r="E1354" s="44"/>
      <c r="F1354" s="44"/>
      <c r="G1354" s="44"/>
      <c r="H1354" s="44"/>
      <c r="I1354" s="48"/>
      <c r="J1354" s="45"/>
      <c r="K1354" s="45"/>
      <c r="L1354" s="45"/>
    </row>
    <row r="1355" spans="1:12" ht="18" customHeight="1">
      <c r="A1355" s="43"/>
      <c r="B1355" s="44"/>
      <c r="C1355" s="44"/>
      <c r="D1355" s="85"/>
      <c r="E1355" s="44"/>
      <c r="F1355" s="44"/>
      <c r="G1355" s="44"/>
      <c r="H1355" s="44"/>
      <c r="I1355" s="48"/>
      <c r="J1355" s="45"/>
      <c r="K1355" s="45"/>
      <c r="L1355" s="45"/>
    </row>
    <row r="1356" spans="1:12" ht="18" customHeight="1">
      <c r="A1356" s="43"/>
      <c r="B1356" s="44"/>
      <c r="C1356" s="44"/>
      <c r="D1356" s="85"/>
      <c r="E1356" s="44"/>
      <c r="F1356" s="44"/>
      <c r="G1356" s="44"/>
      <c r="H1356" s="44"/>
      <c r="I1356" s="48"/>
      <c r="J1356" s="45"/>
      <c r="K1356" s="45"/>
      <c r="L1356" s="45"/>
    </row>
    <row r="1357" spans="1:12" ht="18" customHeight="1">
      <c r="A1357" s="43"/>
      <c r="B1357" s="44"/>
      <c r="C1357" s="44"/>
      <c r="D1357" s="85"/>
      <c r="E1357" s="44"/>
      <c r="F1357" s="44"/>
      <c r="G1357" s="44"/>
      <c r="H1357" s="44"/>
      <c r="I1357" s="48"/>
      <c r="J1357" s="45"/>
      <c r="K1357" s="45"/>
      <c r="L1357" s="45"/>
    </row>
    <row r="1358" spans="1:12" ht="18" customHeight="1">
      <c r="A1358" s="43"/>
      <c r="B1358" s="44"/>
      <c r="C1358" s="44"/>
      <c r="D1358" s="85"/>
      <c r="E1358" s="44"/>
      <c r="F1358" s="44"/>
      <c r="G1358" s="44"/>
      <c r="H1358" s="44"/>
      <c r="I1358" s="48"/>
      <c r="J1358" s="45"/>
      <c r="K1358" s="45"/>
      <c r="L1358" s="45"/>
    </row>
    <row r="1359" spans="1:12" ht="18" customHeight="1">
      <c r="A1359" s="43"/>
      <c r="B1359" s="44"/>
      <c r="C1359" s="44"/>
      <c r="D1359" s="85"/>
      <c r="E1359" s="44"/>
      <c r="F1359" s="44"/>
      <c r="G1359" s="44"/>
      <c r="H1359" s="44"/>
      <c r="I1359" s="48"/>
      <c r="J1359" s="45"/>
      <c r="K1359" s="45"/>
      <c r="L1359" s="45"/>
    </row>
    <row r="1360" spans="1:12" ht="18" customHeight="1">
      <c r="A1360" s="43"/>
      <c r="B1360" s="44"/>
      <c r="C1360" s="44"/>
      <c r="D1360" s="85"/>
      <c r="E1360" s="44"/>
      <c r="F1360" s="44"/>
      <c r="G1360" s="44"/>
      <c r="H1360" s="44"/>
      <c r="I1360" s="48"/>
      <c r="J1360" s="45"/>
      <c r="K1360" s="45"/>
      <c r="L1360" s="45"/>
    </row>
    <row r="1361" spans="1:12" ht="18" customHeight="1">
      <c r="A1361" s="43"/>
      <c r="B1361" s="44"/>
      <c r="C1361" s="44"/>
      <c r="D1361" s="85"/>
      <c r="E1361" s="44"/>
      <c r="F1361" s="44"/>
      <c r="G1361" s="44"/>
      <c r="H1361" s="44"/>
      <c r="I1361" s="48"/>
      <c r="J1361" s="45"/>
      <c r="K1361" s="45"/>
      <c r="L1361" s="45"/>
    </row>
    <row r="1362" spans="1:12" ht="18" customHeight="1">
      <c r="A1362" s="43"/>
      <c r="B1362" s="44"/>
      <c r="C1362" s="44"/>
      <c r="D1362" s="85"/>
      <c r="E1362" s="44"/>
      <c r="F1362" s="44"/>
      <c r="G1362" s="44"/>
      <c r="H1362" s="44"/>
      <c r="I1362" s="48"/>
      <c r="J1362" s="45"/>
      <c r="K1362" s="45"/>
      <c r="L1362" s="45"/>
    </row>
    <row r="1363" spans="1:12" ht="18" customHeight="1">
      <c r="A1363" s="43"/>
      <c r="B1363" s="44"/>
      <c r="C1363" s="44"/>
      <c r="D1363" s="85"/>
      <c r="E1363" s="44"/>
      <c r="F1363" s="44"/>
      <c r="G1363" s="44"/>
      <c r="H1363" s="44"/>
      <c r="I1363" s="48"/>
      <c r="J1363" s="45"/>
      <c r="K1363" s="45"/>
      <c r="L1363" s="45"/>
    </row>
    <row r="1364" spans="1:12" ht="18" customHeight="1">
      <c r="A1364" s="43"/>
      <c r="B1364" s="44"/>
      <c r="C1364" s="44"/>
      <c r="D1364" s="85"/>
      <c r="E1364" s="44"/>
      <c r="F1364" s="44"/>
      <c r="G1364" s="44"/>
      <c r="H1364" s="44"/>
      <c r="I1364" s="48"/>
      <c r="J1364" s="45"/>
      <c r="K1364" s="45"/>
      <c r="L1364" s="45"/>
    </row>
    <row r="1365" spans="1:12" ht="18" customHeight="1">
      <c r="A1365" s="43"/>
      <c r="B1365" s="44"/>
      <c r="C1365" s="44"/>
      <c r="D1365" s="85"/>
      <c r="E1365" s="44"/>
      <c r="F1365" s="44"/>
      <c r="G1365" s="44"/>
      <c r="H1365" s="44"/>
      <c r="I1365" s="48"/>
      <c r="J1365" s="45"/>
      <c r="K1365" s="45"/>
      <c r="L1365" s="45"/>
    </row>
    <row r="1366" spans="1:12" ht="18" customHeight="1">
      <c r="A1366" s="43"/>
      <c r="B1366" s="44"/>
      <c r="C1366" s="44"/>
      <c r="D1366" s="85"/>
      <c r="E1366" s="44"/>
      <c r="F1366" s="44"/>
      <c r="G1366" s="44"/>
      <c r="H1366" s="44"/>
      <c r="I1366" s="48"/>
      <c r="J1366" s="45"/>
      <c r="K1366" s="45"/>
      <c r="L1366" s="45"/>
    </row>
    <row r="1367" spans="1:12" ht="18" customHeight="1">
      <c r="A1367" s="43"/>
      <c r="B1367" s="44"/>
      <c r="C1367" s="44"/>
      <c r="D1367" s="85"/>
      <c r="E1367" s="44"/>
      <c r="F1367" s="44"/>
      <c r="G1367" s="44"/>
      <c r="H1367" s="44"/>
      <c r="I1367" s="48"/>
      <c r="J1367" s="45"/>
      <c r="K1367" s="45"/>
      <c r="L1367" s="45"/>
    </row>
    <row r="1368" spans="1:12" ht="18" customHeight="1">
      <c r="A1368" s="43"/>
      <c r="B1368" s="44"/>
      <c r="C1368" s="44"/>
      <c r="D1368" s="85"/>
      <c r="E1368" s="44"/>
      <c r="F1368" s="44"/>
      <c r="G1368" s="44"/>
      <c r="H1368" s="44"/>
      <c r="I1368" s="48"/>
      <c r="J1368" s="45"/>
      <c r="K1368" s="45"/>
      <c r="L1368" s="45"/>
    </row>
    <row r="1369" spans="1:12" ht="18" customHeight="1">
      <c r="A1369" s="43"/>
      <c r="B1369" s="44"/>
      <c r="C1369" s="44"/>
      <c r="D1369" s="85"/>
      <c r="E1369" s="44"/>
      <c r="F1369" s="44"/>
      <c r="G1369" s="44"/>
      <c r="H1369" s="44"/>
      <c r="I1369" s="48"/>
      <c r="J1369" s="45"/>
      <c r="K1369" s="45"/>
      <c r="L1369" s="45"/>
    </row>
    <row r="1370" spans="1:12" ht="18" customHeight="1">
      <c r="A1370" s="43"/>
      <c r="B1370" s="44"/>
      <c r="C1370" s="44"/>
      <c r="D1370" s="85"/>
      <c r="E1370" s="44"/>
      <c r="F1370" s="44"/>
      <c r="G1370" s="44"/>
      <c r="H1370" s="44"/>
      <c r="I1370" s="48"/>
      <c r="J1370" s="45"/>
      <c r="K1370" s="45"/>
      <c r="L1370" s="45"/>
    </row>
    <row r="1371" spans="1:12" ht="18" customHeight="1">
      <c r="D1371" s="85"/>
      <c r="I1371" s="84"/>
      <c r="J1371" s="45"/>
      <c r="K1371" s="45"/>
      <c r="L1371" s="45">
        <v>42674</v>
      </c>
    </row>
    <row r="1372" spans="1:12" ht="18" customHeight="1">
      <c r="D1372" s="85"/>
      <c r="I1372" s="84"/>
      <c r="J1372" s="45"/>
      <c r="K1372" s="45"/>
      <c r="L1372" s="45">
        <v>42674</v>
      </c>
    </row>
    <row r="1373" spans="1:12" ht="18" customHeight="1">
      <c r="D1373" s="85"/>
      <c r="I1373" s="84"/>
      <c r="J1373" s="45"/>
      <c r="K1373" s="45"/>
      <c r="L1373" s="45">
        <v>42674</v>
      </c>
    </row>
    <row r="1374" spans="1:12" ht="18" customHeight="1">
      <c r="D1374" s="85"/>
      <c r="I1374" s="84"/>
      <c r="J1374" s="45"/>
      <c r="K1374" s="45"/>
      <c r="L1374" s="45">
        <v>42674</v>
      </c>
    </row>
    <row r="1375" spans="1:12" ht="18" customHeight="1">
      <c r="D1375" s="85"/>
      <c r="I1375" s="84"/>
      <c r="J1375" s="45"/>
      <c r="K1375" s="45"/>
      <c r="L1375" s="45">
        <v>42674</v>
      </c>
    </row>
    <row r="1376" spans="1:12" ht="18" customHeight="1">
      <c r="D1376" s="85"/>
      <c r="I1376" s="84"/>
      <c r="J1376" s="45"/>
      <c r="K1376" s="45"/>
      <c r="L1376" s="45">
        <v>42674</v>
      </c>
    </row>
    <row r="1377" spans="4:12" ht="18" customHeight="1">
      <c r="D1377" s="85"/>
      <c r="I1377" s="84"/>
      <c r="J1377" s="45"/>
      <c r="K1377" s="45"/>
      <c r="L1377" s="45">
        <v>42674</v>
      </c>
    </row>
    <row r="1378" spans="4:12" ht="18" customHeight="1">
      <c r="D1378" s="85"/>
      <c r="I1378" s="84"/>
      <c r="J1378" s="45"/>
      <c r="K1378" s="45"/>
      <c r="L1378" s="45">
        <v>42664</v>
      </c>
    </row>
    <row r="1379" spans="4:12" ht="18" customHeight="1">
      <c r="D1379" s="85"/>
      <c r="I1379" s="84"/>
      <c r="J1379" s="45"/>
      <c r="K1379" s="45"/>
      <c r="L1379" s="45"/>
    </row>
    <row r="1380" spans="4:12" ht="18" customHeight="1">
      <c r="D1380" s="85"/>
      <c r="I1380" s="84"/>
      <c r="J1380" s="45"/>
      <c r="K1380" s="45"/>
      <c r="L1380" s="45">
        <v>42662</v>
      </c>
    </row>
    <row r="1381" spans="4:12" ht="18" customHeight="1">
      <c r="D1381" s="85"/>
      <c r="I1381" s="84"/>
      <c r="J1381" s="45"/>
      <c r="K1381" s="45"/>
      <c r="L1381" s="45">
        <v>42674</v>
      </c>
    </row>
    <row r="1382" spans="4:12" ht="18" customHeight="1">
      <c r="D1382" s="85"/>
      <c r="I1382" s="84"/>
      <c r="J1382" s="45"/>
      <c r="K1382" s="45"/>
      <c r="L1382" s="45"/>
    </row>
    <row r="1383" spans="4:12" ht="18" customHeight="1">
      <c r="D1383" s="85"/>
      <c r="I1383" s="84"/>
      <c r="J1383" s="45"/>
      <c r="K1383" s="45"/>
      <c r="L1383" s="45">
        <v>42655</v>
      </c>
    </row>
    <row r="1384" spans="4:12" ht="18" customHeight="1">
      <c r="D1384" s="85"/>
      <c r="I1384" s="84"/>
      <c r="J1384" s="45"/>
      <c r="K1384" s="45"/>
      <c r="L1384" s="45">
        <v>42654</v>
      </c>
    </row>
    <row r="1385" spans="4:12" ht="18" customHeight="1">
      <c r="D1385" s="85"/>
      <c r="I1385" s="84"/>
      <c r="J1385" s="45"/>
      <c r="K1385" s="45"/>
      <c r="L1385" s="45">
        <v>42658</v>
      </c>
    </row>
    <row r="1386" spans="4:12" ht="18" customHeight="1">
      <c r="D1386" s="85"/>
      <c r="I1386" s="84"/>
      <c r="J1386" s="45"/>
      <c r="K1386" s="45"/>
      <c r="L1386" s="45">
        <v>42658</v>
      </c>
    </row>
    <row r="1387" spans="4:12" ht="18" customHeight="1">
      <c r="D1387" s="85"/>
      <c r="I1387" s="84"/>
      <c r="J1387" s="45"/>
      <c r="K1387" s="45"/>
      <c r="L1387" s="45"/>
    </row>
    <row r="1388" spans="4:12" ht="18" customHeight="1">
      <c r="D1388" s="85"/>
      <c r="I1388" s="84"/>
      <c r="J1388" s="45"/>
      <c r="K1388" s="45"/>
      <c r="L1388" s="45">
        <v>42672</v>
      </c>
    </row>
    <row r="1389" spans="4:12" ht="18" customHeight="1">
      <c r="D1389" s="85"/>
      <c r="I1389" s="84"/>
      <c r="J1389" s="45"/>
      <c r="K1389" s="45"/>
      <c r="L1389" s="45"/>
    </row>
    <row r="1390" spans="4:12" ht="18" customHeight="1">
      <c r="D1390" s="85"/>
      <c r="I1390" s="84"/>
      <c r="J1390" s="45"/>
      <c r="K1390" s="45"/>
      <c r="L1390" s="45">
        <v>42651</v>
      </c>
    </row>
    <row r="1391" spans="4:12" ht="18" customHeight="1">
      <c r="D1391" s="85"/>
      <c r="I1391" s="84"/>
      <c r="J1391" s="45"/>
      <c r="K1391" s="45"/>
      <c r="L1391" s="45">
        <v>42665</v>
      </c>
    </row>
    <row r="1392" spans="4:12" ht="18" customHeight="1">
      <c r="D1392" s="85"/>
      <c r="I1392" s="84"/>
      <c r="J1392" s="45"/>
      <c r="K1392" s="45"/>
      <c r="L1392" s="45">
        <v>42667</v>
      </c>
    </row>
    <row r="1393" spans="4:12" ht="18" customHeight="1">
      <c r="D1393" s="85"/>
      <c r="I1393" s="84"/>
      <c r="J1393" s="45"/>
      <c r="K1393" s="45"/>
      <c r="L1393" s="45"/>
    </row>
    <row r="1394" spans="4:12" ht="18" customHeight="1">
      <c r="D1394" s="85"/>
      <c r="I1394" s="84"/>
      <c r="J1394" s="45"/>
      <c r="K1394" s="45"/>
      <c r="L1394" s="45">
        <v>42674</v>
      </c>
    </row>
    <row r="1395" spans="4:12" ht="18" customHeight="1">
      <c r="D1395" s="85"/>
      <c r="I1395" s="84"/>
      <c r="J1395" s="45"/>
      <c r="K1395" s="45"/>
      <c r="L1395" s="45">
        <v>42661</v>
      </c>
    </row>
    <row r="1396" spans="4:12" ht="18" customHeight="1">
      <c r="D1396" s="85"/>
      <c r="I1396" s="84"/>
      <c r="J1396" s="45"/>
      <c r="K1396" s="45"/>
      <c r="L1396" s="45"/>
    </row>
    <row r="1397" spans="4:12" ht="18" customHeight="1">
      <c r="D1397" s="85"/>
      <c r="I1397" s="84"/>
      <c r="J1397" s="45"/>
      <c r="K1397" s="45"/>
      <c r="L1397" s="45"/>
    </row>
    <row r="1398" spans="4:12" ht="18" customHeight="1">
      <c r="D1398" s="85"/>
      <c r="I1398" s="84"/>
      <c r="J1398" s="45"/>
      <c r="K1398" s="45"/>
      <c r="L1398" s="45">
        <v>42674</v>
      </c>
    </row>
    <row r="1399" spans="4:12" ht="18" customHeight="1">
      <c r="D1399" s="85"/>
      <c r="I1399" s="84"/>
      <c r="J1399" s="45"/>
      <c r="K1399" s="45"/>
      <c r="L1399" s="45">
        <v>42667</v>
      </c>
    </row>
    <row r="1400" spans="4:12" ht="18" customHeight="1">
      <c r="D1400" s="85"/>
      <c r="I1400" s="84"/>
      <c r="J1400" s="45"/>
      <c r="K1400" s="45"/>
      <c r="L1400" s="45">
        <v>42661</v>
      </c>
    </row>
    <row r="1401" spans="4:12" ht="18" customHeight="1">
      <c r="D1401" s="85"/>
      <c r="I1401" s="84"/>
      <c r="J1401" s="45"/>
      <c r="K1401" s="45"/>
      <c r="L1401" s="45"/>
    </row>
    <row r="1402" spans="4:12" ht="18" customHeight="1">
      <c r="D1402" s="85"/>
      <c r="I1402" s="84"/>
      <c r="J1402" s="45"/>
      <c r="K1402" s="45"/>
      <c r="L1402" s="45">
        <v>42651</v>
      </c>
    </row>
    <row r="1403" spans="4:12" ht="18" customHeight="1">
      <c r="D1403" s="85"/>
      <c r="I1403" s="84"/>
      <c r="J1403" s="45"/>
      <c r="K1403" s="45"/>
      <c r="L1403" s="45">
        <v>42658</v>
      </c>
    </row>
    <row r="1404" spans="4:12" ht="18" customHeight="1">
      <c r="D1404" s="85"/>
      <c r="I1404" s="84"/>
      <c r="J1404" s="45"/>
      <c r="K1404" s="45"/>
      <c r="L1404" s="45">
        <v>42672</v>
      </c>
    </row>
    <row r="1405" spans="4:12" ht="18" customHeight="1">
      <c r="D1405" s="85"/>
      <c r="I1405" s="84"/>
      <c r="J1405" s="45"/>
      <c r="K1405" s="45"/>
      <c r="L1405" s="45">
        <v>42665</v>
      </c>
    </row>
    <row r="1406" spans="4:12" ht="18" customHeight="1">
      <c r="D1406" s="85"/>
      <c r="I1406" s="84"/>
      <c r="J1406" s="45"/>
      <c r="K1406" s="45"/>
      <c r="L1406" s="45">
        <v>42651</v>
      </c>
    </row>
    <row r="1407" spans="4:12" ht="18" customHeight="1">
      <c r="D1407" s="85"/>
      <c r="I1407" s="84"/>
      <c r="J1407" s="45"/>
      <c r="K1407" s="45"/>
      <c r="L1407" s="45">
        <v>42661</v>
      </c>
    </row>
    <row r="1408" spans="4:12" ht="18" customHeight="1">
      <c r="D1408" s="85"/>
      <c r="I1408" s="84"/>
      <c r="J1408" s="45"/>
      <c r="K1408" s="45"/>
      <c r="L1408" s="45">
        <v>42653</v>
      </c>
    </row>
    <row r="1409" spans="4:12" ht="18" customHeight="1">
      <c r="D1409" s="85"/>
      <c r="I1409" s="84"/>
      <c r="J1409" s="45"/>
      <c r="K1409" s="45"/>
      <c r="L1409" s="45">
        <v>42660</v>
      </c>
    </row>
    <row r="1410" spans="4:12" ht="18" customHeight="1">
      <c r="D1410" s="85"/>
      <c r="I1410" s="84"/>
      <c r="J1410" s="45"/>
      <c r="K1410" s="45"/>
      <c r="L1410" s="45">
        <v>42674</v>
      </c>
    </row>
    <row r="1411" spans="4:12" ht="18" customHeight="1">
      <c r="D1411" s="85"/>
      <c r="I1411" s="84"/>
      <c r="J1411" s="45"/>
      <c r="K1411" s="45"/>
      <c r="L1411" s="45">
        <v>42667</v>
      </c>
    </row>
    <row r="1412" spans="4:12" ht="18" customHeight="1">
      <c r="D1412" s="85"/>
      <c r="I1412" s="84"/>
      <c r="J1412" s="45"/>
      <c r="K1412" s="45"/>
      <c r="L1412" s="45"/>
    </row>
    <row r="1413" spans="4:12" ht="18" customHeight="1">
      <c r="D1413" s="85"/>
      <c r="I1413" s="84"/>
      <c r="J1413" s="45"/>
      <c r="K1413" s="45"/>
      <c r="L1413" s="45">
        <v>42665</v>
      </c>
    </row>
    <row r="1414" spans="4:12" ht="18" customHeight="1">
      <c r="D1414" s="85"/>
      <c r="I1414" s="84"/>
      <c r="J1414" s="45"/>
      <c r="K1414" s="45"/>
      <c r="L1414" s="45"/>
    </row>
    <row r="1415" spans="4:12" ht="18" customHeight="1">
      <c r="D1415" s="85"/>
      <c r="I1415" s="84"/>
      <c r="J1415" s="45"/>
      <c r="K1415" s="45"/>
      <c r="L1415" s="45">
        <v>42646</v>
      </c>
    </row>
    <row r="1416" spans="4:12" ht="18" customHeight="1">
      <c r="D1416" s="85"/>
      <c r="I1416" s="84"/>
      <c r="J1416" s="45"/>
      <c r="K1416" s="45"/>
      <c r="L1416" s="45"/>
    </row>
    <row r="1417" spans="4:12" ht="18" customHeight="1">
      <c r="D1417" s="85"/>
      <c r="I1417" s="84"/>
      <c r="J1417" s="45"/>
      <c r="K1417" s="45"/>
      <c r="L1417" s="45">
        <v>42668</v>
      </c>
    </row>
    <row r="1418" spans="4:12" ht="18" customHeight="1">
      <c r="D1418" s="85"/>
      <c r="I1418" s="84"/>
      <c r="J1418" s="45"/>
      <c r="K1418" s="45"/>
      <c r="L1418" s="45">
        <v>42668</v>
      </c>
    </row>
    <row r="1419" spans="4:12" ht="18" customHeight="1">
      <c r="D1419" s="85"/>
      <c r="I1419" s="84"/>
      <c r="J1419" s="45"/>
      <c r="K1419" s="45"/>
      <c r="L1419" s="45">
        <v>42660</v>
      </c>
    </row>
    <row r="1420" spans="4:12" ht="18" customHeight="1">
      <c r="D1420" s="85"/>
      <c r="I1420" s="84"/>
      <c r="J1420" s="45"/>
      <c r="K1420" s="45"/>
      <c r="L1420" s="45">
        <v>42660</v>
      </c>
    </row>
    <row r="1421" spans="4:12" ht="18" customHeight="1">
      <c r="D1421" s="85"/>
      <c r="I1421" s="84"/>
      <c r="J1421" s="45"/>
      <c r="K1421" s="45"/>
      <c r="L1421" s="45">
        <v>42646</v>
      </c>
    </row>
    <row r="1422" spans="4:12" ht="18" customHeight="1">
      <c r="D1422" s="85"/>
      <c r="I1422" s="84"/>
      <c r="J1422" s="45"/>
      <c r="K1422" s="45"/>
      <c r="L1422" s="45">
        <v>42660</v>
      </c>
    </row>
    <row r="1423" spans="4:12" ht="18" customHeight="1">
      <c r="D1423" s="85"/>
      <c r="I1423" s="84"/>
      <c r="J1423" s="45"/>
      <c r="K1423" s="45"/>
      <c r="L1423" s="45">
        <v>42674</v>
      </c>
    </row>
    <row r="1424" spans="4:12" ht="18" customHeight="1">
      <c r="D1424" s="85"/>
      <c r="I1424" s="84"/>
      <c r="J1424" s="45"/>
      <c r="K1424" s="45"/>
      <c r="L1424" s="45"/>
    </row>
    <row r="1425" spans="4:12" ht="18" customHeight="1">
      <c r="D1425" s="85"/>
      <c r="I1425" s="84"/>
      <c r="J1425" s="45"/>
      <c r="K1425" s="45"/>
      <c r="L1425" s="45"/>
    </row>
    <row r="1426" spans="4:12" ht="18" customHeight="1">
      <c r="D1426" s="85"/>
      <c r="I1426" s="84"/>
      <c r="J1426" s="45"/>
      <c r="K1426" s="45"/>
      <c r="L1426" s="45">
        <v>42674</v>
      </c>
    </row>
    <row r="1427" spans="4:12" ht="18" customHeight="1">
      <c r="D1427" s="85"/>
      <c r="I1427" s="84"/>
      <c r="J1427" s="45"/>
      <c r="K1427" s="45"/>
      <c r="L1427" s="45">
        <v>42674</v>
      </c>
    </row>
    <row r="1428" spans="4:12" ht="18" customHeight="1">
      <c r="D1428" s="85"/>
      <c r="I1428" s="84"/>
      <c r="J1428" s="45"/>
      <c r="K1428" s="45"/>
      <c r="L1428" s="45"/>
    </row>
    <row r="1429" spans="4:12" ht="18" customHeight="1">
      <c r="D1429" s="85"/>
      <c r="I1429" s="84"/>
      <c r="J1429" s="45"/>
      <c r="K1429" s="45"/>
      <c r="L1429" s="45">
        <v>42674</v>
      </c>
    </row>
    <row r="1430" spans="4:12" ht="18" customHeight="1">
      <c r="D1430" s="85"/>
      <c r="I1430" s="84"/>
      <c r="J1430" s="45"/>
      <c r="K1430" s="45"/>
      <c r="L1430" s="45">
        <v>42674</v>
      </c>
    </row>
    <row r="1431" spans="4:12" ht="18" customHeight="1">
      <c r="D1431" s="85"/>
      <c r="I1431" s="84"/>
      <c r="J1431" s="45"/>
      <c r="K1431" s="45"/>
      <c r="L1431" s="45">
        <v>42674</v>
      </c>
    </row>
    <row r="1432" spans="4:12" ht="18" customHeight="1">
      <c r="D1432" s="85"/>
      <c r="I1432" s="84"/>
      <c r="J1432" s="45"/>
      <c r="K1432" s="45"/>
      <c r="L1432" s="45">
        <v>42674</v>
      </c>
    </row>
    <row r="1433" spans="4:12" ht="18" customHeight="1">
      <c r="D1433" s="85"/>
      <c r="I1433" s="84"/>
      <c r="J1433" s="45"/>
      <c r="K1433" s="45"/>
      <c r="L1433" s="45">
        <v>42674</v>
      </c>
    </row>
    <row r="1434" spans="4:12" ht="18" customHeight="1">
      <c r="D1434" s="85"/>
      <c r="I1434" s="84"/>
      <c r="J1434" s="45"/>
      <c r="K1434" s="45"/>
      <c r="L1434" s="45">
        <v>42674</v>
      </c>
    </row>
    <row r="1435" spans="4:12" ht="18" customHeight="1">
      <c r="D1435" s="85"/>
      <c r="I1435" s="84"/>
      <c r="J1435" s="45"/>
      <c r="K1435" s="45"/>
      <c r="L1435" s="45">
        <v>42674</v>
      </c>
    </row>
    <row r="1436" spans="4:12" ht="18" customHeight="1">
      <c r="D1436" s="85"/>
      <c r="I1436" s="84"/>
      <c r="J1436" s="45"/>
      <c r="K1436" s="45"/>
      <c r="L1436" s="45">
        <v>42674</v>
      </c>
    </row>
    <row r="1437" spans="4:12" ht="18" customHeight="1">
      <c r="D1437" s="85"/>
      <c r="I1437" s="84"/>
      <c r="J1437" s="45"/>
      <c r="K1437" s="45"/>
      <c r="L1437" s="45">
        <v>42674</v>
      </c>
    </row>
    <row r="1438" spans="4:12" ht="18" customHeight="1">
      <c r="D1438" s="85"/>
      <c r="I1438" s="84"/>
      <c r="J1438" s="45"/>
      <c r="K1438" s="45"/>
      <c r="L1438" s="45">
        <v>42674</v>
      </c>
    </row>
    <row r="1439" spans="4:12" ht="18" customHeight="1">
      <c r="D1439" s="85"/>
      <c r="I1439" s="84"/>
      <c r="J1439" s="45"/>
      <c r="K1439" s="45"/>
      <c r="L1439" s="45">
        <v>42674</v>
      </c>
    </row>
    <row r="1440" spans="4:12" ht="18" customHeight="1">
      <c r="D1440" s="85"/>
      <c r="I1440" s="84"/>
      <c r="J1440" s="45"/>
      <c r="K1440" s="45"/>
      <c r="L1440" s="45">
        <v>42674</v>
      </c>
    </row>
    <row r="1441" spans="4:12" ht="18" customHeight="1">
      <c r="D1441" s="85"/>
      <c r="I1441" s="84"/>
      <c r="J1441" s="45"/>
      <c r="K1441" s="45"/>
      <c r="L1441" s="45">
        <v>42674</v>
      </c>
    </row>
    <row r="1442" spans="4:12" ht="18" customHeight="1">
      <c r="D1442" s="85"/>
      <c r="I1442" s="84"/>
      <c r="J1442" s="45"/>
      <c r="K1442" s="45"/>
      <c r="L1442" s="45">
        <v>42674</v>
      </c>
    </row>
    <row r="1443" spans="4:12" ht="18" customHeight="1">
      <c r="D1443" s="85"/>
      <c r="I1443" s="84"/>
      <c r="J1443" s="45"/>
      <c r="K1443" s="45"/>
      <c r="L1443" s="45">
        <v>42674</v>
      </c>
    </row>
    <row r="1444" spans="4:12" ht="18" customHeight="1">
      <c r="D1444" s="85"/>
      <c r="I1444" s="84"/>
      <c r="J1444" s="45"/>
      <c r="K1444" s="45"/>
      <c r="L1444" s="45">
        <v>42670</v>
      </c>
    </row>
    <row r="1445" spans="4:12" ht="18" customHeight="1">
      <c r="D1445" s="85"/>
      <c r="I1445" s="84"/>
      <c r="J1445" s="45"/>
      <c r="K1445" s="45"/>
      <c r="L1445" s="45">
        <v>42670</v>
      </c>
    </row>
    <row r="1446" spans="4:12" ht="18" customHeight="1">
      <c r="D1446" s="85"/>
      <c r="I1446" s="84"/>
      <c r="J1446" s="45"/>
      <c r="K1446" s="45"/>
      <c r="L1446" s="45">
        <v>42670</v>
      </c>
    </row>
    <row r="1447" spans="4:12" ht="18" customHeight="1">
      <c r="D1447" s="85"/>
      <c r="I1447" s="84"/>
      <c r="J1447" s="45"/>
      <c r="K1447" s="45"/>
      <c r="L1447" s="45">
        <v>42674</v>
      </c>
    </row>
    <row r="1448" spans="4:12" ht="18" customHeight="1">
      <c r="D1448" s="85"/>
      <c r="I1448" s="84"/>
      <c r="J1448" s="45"/>
      <c r="K1448" s="45"/>
      <c r="L1448" s="45">
        <v>42674</v>
      </c>
    </row>
    <row r="1449" spans="4:12" ht="18" customHeight="1">
      <c r="D1449" s="85"/>
      <c r="I1449" s="84"/>
      <c r="J1449" s="45"/>
      <c r="K1449" s="45"/>
      <c r="L1449" s="45">
        <v>42670</v>
      </c>
    </row>
    <row r="1450" spans="4:12" ht="18" customHeight="1">
      <c r="D1450" s="85"/>
      <c r="I1450" s="84"/>
      <c r="J1450" s="45"/>
      <c r="K1450" s="45"/>
      <c r="L1450" s="45">
        <v>42674</v>
      </c>
    </row>
    <row r="1451" spans="4:12" ht="18" customHeight="1">
      <c r="D1451" s="85"/>
      <c r="I1451" s="84"/>
      <c r="J1451" s="45"/>
      <c r="K1451" s="45"/>
      <c r="L1451" s="45">
        <v>42674</v>
      </c>
    </row>
    <row r="1452" spans="4:12" ht="18" customHeight="1">
      <c r="D1452" s="85"/>
      <c r="I1452" s="84"/>
      <c r="J1452" s="45"/>
      <c r="K1452" s="45"/>
      <c r="L1452" s="45">
        <v>42674</v>
      </c>
    </row>
    <row r="1453" spans="4:12" ht="18" customHeight="1">
      <c r="D1453" s="85"/>
      <c r="I1453" s="84"/>
      <c r="J1453" s="45"/>
      <c r="K1453" s="45"/>
      <c r="L1453" s="45">
        <v>42674</v>
      </c>
    </row>
    <row r="1454" spans="4:12" ht="18" customHeight="1">
      <c r="D1454" s="85"/>
      <c r="I1454" s="84"/>
      <c r="J1454" s="45"/>
      <c r="K1454" s="45"/>
      <c r="L1454" s="45">
        <v>42674</v>
      </c>
    </row>
    <row r="1455" spans="4:12" ht="18" customHeight="1">
      <c r="D1455" s="85"/>
      <c r="I1455" s="84"/>
      <c r="J1455" s="45"/>
      <c r="K1455" s="45"/>
      <c r="L1455" s="45"/>
    </row>
    <row r="1456" spans="4:12" ht="18" customHeight="1">
      <c r="D1456" s="85"/>
      <c r="I1456" s="84"/>
      <c r="J1456" s="45"/>
      <c r="K1456" s="45"/>
      <c r="L1456" s="45">
        <v>42674</v>
      </c>
    </row>
    <row r="1457" spans="1:12" ht="18" customHeight="1">
      <c r="D1457" s="85"/>
      <c r="I1457" s="84"/>
      <c r="J1457" s="45"/>
      <c r="K1457" s="45"/>
      <c r="L1457" s="45">
        <v>42674</v>
      </c>
    </row>
    <row r="1458" spans="1:12" ht="18" customHeight="1">
      <c r="A1458" s="43"/>
      <c r="B1458" s="44"/>
      <c r="C1458" s="44"/>
      <c r="D1458" s="85"/>
      <c r="E1458" s="44"/>
      <c r="F1458" s="44"/>
      <c r="G1458" s="44"/>
      <c r="H1458" s="44"/>
      <c r="I1458" s="44"/>
      <c r="J1458" s="45"/>
      <c r="K1458" s="45"/>
      <c r="L1458" s="45"/>
    </row>
    <row r="1459" spans="1:12" ht="18" customHeight="1">
      <c r="A1459" s="43"/>
      <c r="B1459" s="44"/>
      <c r="C1459" s="44"/>
      <c r="D1459" s="85"/>
      <c r="E1459" s="44"/>
      <c r="F1459" s="44"/>
      <c r="G1459" s="44"/>
      <c r="H1459" s="44"/>
      <c r="I1459" s="44"/>
      <c r="J1459" s="45"/>
      <c r="K1459" s="45"/>
      <c r="L1459" s="45"/>
    </row>
    <row r="1460" spans="1:12" ht="18" customHeight="1">
      <c r="A1460" s="43"/>
      <c r="B1460" s="44"/>
      <c r="C1460" s="44"/>
      <c r="D1460" s="85"/>
      <c r="E1460" s="44"/>
      <c r="F1460" s="44"/>
      <c r="G1460" s="44"/>
      <c r="H1460" s="44"/>
      <c r="I1460" s="44"/>
      <c r="J1460" s="45"/>
      <c r="K1460" s="45"/>
      <c r="L1460" s="45"/>
    </row>
    <row r="1461" spans="1:12" ht="18" customHeight="1">
      <c r="A1461" s="43"/>
      <c r="B1461" s="44"/>
      <c r="C1461" s="44"/>
      <c r="D1461" s="85"/>
      <c r="E1461" s="44"/>
      <c r="F1461" s="44"/>
      <c r="G1461" s="44"/>
      <c r="H1461" s="44"/>
      <c r="I1461" s="44"/>
      <c r="J1461" s="45"/>
      <c r="K1461" s="45"/>
      <c r="L1461" s="45"/>
    </row>
    <row r="1462" spans="1:12" ht="18" customHeight="1">
      <c r="A1462" s="43"/>
      <c r="B1462" s="44"/>
      <c r="C1462" s="44"/>
      <c r="D1462" s="85"/>
      <c r="E1462" s="44"/>
      <c r="F1462" s="44"/>
      <c r="G1462" s="44"/>
      <c r="H1462" s="44"/>
      <c r="I1462" s="44"/>
      <c r="J1462" s="45"/>
      <c r="K1462" s="45"/>
      <c r="L1462" s="45"/>
    </row>
    <row r="1463" spans="1:12" ht="18" customHeight="1">
      <c r="A1463" s="43"/>
      <c r="B1463" s="44"/>
      <c r="C1463" s="44"/>
      <c r="D1463" s="85"/>
      <c r="E1463" s="44"/>
      <c r="F1463" s="44"/>
      <c r="G1463" s="44"/>
      <c r="H1463" s="44"/>
      <c r="I1463" s="44"/>
      <c r="J1463" s="45"/>
      <c r="K1463" s="45"/>
      <c r="L1463" s="45"/>
    </row>
    <row r="1464" spans="1:12" ht="18" customHeight="1">
      <c r="A1464" s="43"/>
      <c r="B1464" s="44"/>
      <c r="C1464" s="44"/>
      <c r="D1464" s="85"/>
      <c r="E1464" s="44"/>
      <c r="F1464" s="44"/>
      <c r="G1464" s="44"/>
      <c r="H1464" s="44"/>
      <c r="I1464" s="44"/>
      <c r="J1464" s="45"/>
      <c r="K1464" s="45"/>
      <c r="L1464" s="45"/>
    </row>
    <row r="1465" spans="1:12" ht="18" customHeight="1">
      <c r="A1465" s="43"/>
      <c r="B1465" s="44"/>
      <c r="C1465" s="44"/>
      <c r="D1465" s="85"/>
      <c r="E1465" s="44"/>
      <c r="F1465" s="44"/>
      <c r="G1465" s="44"/>
      <c r="H1465" s="44"/>
      <c r="I1465" s="44"/>
      <c r="J1465" s="45"/>
      <c r="K1465" s="45"/>
      <c r="L1465" s="45"/>
    </row>
    <row r="1466" spans="1:12" ht="18" customHeight="1">
      <c r="A1466" s="43"/>
      <c r="B1466" s="44"/>
      <c r="C1466" s="44"/>
      <c r="D1466" s="85"/>
      <c r="E1466" s="44"/>
      <c r="F1466" s="44"/>
      <c r="G1466" s="44"/>
      <c r="H1466" s="44"/>
      <c r="I1466" s="44"/>
      <c r="J1466" s="45"/>
      <c r="K1466" s="45"/>
      <c r="L1466" s="45"/>
    </row>
    <row r="1467" spans="1:12" ht="18" customHeight="1">
      <c r="A1467" s="43"/>
      <c r="B1467" s="44"/>
      <c r="C1467" s="44"/>
      <c r="D1467" s="85"/>
      <c r="E1467" s="44"/>
      <c r="F1467" s="44"/>
      <c r="G1467" s="44"/>
      <c r="H1467" s="44"/>
      <c r="I1467" s="44"/>
      <c r="J1467" s="45"/>
      <c r="K1467" s="45"/>
      <c r="L1467" s="45"/>
    </row>
    <row r="1468" spans="1:12" ht="18" customHeight="1">
      <c r="A1468" s="43"/>
      <c r="B1468" s="44"/>
      <c r="C1468" s="44"/>
      <c r="D1468" s="85"/>
      <c r="E1468" s="44"/>
      <c r="F1468" s="44"/>
      <c r="G1468" s="44"/>
      <c r="H1468" s="44"/>
      <c r="I1468" s="44"/>
      <c r="J1468" s="45"/>
      <c r="K1468" s="45"/>
      <c r="L1468" s="45"/>
    </row>
    <row r="1469" spans="1:12" ht="18" customHeight="1">
      <c r="A1469" s="43"/>
      <c r="B1469" s="44"/>
      <c r="C1469" s="44"/>
      <c r="D1469" s="85"/>
      <c r="E1469" s="44"/>
      <c r="F1469" s="44"/>
      <c r="G1469" s="44"/>
      <c r="H1469" s="44"/>
      <c r="I1469" s="44"/>
      <c r="J1469" s="45"/>
      <c r="K1469" s="45"/>
      <c r="L1469" s="45"/>
    </row>
    <row r="1470" spans="1:12" ht="18" customHeight="1">
      <c r="A1470" s="43"/>
      <c r="B1470" s="44"/>
      <c r="C1470" s="44"/>
      <c r="D1470" s="85"/>
      <c r="E1470" s="44"/>
      <c r="F1470" s="44"/>
      <c r="G1470" s="44"/>
      <c r="H1470" s="44"/>
      <c r="I1470" s="44"/>
      <c r="J1470" s="45"/>
      <c r="K1470" s="45"/>
      <c r="L1470" s="45"/>
    </row>
    <row r="1471" spans="1:12" ht="18" customHeight="1">
      <c r="A1471" s="43"/>
      <c r="B1471" s="44"/>
      <c r="C1471" s="44"/>
      <c r="D1471" s="85"/>
      <c r="E1471" s="44"/>
      <c r="F1471" s="44"/>
      <c r="G1471" s="44"/>
      <c r="H1471" s="44"/>
      <c r="I1471" s="44"/>
      <c r="J1471" s="45"/>
      <c r="K1471" s="45"/>
      <c r="L1471" s="45"/>
    </row>
    <row r="1472" spans="1:12" ht="18" customHeight="1">
      <c r="A1472" s="43"/>
      <c r="B1472" s="44"/>
      <c r="C1472" s="44"/>
      <c r="D1472" s="85"/>
      <c r="E1472" s="44"/>
      <c r="F1472" s="44"/>
      <c r="G1472" s="44"/>
      <c r="H1472" s="44"/>
      <c r="I1472" s="44"/>
      <c r="J1472" s="45"/>
      <c r="K1472" s="45"/>
      <c r="L1472" s="45"/>
    </row>
    <row r="1473" spans="1:12" ht="18" customHeight="1">
      <c r="A1473" s="43"/>
      <c r="B1473" s="44"/>
      <c r="C1473" s="44"/>
      <c r="D1473" s="85"/>
      <c r="E1473" s="44"/>
      <c r="F1473" s="44"/>
      <c r="G1473" s="44"/>
      <c r="H1473" s="44"/>
      <c r="I1473" s="44"/>
      <c r="J1473" s="45"/>
      <c r="K1473" s="45"/>
      <c r="L1473" s="45"/>
    </row>
    <row r="1474" spans="1:12" ht="18" customHeight="1">
      <c r="A1474" s="43"/>
      <c r="B1474" s="44"/>
      <c r="C1474" s="44"/>
      <c r="D1474" s="85"/>
      <c r="E1474" s="44"/>
      <c r="F1474" s="44"/>
      <c r="G1474" s="44"/>
      <c r="H1474" s="44"/>
      <c r="I1474" s="44"/>
      <c r="J1474" s="45"/>
      <c r="K1474" s="45"/>
      <c r="L1474" s="45"/>
    </row>
    <row r="1475" spans="1:12" ht="18" customHeight="1">
      <c r="A1475" s="43"/>
      <c r="B1475" s="44"/>
      <c r="C1475" s="44"/>
      <c r="D1475" s="85"/>
      <c r="E1475" s="44"/>
      <c r="F1475" s="44"/>
      <c r="G1475" s="44"/>
      <c r="H1475" s="44"/>
      <c r="I1475" s="44"/>
      <c r="J1475" s="45"/>
      <c r="K1475" s="45"/>
      <c r="L1475" s="45"/>
    </row>
    <row r="1476" spans="1:12" ht="18" customHeight="1">
      <c r="A1476" s="43"/>
      <c r="B1476" s="44"/>
      <c r="C1476" s="44"/>
      <c r="D1476" s="85"/>
      <c r="E1476" s="44"/>
      <c r="F1476" s="44"/>
      <c r="G1476" s="44"/>
      <c r="H1476" s="44"/>
      <c r="I1476" s="44"/>
      <c r="J1476" s="45"/>
      <c r="K1476" s="45"/>
      <c r="L1476" s="45"/>
    </row>
    <row r="1477" spans="1:12" ht="18" customHeight="1">
      <c r="A1477" s="43"/>
      <c r="B1477" s="44"/>
      <c r="C1477" s="44"/>
      <c r="D1477" s="85"/>
      <c r="E1477" s="44"/>
      <c r="F1477" s="44"/>
      <c r="G1477" s="44"/>
      <c r="H1477" s="44"/>
      <c r="I1477" s="44"/>
      <c r="J1477" s="45"/>
      <c r="K1477" s="45"/>
      <c r="L1477" s="45"/>
    </row>
    <row r="1478" spans="1:12" ht="18" customHeight="1">
      <c r="A1478" s="43"/>
      <c r="B1478" s="44"/>
      <c r="C1478" s="44"/>
      <c r="D1478" s="85"/>
      <c r="E1478" s="44"/>
      <c r="F1478" s="44"/>
      <c r="G1478" s="44"/>
      <c r="H1478" s="44"/>
      <c r="I1478" s="44"/>
      <c r="J1478" s="45"/>
      <c r="K1478" s="45"/>
      <c r="L1478" s="45"/>
    </row>
    <row r="1479" spans="1:12" ht="18" customHeight="1">
      <c r="A1479" s="43"/>
      <c r="B1479" s="44"/>
      <c r="C1479" s="44"/>
      <c r="D1479" s="85"/>
      <c r="E1479" s="44"/>
      <c r="F1479" s="44"/>
      <c r="G1479" s="44"/>
      <c r="H1479" s="44"/>
      <c r="I1479" s="44"/>
      <c r="J1479" s="45"/>
      <c r="K1479" s="45"/>
      <c r="L1479" s="45"/>
    </row>
    <row r="1480" spans="1:12" ht="18" customHeight="1">
      <c r="A1480" s="43"/>
      <c r="B1480" s="44"/>
      <c r="C1480" s="44"/>
      <c r="D1480" s="85"/>
      <c r="E1480" s="44"/>
      <c r="F1480" s="44"/>
      <c r="G1480" s="44"/>
      <c r="H1480" s="44"/>
      <c r="I1480" s="44"/>
      <c r="J1480" s="45"/>
      <c r="K1480" s="45"/>
      <c r="L1480" s="45"/>
    </row>
    <row r="1481" spans="1:12" ht="18" customHeight="1">
      <c r="A1481" s="43"/>
      <c r="B1481" s="44"/>
      <c r="C1481" s="44"/>
      <c r="D1481" s="85"/>
      <c r="E1481" s="44"/>
      <c r="F1481" s="44"/>
      <c r="G1481" s="44"/>
      <c r="H1481" s="44"/>
      <c r="I1481" s="44"/>
      <c r="J1481" s="45"/>
      <c r="K1481" s="45"/>
      <c r="L1481" s="45"/>
    </row>
    <row r="1482" spans="1:12" ht="18" customHeight="1">
      <c r="A1482" s="43"/>
      <c r="B1482" s="44"/>
      <c r="C1482" s="44"/>
      <c r="D1482" s="85"/>
      <c r="E1482" s="44"/>
      <c r="F1482" s="44"/>
      <c r="G1482" s="44"/>
      <c r="H1482" s="44"/>
      <c r="I1482" s="44"/>
      <c r="J1482" s="45"/>
      <c r="K1482" s="45"/>
      <c r="L1482" s="45"/>
    </row>
    <row r="1483" spans="1:12" ht="18" customHeight="1">
      <c r="A1483" s="43"/>
      <c r="B1483" s="44"/>
      <c r="C1483" s="44"/>
      <c r="D1483" s="85"/>
      <c r="E1483" s="44"/>
      <c r="F1483" s="44"/>
      <c r="G1483" s="44"/>
      <c r="H1483" s="44"/>
      <c r="I1483" s="44"/>
      <c r="J1483" s="45"/>
      <c r="K1483" s="45"/>
      <c r="L1483" s="45"/>
    </row>
    <row r="1484" spans="1:12" ht="18" customHeight="1">
      <c r="A1484" s="43"/>
      <c r="B1484" s="44"/>
      <c r="C1484" s="44"/>
      <c r="D1484" s="85"/>
      <c r="E1484" s="44"/>
      <c r="F1484" s="44"/>
      <c r="G1484" s="44"/>
      <c r="H1484" s="44"/>
      <c r="I1484" s="44"/>
      <c r="J1484" s="45"/>
      <c r="K1484" s="45"/>
      <c r="L1484" s="45"/>
    </row>
    <row r="1485" spans="1:12" ht="18" customHeight="1">
      <c r="A1485" s="43"/>
      <c r="B1485" s="44"/>
      <c r="C1485" s="44"/>
      <c r="D1485" s="85"/>
      <c r="E1485" s="44"/>
      <c r="F1485" s="44"/>
      <c r="G1485" s="44"/>
      <c r="H1485" s="44"/>
      <c r="I1485" s="44"/>
      <c r="J1485" s="45"/>
      <c r="K1485" s="45"/>
      <c r="L1485" s="45"/>
    </row>
    <row r="1486" spans="1:12" ht="18" customHeight="1">
      <c r="A1486" s="43"/>
      <c r="B1486" s="44"/>
      <c r="C1486" s="44"/>
      <c r="D1486" s="85"/>
      <c r="E1486" s="44"/>
      <c r="F1486" s="44"/>
      <c r="G1486" s="44"/>
      <c r="H1486" s="44"/>
      <c r="I1486" s="44"/>
      <c r="J1486" s="45"/>
      <c r="K1486" s="45"/>
      <c r="L1486" s="45"/>
    </row>
    <row r="1487" spans="1:12" ht="18" customHeight="1">
      <c r="A1487" s="43"/>
      <c r="B1487" s="44"/>
      <c r="C1487" s="44"/>
      <c r="D1487" s="85"/>
      <c r="E1487" s="44"/>
      <c r="F1487" s="44"/>
      <c r="G1487" s="44"/>
      <c r="H1487" s="44"/>
      <c r="I1487" s="44"/>
      <c r="J1487" s="45"/>
      <c r="K1487" s="45"/>
      <c r="L1487" s="45"/>
    </row>
    <row r="1488" spans="1:12" ht="18" customHeight="1">
      <c r="A1488" s="43"/>
      <c r="B1488" s="44"/>
      <c r="C1488" s="44"/>
      <c r="D1488" s="85"/>
      <c r="E1488" s="44"/>
      <c r="F1488" s="44"/>
      <c r="G1488" s="44"/>
      <c r="H1488" s="44"/>
      <c r="I1488" s="44"/>
      <c r="J1488" s="45"/>
      <c r="K1488" s="45"/>
      <c r="L1488" s="45"/>
    </row>
    <row r="1489" spans="1:12" ht="18" customHeight="1">
      <c r="A1489" s="43"/>
      <c r="B1489" s="44"/>
      <c r="C1489" s="44"/>
      <c r="D1489" s="85"/>
      <c r="E1489" s="44"/>
      <c r="F1489" s="44"/>
      <c r="G1489" s="44"/>
      <c r="H1489" s="44"/>
      <c r="I1489" s="44"/>
      <c r="J1489" s="45"/>
      <c r="K1489" s="45"/>
      <c r="L1489" s="45"/>
    </row>
    <row r="1490" spans="1:12" ht="18" customHeight="1">
      <c r="A1490" s="43"/>
      <c r="B1490" s="44"/>
      <c r="C1490" s="44"/>
      <c r="D1490" s="85"/>
      <c r="E1490" s="44"/>
      <c r="F1490" s="44"/>
      <c r="G1490" s="44"/>
      <c r="H1490" s="44"/>
      <c r="I1490" s="44"/>
      <c r="J1490" s="45"/>
      <c r="K1490" s="45"/>
      <c r="L1490" s="45"/>
    </row>
    <row r="1491" spans="1:12" ht="18" customHeight="1">
      <c r="A1491" s="43"/>
      <c r="B1491" s="44"/>
      <c r="C1491" s="44"/>
      <c r="D1491" s="85"/>
      <c r="E1491" s="44"/>
      <c r="F1491" s="44"/>
      <c r="G1491" s="44"/>
      <c r="H1491" s="44"/>
      <c r="I1491" s="44"/>
      <c r="J1491" s="45"/>
      <c r="K1491" s="45"/>
      <c r="L1491" s="45"/>
    </row>
    <row r="1492" spans="1:12" ht="18" customHeight="1">
      <c r="A1492" s="43"/>
      <c r="B1492" s="44"/>
      <c r="C1492" s="44"/>
      <c r="D1492" s="44"/>
      <c r="E1492" s="44"/>
      <c r="F1492" s="44"/>
      <c r="G1492" s="44"/>
      <c r="H1492" s="44"/>
      <c r="I1492" s="48"/>
      <c r="J1492" s="45"/>
      <c r="K1492" s="45"/>
      <c r="L1492" s="45"/>
    </row>
    <row r="1493" spans="1:12" ht="18" customHeight="1">
      <c r="A1493" s="43"/>
      <c r="B1493" s="44"/>
      <c r="C1493" s="44"/>
      <c r="D1493" s="44"/>
      <c r="E1493" s="44"/>
      <c r="F1493" s="44"/>
      <c r="G1493" s="44"/>
      <c r="H1493" s="44"/>
      <c r="I1493" s="48"/>
      <c r="J1493" s="45"/>
      <c r="K1493" s="45"/>
      <c r="L1493" s="45"/>
    </row>
    <row r="1494" spans="1:12" ht="18" customHeight="1">
      <c r="A1494" s="43"/>
      <c r="B1494" s="44"/>
      <c r="C1494" s="44"/>
      <c r="D1494" s="44"/>
      <c r="E1494" s="44"/>
      <c r="F1494" s="44"/>
      <c r="G1494" s="44"/>
      <c r="H1494" s="44"/>
      <c r="I1494" s="48"/>
      <c r="J1494" s="45"/>
      <c r="K1494" s="45"/>
      <c r="L1494" s="45"/>
    </row>
    <row r="1495" spans="1:12" ht="18" customHeight="1">
      <c r="A1495" s="43"/>
      <c r="B1495" s="44"/>
      <c r="C1495" s="44"/>
      <c r="D1495" s="44"/>
      <c r="E1495" s="44"/>
      <c r="F1495" s="44"/>
      <c r="G1495" s="44"/>
      <c r="H1495" s="44"/>
      <c r="I1495" s="48"/>
      <c r="J1495" s="45"/>
      <c r="K1495" s="45"/>
      <c r="L1495" s="45"/>
    </row>
    <row r="1496" spans="1:12" ht="18" customHeight="1">
      <c r="A1496" s="43"/>
      <c r="B1496" s="44"/>
      <c r="C1496" s="44"/>
      <c r="D1496" s="44"/>
      <c r="E1496" s="44"/>
      <c r="F1496" s="44"/>
      <c r="G1496" s="44"/>
      <c r="H1496" s="44"/>
      <c r="I1496" s="48"/>
      <c r="J1496" s="45"/>
      <c r="K1496" s="45"/>
      <c r="L1496" s="45"/>
    </row>
    <row r="1497" spans="1:12" ht="18" customHeight="1">
      <c r="A1497" s="43"/>
      <c r="B1497" s="44"/>
      <c r="C1497" s="44"/>
      <c r="D1497" s="44"/>
      <c r="E1497" s="44"/>
      <c r="F1497" s="44"/>
      <c r="G1497" s="44"/>
      <c r="H1497" s="44"/>
      <c r="I1497" s="48"/>
      <c r="J1497" s="45"/>
      <c r="K1497" s="45"/>
      <c r="L1497" s="45"/>
    </row>
    <row r="1498" spans="1:12" ht="18" customHeight="1">
      <c r="A1498" s="43"/>
      <c r="B1498" s="44"/>
      <c r="C1498" s="44"/>
      <c r="D1498" s="44"/>
      <c r="E1498" s="44"/>
      <c r="F1498" s="44"/>
      <c r="G1498" s="44"/>
      <c r="H1498" s="44"/>
      <c r="I1498" s="48"/>
      <c r="J1498" s="45"/>
      <c r="K1498" s="45"/>
      <c r="L1498" s="45"/>
    </row>
    <row r="1499" spans="1:12" ht="18" customHeight="1">
      <c r="A1499" s="43"/>
      <c r="B1499" s="44"/>
      <c r="C1499" s="44"/>
      <c r="D1499" s="44"/>
      <c r="E1499" s="44"/>
      <c r="F1499" s="44"/>
      <c r="G1499" s="44"/>
      <c r="H1499" s="44"/>
      <c r="I1499" s="48"/>
      <c r="J1499" s="45"/>
      <c r="K1499" s="45"/>
      <c r="L1499" s="45"/>
    </row>
    <row r="1500" spans="1:12" ht="18" customHeight="1">
      <c r="A1500" s="43"/>
      <c r="B1500" s="44"/>
      <c r="C1500" s="44"/>
      <c r="D1500" s="44"/>
      <c r="E1500" s="44"/>
      <c r="F1500" s="44"/>
      <c r="G1500" s="44"/>
      <c r="H1500" s="44"/>
      <c r="I1500" s="48"/>
      <c r="J1500" s="45"/>
      <c r="K1500" s="45"/>
      <c r="L1500" s="45"/>
    </row>
    <row r="1501" spans="1:12" ht="18" customHeight="1">
      <c r="A1501" s="43"/>
      <c r="B1501" s="44"/>
      <c r="C1501" s="44"/>
      <c r="D1501" s="44"/>
      <c r="E1501" s="44"/>
      <c r="F1501" s="44"/>
      <c r="G1501" s="44"/>
      <c r="H1501" s="44"/>
      <c r="I1501" s="48"/>
      <c r="J1501" s="45"/>
      <c r="K1501" s="45"/>
      <c r="L1501" s="45"/>
    </row>
    <row r="1502" spans="1:12" ht="18" customHeight="1">
      <c r="A1502" s="43"/>
      <c r="B1502" s="44"/>
      <c r="C1502" s="44"/>
      <c r="D1502" s="44"/>
      <c r="E1502" s="44"/>
      <c r="F1502" s="44"/>
      <c r="G1502" s="44"/>
      <c r="H1502" s="44"/>
      <c r="I1502" s="48"/>
      <c r="J1502" s="45"/>
      <c r="K1502" s="45"/>
      <c r="L1502" s="45"/>
    </row>
    <row r="1503" spans="1:12" ht="18" customHeight="1">
      <c r="A1503" s="43"/>
      <c r="B1503" s="44"/>
      <c r="C1503" s="44"/>
      <c r="D1503" s="44"/>
      <c r="E1503" s="44"/>
      <c r="F1503" s="44"/>
      <c r="G1503" s="44"/>
      <c r="H1503" s="44"/>
      <c r="I1503" s="48"/>
      <c r="J1503" s="45"/>
      <c r="K1503" s="45"/>
      <c r="L1503" s="45"/>
    </row>
    <row r="1504" spans="1:12" ht="18" customHeight="1">
      <c r="A1504" s="43"/>
      <c r="B1504" s="44"/>
      <c r="C1504" s="44"/>
      <c r="D1504" s="44"/>
      <c r="E1504" s="44"/>
      <c r="F1504" s="44"/>
      <c r="G1504" s="44"/>
      <c r="H1504" s="44"/>
      <c r="I1504" s="48"/>
      <c r="J1504" s="45"/>
      <c r="K1504" s="45"/>
      <c r="L1504" s="45"/>
    </row>
    <row r="1505" spans="1:12" ht="18" customHeight="1">
      <c r="A1505" s="43"/>
      <c r="B1505" s="44"/>
      <c r="C1505" s="44"/>
      <c r="D1505" s="44"/>
      <c r="E1505" s="44"/>
      <c r="F1505" s="44"/>
      <c r="G1505" s="44"/>
      <c r="H1505" s="44"/>
      <c r="I1505" s="48"/>
      <c r="J1505" s="45"/>
      <c r="K1505" s="45"/>
      <c r="L1505" s="45"/>
    </row>
    <row r="1506" spans="1:12" ht="18" customHeight="1">
      <c r="A1506" s="43"/>
      <c r="B1506" s="44"/>
      <c r="C1506" s="44"/>
      <c r="D1506" s="44"/>
      <c r="E1506" s="44"/>
      <c r="F1506" s="44"/>
      <c r="G1506" s="44"/>
      <c r="H1506" s="44"/>
      <c r="I1506" s="48"/>
      <c r="J1506" s="45"/>
      <c r="K1506" s="45"/>
      <c r="L1506" s="45"/>
    </row>
    <row r="1507" spans="1:12" ht="18" customHeight="1">
      <c r="A1507" s="43"/>
      <c r="B1507" s="44"/>
      <c r="C1507" s="44"/>
      <c r="D1507" s="44"/>
      <c r="E1507" s="44"/>
      <c r="F1507" s="44"/>
      <c r="G1507" s="44"/>
      <c r="H1507" s="44"/>
      <c r="I1507" s="48"/>
      <c r="J1507" s="45"/>
      <c r="K1507" s="45"/>
      <c r="L1507" s="45"/>
    </row>
    <row r="1508" spans="1:12" ht="18" customHeight="1">
      <c r="A1508" s="43"/>
      <c r="B1508" s="44"/>
      <c r="C1508" s="44"/>
      <c r="D1508" s="44"/>
      <c r="E1508" s="44"/>
      <c r="F1508" s="44"/>
      <c r="G1508" s="44"/>
      <c r="H1508" s="44"/>
      <c r="I1508" s="48"/>
      <c r="J1508" s="45"/>
      <c r="K1508" s="45"/>
      <c r="L1508" s="45"/>
    </row>
    <row r="1509" spans="1:12" ht="18" customHeight="1">
      <c r="A1509" s="43"/>
      <c r="B1509" s="44"/>
      <c r="C1509" s="44"/>
      <c r="D1509" s="44"/>
      <c r="E1509" s="44"/>
      <c r="F1509" s="44"/>
      <c r="G1509" s="44"/>
      <c r="H1509" s="44"/>
      <c r="I1509" s="48"/>
      <c r="J1509" s="45"/>
      <c r="K1509" s="45"/>
      <c r="L1509" s="45"/>
    </row>
    <row r="1510" spans="1:12" ht="18" customHeight="1">
      <c r="A1510" s="43"/>
      <c r="B1510" s="44"/>
      <c r="C1510" s="44"/>
      <c r="D1510" s="44"/>
      <c r="E1510" s="44"/>
      <c r="F1510" s="44"/>
      <c r="G1510" s="44"/>
      <c r="H1510" s="44"/>
      <c r="I1510" s="48"/>
      <c r="J1510" s="45"/>
      <c r="K1510" s="45"/>
      <c r="L1510" s="45"/>
    </row>
    <row r="1511" spans="1:12" ht="18" customHeight="1">
      <c r="A1511" s="43"/>
      <c r="B1511" s="44"/>
      <c r="C1511" s="44"/>
      <c r="D1511" s="44"/>
      <c r="E1511" s="44"/>
      <c r="F1511" s="44"/>
      <c r="G1511" s="44"/>
      <c r="H1511" s="44"/>
      <c r="I1511" s="48"/>
      <c r="J1511" s="45"/>
      <c r="K1511" s="45"/>
      <c r="L1511" s="45"/>
    </row>
    <row r="1512" spans="1:12" ht="18" customHeight="1">
      <c r="A1512" s="43"/>
      <c r="B1512" s="44"/>
      <c r="C1512" s="44"/>
      <c r="D1512" s="44"/>
      <c r="E1512" s="44"/>
      <c r="F1512" s="44"/>
      <c r="G1512" s="44"/>
      <c r="H1512" s="44"/>
      <c r="I1512" s="48"/>
      <c r="J1512" s="45"/>
      <c r="K1512" s="45"/>
      <c r="L1512" s="45"/>
    </row>
    <row r="1513" spans="1:12" ht="18" customHeight="1">
      <c r="A1513" s="43"/>
      <c r="B1513" s="44"/>
      <c r="C1513" s="44"/>
      <c r="D1513" s="44"/>
      <c r="E1513" s="44"/>
      <c r="F1513" s="44"/>
      <c r="G1513" s="44"/>
      <c r="H1513" s="44"/>
      <c r="I1513" s="48"/>
      <c r="J1513" s="45"/>
      <c r="K1513" s="45"/>
      <c r="L1513" s="45"/>
    </row>
    <row r="1514" spans="1:12" ht="18" customHeight="1">
      <c r="A1514" s="43"/>
      <c r="B1514" s="44"/>
      <c r="C1514" s="44"/>
      <c r="D1514" s="44"/>
      <c r="E1514" s="44"/>
      <c r="F1514" s="44"/>
      <c r="G1514" s="44"/>
      <c r="H1514" s="44"/>
      <c r="I1514" s="48"/>
      <c r="J1514" s="45"/>
      <c r="K1514" s="45"/>
      <c r="L1514" s="45"/>
    </row>
    <row r="1515" spans="1:12" ht="18" customHeight="1">
      <c r="A1515" s="43"/>
      <c r="B1515" s="44"/>
      <c r="C1515" s="44"/>
      <c r="D1515" s="44"/>
      <c r="E1515" s="44"/>
      <c r="F1515" s="44"/>
      <c r="G1515" s="44"/>
      <c r="H1515" s="44"/>
      <c r="I1515" s="48"/>
      <c r="J1515" s="45"/>
      <c r="K1515" s="45"/>
      <c r="L1515" s="45"/>
    </row>
    <row r="1516" spans="1:12" ht="18" customHeight="1">
      <c r="A1516" s="43"/>
      <c r="B1516" s="44"/>
      <c r="C1516" s="44"/>
      <c r="D1516" s="44"/>
      <c r="E1516" s="44"/>
      <c r="F1516" s="44"/>
      <c r="G1516" s="44"/>
      <c r="H1516" s="44"/>
      <c r="I1516" s="48"/>
      <c r="J1516" s="45"/>
      <c r="K1516" s="45"/>
      <c r="L1516" s="45"/>
    </row>
    <row r="1517" spans="1:12" ht="18" customHeight="1">
      <c r="A1517" s="43"/>
      <c r="B1517" s="44"/>
      <c r="C1517" s="44"/>
      <c r="D1517" s="44"/>
      <c r="E1517" s="44"/>
      <c r="F1517" s="44"/>
      <c r="G1517" s="44"/>
      <c r="H1517" s="44"/>
      <c r="I1517" s="48"/>
      <c r="J1517" s="45"/>
      <c r="K1517" s="45"/>
      <c r="L1517" s="45"/>
    </row>
    <row r="1518" spans="1:12" ht="18" customHeight="1">
      <c r="A1518" s="43"/>
      <c r="B1518" s="44"/>
      <c r="C1518" s="44"/>
      <c r="D1518" s="44"/>
      <c r="E1518" s="44"/>
      <c r="F1518" s="44"/>
      <c r="G1518" s="44"/>
      <c r="H1518" s="44"/>
      <c r="I1518" s="48"/>
      <c r="J1518" s="45"/>
      <c r="K1518" s="45"/>
      <c r="L1518" s="45"/>
    </row>
    <row r="1519" spans="1:12" ht="18" customHeight="1">
      <c r="A1519" s="43"/>
      <c r="B1519" s="44"/>
      <c r="C1519" s="44"/>
      <c r="D1519" s="44"/>
      <c r="E1519" s="44"/>
      <c r="F1519" s="44"/>
      <c r="G1519" s="44"/>
      <c r="H1519" s="44"/>
      <c r="I1519" s="48"/>
      <c r="J1519" s="45"/>
      <c r="K1519" s="45"/>
      <c r="L1519" s="45"/>
    </row>
    <row r="1520" spans="1:12" ht="18" customHeight="1">
      <c r="A1520" s="43"/>
      <c r="B1520" s="44"/>
      <c r="C1520" s="44"/>
      <c r="D1520" s="44"/>
      <c r="E1520" s="44"/>
      <c r="F1520" s="44"/>
      <c r="G1520" s="44"/>
      <c r="H1520" s="44"/>
      <c r="I1520" s="48"/>
      <c r="J1520" s="45"/>
      <c r="K1520" s="45"/>
      <c r="L1520" s="45"/>
    </row>
    <row r="1521" spans="1:12" ht="18" customHeight="1">
      <c r="A1521" s="43"/>
      <c r="B1521" s="44"/>
      <c r="C1521" s="44"/>
      <c r="D1521" s="44"/>
      <c r="E1521" s="44"/>
      <c r="F1521" s="44"/>
      <c r="G1521" s="44"/>
      <c r="H1521" s="44"/>
      <c r="I1521" s="48"/>
      <c r="J1521" s="45"/>
      <c r="K1521" s="45"/>
      <c r="L1521" s="45"/>
    </row>
    <row r="1522" spans="1:12" ht="18" customHeight="1">
      <c r="A1522" s="43"/>
      <c r="B1522" s="44"/>
      <c r="C1522" s="44"/>
      <c r="D1522" s="44"/>
      <c r="E1522" s="44"/>
      <c r="F1522" s="44"/>
      <c r="G1522" s="44"/>
      <c r="H1522" s="44"/>
      <c r="I1522" s="48"/>
      <c r="J1522" s="45"/>
      <c r="K1522" s="45"/>
      <c r="L1522" s="45"/>
    </row>
    <row r="1523" spans="1:12" ht="18" customHeight="1">
      <c r="A1523" s="43"/>
      <c r="B1523" s="44"/>
      <c r="C1523" s="44"/>
      <c r="D1523" s="44"/>
      <c r="E1523" s="44"/>
      <c r="F1523" s="44"/>
      <c r="G1523" s="44"/>
      <c r="H1523" s="44"/>
      <c r="I1523" s="48"/>
      <c r="J1523" s="45"/>
      <c r="K1523" s="45"/>
      <c r="L1523" s="45"/>
    </row>
    <row r="1524" spans="1:12" ht="18" customHeight="1">
      <c r="A1524" s="43"/>
      <c r="B1524" s="44"/>
      <c r="C1524" s="44"/>
      <c r="D1524" s="44"/>
      <c r="E1524" s="44"/>
      <c r="F1524" s="44"/>
      <c r="G1524" s="44"/>
      <c r="H1524" s="44"/>
      <c r="I1524" s="48"/>
      <c r="J1524" s="45"/>
      <c r="K1524" s="45"/>
      <c r="L1524" s="45"/>
    </row>
    <row r="1525" spans="1:12" ht="18" customHeight="1">
      <c r="A1525" s="43"/>
      <c r="B1525" s="44"/>
      <c r="C1525" s="44"/>
      <c r="D1525" s="44"/>
      <c r="E1525" s="44"/>
      <c r="F1525" s="44"/>
      <c r="G1525" s="44"/>
      <c r="H1525" s="44"/>
      <c r="I1525" s="48"/>
      <c r="J1525" s="45"/>
      <c r="K1525" s="45"/>
      <c r="L1525" s="45"/>
    </row>
    <row r="1526" spans="1:12" ht="18" customHeight="1">
      <c r="A1526" s="43"/>
      <c r="B1526" s="44"/>
      <c r="C1526" s="44"/>
      <c r="D1526" s="44"/>
      <c r="E1526" s="44"/>
      <c r="F1526" s="44"/>
      <c r="G1526" s="44"/>
      <c r="H1526" s="44"/>
      <c r="I1526" s="48"/>
      <c r="J1526" s="45"/>
      <c r="K1526" s="45"/>
      <c r="L1526" s="45"/>
    </row>
    <row r="1527" spans="1:12" ht="18" customHeight="1">
      <c r="A1527" s="43"/>
      <c r="B1527" s="44"/>
      <c r="C1527" s="44"/>
      <c r="D1527" s="44"/>
      <c r="E1527" s="44"/>
      <c r="F1527" s="44"/>
      <c r="G1527" s="44"/>
      <c r="H1527" s="44"/>
      <c r="I1527" s="48"/>
      <c r="J1527" s="45"/>
      <c r="K1527" s="45"/>
      <c r="L1527" s="45"/>
    </row>
    <row r="1528" spans="1:12" ht="18" customHeight="1">
      <c r="A1528" s="43"/>
      <c r="B1528" s="44"/>
      <c r="C1528" s="44"/>
      <c r="D1528" s="44"/>
      <c r="E1528" s="44"/>
      <c r="F1528" s="44"/>
      <c r="G1528" s="44"/>
      <c r="H1528" s="44"/>
      <c r="I1528" s="48"/>
      <c r="J1528" s="45"/>
      <c r="K1528" s="45"/>
      <c r="L1528" s="45"/>
    </row>
    <row r="1529" spans="1:12" ht="18" customHeight="1">
      <c r="A1529" s="43"/>
      <c r="B1529" s="44"/>
      <c r="C1529" s="44"/>
      <c r="D1529" s="44"/>
      <c r="E1529" s="44"/>
      <c r="F1529" s="44"/>
      <c r="G1529" s="44"/>
      <c r="H1529" s="44"/>
      <c r="I1529" s="48"/>
      <c r="J1529" s="45"/>
      <c r="K1529" s="45"/>
      <c r="L1529" s="45"/>
    </row>
    <row r="1530" spans="1:12" ht="18" customHeight="1">
      <c r="A1530" s="43"/>
      <c r="B1530" s="44"/>
      <c r="C1530" s="44"/>
      <c r="D1530" s="44"/>
      <c r="E1530" s="44"/>
      <c r="F1530" s="44"/>
      <c r="G1530" s="44"/>
      <c r="H1530" s="44"/>
      <c r="I1530" s="48"/>
      <c r="J1530" s="45"/>
      <c r="K1530" s="45"/>
      <c r="L1530" s="45"/>
    </row>
    <row r="1531" spans="1:12" ht="18" customHeight="1">
      <c r="A1531" s="43"/>
      <c r="B1531" s="44"/>
      <c r="C1531" s="44"/>
      <c r="D1531" s="44"/>
      <c r="E1531" s="44"/>
      <c r="F1531" s="44"/>
      <c r="G1531" s="44"/>
      <c r="H1531" s="44"/>
      <c r="I1531" s="48"/>
      <c r="J1531" s="45"/>
      <c r="K1531" s="45"/>
      <c r="L1531" s="45"/>
    </row>
    <row r="1532" spans="1:12" ht="18" customHeight="1">
      <c r="A1532" s="43"/>
      <c r="B1532" s="44"/>
      <c r="C1532" s="44"/>
      <c r="D1532" s="44"/>
      <c r="E1532" s="44"/>
      <c r="F1532" s="44"/>
      <c r="G1532" s="44"/>
      <c r="H1532" s="44"/>
      <c r="I1532" s="48"/>
      <c r="J1532" s="45"/>
      <c r="K1532" s="45"/>
      <c r="L1532" s="45"/>
    </row>
    <row r="1533" spans="1:12" ht="18" customHeight="1">
      <c r="A1533" s="43"/>
      <c r="B1533" s="44"/>
      <c r="C1533" s="44"/>
      <c r="D1533" s="44"/>
      <c r="E1533" s="44"/>
      <c r="F1533" s="44"/>
      <c r="G1533" s="44"/>
      <c r="H1533" s="44"/>
      <c r="I1533" s="48"/>
      <c r="J1533" s="45"/>
      <c r="K1533" s="45"/>
      <c r="L1533" s="45"/>
    </row>
    <row r="1534" spans="1:12" ht="18" customHeight="1">
      <c r="A1534" s="43"/>
      <c r="B1534" s="44"/>
      <c r="C1534" s="44"/>
      <c r="D1534" s="44"/>
      <c r="E1534" s="44"/>
      <c r="F1534" s="44"/>
      <c r="G1534" s="44"/>
      <c r="H1534" s="44"/>
      <c r="I1534" s="48"/>
      <c r="J1534" s="45"/>
      <c r="K1534" s="45"/>
      <c r="L1534" s="45"/>
    </row>
    <row r="1535" spans="1:12" ht="18" customHeight="1">
      <c r="A1535" s="43"/>
      <c r="B1535" s="44"/>
      <c r="C1535" s="44"/>
      <c r="D1535" s="44"/>
      <c r="E1535" s="44"/>
      <c r="F1535" s="44"/>
      <c r="G1535" s="44"/>
      <c r="H1535" s="44"/>
      <c r="I1535" s="48"/>
      <c r="J1535" s="45"/>
      <c r="K1535" s="45"/>
      <c r="L1535" s="45"/>
    </row>
    <row r="1536" spans="1:12" ht="18" customHeight="1">
      <c r="A1536" s="43"/>
      <c r="B1536" s="44"/>
      <c r="C1536" s="44"/>
      <c r="D1536" s="44"/>
      <c r="E1536" s="44"/>
      <c r="F1536" s="44"/>
      <c r="G1536" s="44"/>
      <c r="H1536" s="44"/>
      <c r="I1536" s="48"/>
      <c r="J1536" s="45"/>
      <c r="K1536" s="45"/>
      <c r="L1536" s="45"/>
    </row>
    <row r="1537" spans="1:12" ht="18" customHeight="1">
      <c r="A1537" s="43"/>
      <c r="B1537" s="44"/>
      <c r="C1537" s="44"/>
      <c r="D1537" s="44"/>
      <c r="E1537" s="44"/>
      <c r="F1537" s="44"/>
      <c r="G1537" s="44"/>
      <c r="H1537" s="44"/>
      <c r="I1537" s="48"/>
      <c r="J1537" s="45"/>
      <c r="K1537" s="45"/>
      <c r="L1537" s="45"/>
    </row>
    <row r="1538" spans="1:12" ht="18" customHeight="1">
      <c r="A1538" s="43"/>
      <c r="B1538" s="44"/>
      <c r="C1538" s="44"/>
      <c r="D1538" s="44"/>
      <c r="E1538" s="44"/>
      <c r="F1538" s="44"/>
      <c r="G1538" s="44"/>
      <c r="H1538" s="44"/>
      <c r="I1538" s="48"/>
      <c r="J1538" s="45"/>
      <c r="K1538" s="45"/>
      <c r="L1538" s="45"/>
    </row>
    <row r="1539" spans="1:12" ht="18" customHeight="1">
      <c r="A1539" s="43"/>
      <c r="B1539" s="44"/>
      <c r="C1539" s="44"/>
      <c r="D1539" s="44"/>
      <c r="E1539" s="44"/>
      <c r="F1539" s="44"/>
      <c r="G1539" s="44"/>
      <c r="H1539" s="44"/>
      <c r="I1539" s="48"/>
      <c r="J1539" s="45"/>
      <c r="K1539" s="45"/>
      <c r="L1539" s="45"/>
    </row>
    <row r="1540" spans="1:12" ht="18" customHeight="1">
      <c r="A1540" s="43"/>
      <c r="B1540" s="44"/>
      <c r="C1540" s="44"/>
      <c r="D1540" s="44"/>
      <c r="E1540" s="44"/>
      <c r="F1540" s="44"/>
      <c r="G1540" s="44"/>
      <c r="H1540" s="44"/>
      <c r="I1540" s="48"/>
      <c r="J1540" s="45"/>
      <c r="K1540" s="45"/>
      <c r="L1540" s="45"/>
    </row>
    <row r="1541" spans="1:12" ht="18" customHeight="1">
      <c r="A1541" s="43"/>
      <c r="B1541" s="44"/>
      <c r="C1541" s="44"/>
      <c r="D1541" s="44"/>
      <c r="E1541" s="44"/>
      <c r="F1541" s="44"/>
      <c r="G1541" s="44"/>
      <c r="H1541" s="44"/>
      <c r="I1541" s="48"/>
      <c r="J1541" s="45"/>
      <c r="K1541" s="45"/>
      <c r="L1541" s="45"/>
    </row>
    <row r="1542" spans="1:12" ht="18" customHeight="1">
      <c r="A1542" s="43"/>
      <c r="B1542" s="44"/>
      <c r="C1542" s="44"/>
      <c r="D1542" s="44"/>
      <c r="E1542" s="44"/>
      <c r="F1542" s="44"/>
      <c r="G1542" s="44"/>
      <c r="H1542" s="44"/>
      <c r="I1542" s="48"/>
      <c r="J1542" s="45"/>
      <c r="K1542" s="45"/>
      <c r="L1542" s="45"/>
    </row>
    <row r="1543" spans="1:12" ht="18" customHeight="1">
      <c r="A1543" s="43"/>
      <c r="B1543" s="44"/>
      <c r="C1543" s="44"/>
      <c r="D1543" s="44"/>
      <c r="E1543" s="44"/>
      <c r="F1543" s="44"/>
      <c r="G1543" s="44"/>
      <c r="H1543" s="44"/>
      <c r="I1543" s="48"/>
      <c r="J1543" s="45"/>
      <c r="K1543" s="45"/>
      <c r="L1543" s="45"/>
    </row>
    <row r="1544" spans="1:12" ht="18" customHeight="1">
      <c r="A1544" s="43"/>
      <c r="B1544" s="44"/>
      <c r="C1544" s="44"/>
      <c r="D1544" s="44"/>
      <c r="E1544" s="44"/>
      <c r="F1544" s="44"/>
      <c r="G1544" s="44"/>
      <c r="H1544" s="44"/>
      <c r="I1544" s="48"/>
      <c r="J1544" s="45"/>
      <c r="K1544" s="45"/>
      <c r="L1544" s="45"/>
    </row>
    <row r="1545" spans="1:12" ht="18" customHeight="1">
      <c r="A1545" s="43"/>
      <c r="B1545" s="44"/>
      <c r="C1545" s="44"/>
      <c r="D1545" s="44"/>
      <c r="E1545" s="44"/>
      <c r="F1545" s="44"/>
      <c r="G1545" s="44"/>
      <c r="H1545" s="44"/>
      <c r="I1545" s="48"/>
      <c r="J1545" s="45"/>
      <c r="K1545" s="45"/>
      <c r="L1545" s="45"/>
    </row>
    <row r="1546" spans="1:12" ht="18" customHeight="1">
      <c r="A1546" s="43"/>
      <c r="B1546" s="44"/>
      <c r="C1546" s="44"/>
      <c r="D1546" s="44"/>
      <c r="E1546" s="44"/>
      <c r="F1546" s="44"/>
      <c r="G1546" s="44"/>
      <c r="H1546" s="44"/>
      <c r="I1546" s="48"/>
      <c r="J1546" s="45"/>
      <c r="K1546" s="45"/>
      <c r="L1546" s="45"/>
    </row>
    <row r="1547" spans="1:12" ht="18" customHeight="1">
      <c r="A1547" s="43"/>
      <c r="B1547" s="44"/>
      <c r="C1547" s="44"/>
      <c r="D1547" s="44"/>
      <c r="E1547" s="44"/>
      <c r="F1547" s="44"/>
      <c r="G1547" s="44"/>
      <c r="H1547" s="44"/>
      <c r="I1547" s="48"/>
      <c r="J1547" s="45"/>
      <c r="K1547" s="45"/>
      <c r="L1547" s="45"/>
    </row>
    <row r="1548" spans="1:12" ht="18" customHeight="1">
      <c r="A1548" s="43"/>
      <c r="B1548" s="44"/>
      <c r="C1548" s="44"/>
      <c r="D1548" s="44"/>
      <c r="E1548" s="44"/>
      <c r="F1548" s="44"/>
      <c r="G1548" s="44"/>
      <c r="H1548" s="44"/>
      <c r="I1548" s="48"/>
      <c r="J1548" s="45"/>
      <c r="K1548" s="45"/>
      <c r="L1548" s="45"/>
    </row>
    <row r="1549" spans="1:12" ht="18" customHeight="1">
      <c r="A1549" s="43"/>
      <c r="B1549" s="44"/>
      <c r="C1549" s="44"/>
      <c r="D1549" s="44"/>
      <c r="E1549" s="44"/>
      <c r="F1549" s="44"/>
      <c r="G1549" s="44"/>
      <c r="H1549" s="44"/>
      <c r="I1549" s="48"/>
      <c r="J1549" s="45"/>
      <c r="K1549" s="45"/>
      <c r="L1549" s="45"/>
    </row>
    <row r="1550" spans="1:12" ht="18" customHeight="1">
      <c r="A1550" s="43"/>
      <c r="B1550" s="44"/>
      <c r="C1550" s="44"/>
      <c r="D1550" s="44"/>
      <c r="E1550" s="44"/>
      <c r="F1550" s="44"/>
      <c r="G1550" s="44"/>
      <c r="H1550" s="44"/>
      <c r="I1550" s="48"/>
      <c r="J1550" s="45"/>
      <c r="K1550" s="45"/>
      <c r="L1550" s="45"/>
    </row>
    <row r="1551" spans="1:12" ht="18" customHeight="1">
      <c r="A1551" s="43"/>
      <c r="B1551" s="44"/>
      <c r="C1551" s="44"/>
      <c r="D1551" s="44"/>
      <c r="E1551" s="44"/>
      <c r="F1551" s="44"/>
      <c r="G1551" s="44"/>
      <c r="H1551" s="44"/>
      <c r="I1551" s="48"/>
      <c r="J1551" s="45"/>
      <c r="K1551" s="45"/>
      <c r="L1551" s="45"/>
    </row>
    <row r="1552" spans="1:12" ht="18" customHeight="1">
      <c r="A1552" s="43"/>
      <c r="B1552" s="44"/>
      <c r="C1552" s="44"/>
      <c r="D1552" s="44"/>
      <c r="E1552" s="44"/>
      <c r="F1552" s="44"/>
      <c r="G1552" s="44"/>
      <c r="H1552" s="44"/>
      <c r="I1552" s="48"/>
      <c r="J1552" s="45"/>
      <c r="K1552" s="45"/>
      <c r="L1552" s="45"/>
    </row>
    <row r="1553" spans="1:12" ht="18" customHeight="1">
      <c r="A1553" s="43"/>
      <c r="B1553" s="44"/>
      <c r="C1553" s="44"/>
      <c r="D1553" s="44"/>
      <c r="E1553" s="44"/>
      <c r="F1553" s="44"/>
      <c r="G1553" s="44"/>
      <c r="H1553" s="44"/>
      <c r="I1553" s="48"/>
      <c r="J1553" s="45"/>
      <c r="K1553" s="45"/>
      <c r="L1553" s="45"/>
    </row>
    <row r="1554" spans="1:12" ht="18" customHeight="1">
      <c r="A1554" s="43"/>
      <c r="B1554" s="44"/>
      <c r="C1554" s="44"/>
      <c r="D1554" s="44"/>
      <c r="E1554" s="44"/>
      <c r="F1554" s="44"/>
      <c r="G1554" s="44"/>
      <c r="H1554" s="44"/>
      <c r="I1554" s="48"/>
      <c r="J1554" s="45"/>
      <c r="K1554" s="45"/>
      <c r="L1554" s="45"/>
    </row>
    <row r="1555" spans="1:12" ht="18" customHeight="1">
      <c r="A1555" s="43"/>
      <c r="B1555" s="44"/>
      <c r="C1555" s="44"/>
      <c r="D1555" s="44"/>
      <c r="E1555" s="44"/>
      <c r="F1555" s="44"/>
      <c r="G1555" s="44"/>
      <c r="H1555" s="44"/>
      <c r="I1555" s="48"/>
      <c r="J1555" s="45"/>
      <c r="K1555" s="45"/>
      <c r="L1555" s="45"/>
    </row>
    <row r="1556" spans="1:12" ht="18" customHeight="1">
      <c r="A1556" s="43"/>
      <c r="B1556" s="44"/>
      <c r="C1556" s="44"/>
      <c r="D1556" s="44"/>
      <c r="E1556" s="44"/>
      <c r="F1556" s="44"/>
      <c r="G1556" s="44"/>
      <c r="H1556" s="44"/>
      <c r="I1556" s="48"/>
      <c r="J1556" s="45"/>
      <c r="K1556" s="45"/>
      <c r="L1556" s="45"/>
    </row>
    <row r="1557" spans="1:12" ht="18" customHeight="1">
      <c r="A1557" s="43"/>
      <c r="B1557" s="44"/>
      <c r="C1557" s="44"/>
      <c r="D1557" s="44"/>
      <c r="E1557" s="44"/>
      <c r="F1557" s="44"/>
      <c r="G1557" s="44"/>
      <c r="H1557" s="44"/>
      <c r="I1557" s="48"/>
      <c r="J1557" s="45"/>
      <c r="K1557" s="45"/>
      <c r="L1557" s="45"/>
    </row>
    <row r="1558" spans="1:12" ht="18" customHeight="1">
      <c r="A1558" s="43"/>
      <c r="B1558" s="44"/>
      <c r="C1558" s="44"/>
      <c r="D1558" s="44"/>
      <c r="E1558" s="44"/>
      <c r="F1558" s="44"/>
      <c r="G1558" s="44"/>
      <c r="H1558" s="44"/>
      <c r="I1558" s="48"/>
      <c r="J1558" s="45"/>
      <c r="K1558" s="45"/>
      <c r="L1558" s="45"/>
    </row>
    <row r="1559" spans="1:12" ht="18" customHeight="1">
      <c r="A1559" s="43"/>
      <c r="B1559" s="44"/>
      <c r="C1559" s="44"/>
      <c r="D1559" s="44"/>
      <c r="E1559" s="44"/>
      <c r="F1559" s="44"/>
      <c r="G1559" s="44"/>
      <c r="H1559" s="44"/>
      <c r="I1559" s="48"/>
      <c r="J1559" s="45"/>
      <c r="K1559" s="45"/>
      <c r="L1559" s="45"/>
    </row>
    <row r="1560" spans="1:12" ht="18" customHeight="1">
      <c r="A1560" s="43"/>
      <c r="B1560" s="44"/>
      <c r="C1560" s="44"/>
      <c r="D1560" s="44"/>
      <c r="E1560" s="44"/>
      <c r="F1560" s="44"/>
      <c r="G1560" s="44"/>
      <c r="H1560" s="44"/>
      <c r="I1560" s="48"/>
      <c r="J1560" s="45"/>
      <c r="K1560" s="45"/>
      <c r="L1560" s="45"/>
    </row>
    <row r="1561" spans="1:12" ht="18" customHeight="1">
      <c r="A1561" s="43"/>
      <c r="B1561" s="44"/>
      <c r="C1561" s="44"/>
      <c r="D1561" s="44"/>
      <c r="E1561" s="44"/>
      <c r="F1561" s="44"/>
      <c r="G1561" s="44"/>
      <c r="H1561" s="44"/>
      <c r="I1561" s="48"/>
      <c r="J1561" s="45"/>
      <c r="K1561" s="45"/>
      <c r="L1561" s="45"/>
    </row>
    <row r="1562" spans="1:12" ht="18" customHeight="1">
      <c r="A1562" s="43"/>
      <c r="B1562" s="44"/>
      <c r="C1562" s="44"/>
      <c r="D1562" s="44"/>
      <c r="E1562" s="44"/>
      <c r="F1562" s="44"/>
      <c r="G1562" s="44"/>
      <c r="H1562" s="44"/>
      <c r="I1562" s="48"/>
      <c r="J1562" s="45"/>
      <c r="K1562" s="45"/>
      <c r="L1562" s="45"/>
    </row>
    <row r="1563" spans="1:12" ht="18" customHeight="1">
      <c r="A1563" s="43"/>
      <c r="B1563" s="44"/>
      <c r="C1563" s="44"/>
      <c r="D1563" s="44"/>
      <c r="E1563" s="44"/>
      <c r="F1563" s="44"/>
      <c r="G1563" s="44"/>
      <c r="H1563" s="44"/>
      <c r="I1563" s="48"/>
      <c r="J1563" s="45"/>
      <c r="K1563" s="45"/>
      <c r="L1563" s="45"/>
    </row>
    <row r="1564" spans="1:12" ht="18" customHeight="1">
      <c r="A1564" s="43"/>
      <c r="B1564" s="44"/>
      <c r="C1564" s="44"/>
      <c r="D1564" s="44"/>
      <c r="E1564" s="44"/>
      <c r="F1564" s="44"/>
      <c r="G1564" s="44"/>
      <c r="H1564" s="44"/>
      <c r="I1564" s="48"/>
      <c r="J1564" s="45"/>
      <c r="K1564" s="45"/>
      <c r="L1564" s="45"/>
    </row>
    <row r="1565" spans="1:12" ht="18" customHeight="1">
      <c r="A1565" s="43"/>
      <c r="B1565" s="44"/>
      <c r="C1565" s="44"/>
      <c r="D1565" s="44"/>
      <c r="E1565" s="44"/>
      <c r="F1565" s="44"/>
      <c r="G1565" s="44"/>
      <c r="H1565" s="44"/>
      <c r="I1565" s="48"/>
      <c r="J1565" s="45"/>
      <c r="K1565" s="45"/>
      <c r="L1565" s="45"/>
    </row>
    <row r="1566" spans="1:12" ht="18" customHeight="1">
      <c r="A1566" s="43"/>
      <c r="B1566" s="44"/>
      <c r="C1566" s="44"/>
      <c r="D1566" s="44"/>
      <c r="E1566" s="44"/>
      <c r="F1566" s="44"/>
      <c r="G1566" s="44"/>
      <c r="H1566" s="44"/>
      <c r="I1566" s="48"/>
      <c r="J1566" s="45"/>
      <c r="K1566" s="45"/>
      <c r="L1566" s="45"/>
    </row>
    <row r="1567" spans="1:12" ht="18" customHeight="1">
      <c r="A1567" s="43"/>
      <c r="B1567" s="44"/>
      <c r="C1567" s="44"/>
      <c r="D1567" s="44"/>
      <c r="E1567" s="44"/>
      <c r="F1567" s="44"/>
      <c r="G1567" s="44"/>
      <c r="H1567" s="44"/>
      <c r="I1567" s="48"/>
      <c r="J1567" s="45"/>
      <c r="K1567" s="45"/>
      <c r="L1567" s="45"/>
    </row>
    <row r="1568" spans="1:12" ht="18" customHeight="1">
      <c r="A1568" s="43"/>
      <c r="B1568" s="44"/>
      <c r="C1568" s="44"/>
      <c r="D1568" s="44"/>
      <c r="E1568" s="44"/>
      <c r="F1568" s="44"/>
      <c r="G1568" s="44"/>
      <c r="H1568" s="44"/>
      <c r="I1568" s="48"/>
      <c r="J1568" s="45"/>
      <c r="K1568" s="45"/>
      <c r="L1568" s="45"/>
    </row>
    <row r="1569" spans="1:12" ht="18" customHeight="1">
      <c r="A1569" s="43"/>
      <c r="B1569" s="44"/>
      <c r="C1569" s="44"/>
      <c r="D1569" s="44"/>
      <c r="E1569" s="44"/>
      <c r="F1569" s="44"/>
      <c r="G1569" s="44"/>
      <c r="H1569" s="44"/>
      <c r="I1569" s="48"/>
      <c r="J1569" s="45"/>
      <c r="K1569" s="45"/>
      <c r="L1569" s="45"/>
    </row>
    <row r="1570" spans="1:12" ht="18" customHeight="1">
      <c r="A1570" s="43"/>
      <c r="B1570" s="44"/>
      <c r="C1570" s="44"/>
      <c r="D1570" s="44"/>
      <c r="E1570" s="44"/>
      <c r="F1570" s="44"/>
      <c r="G1570" s="44"/>
      <c r="H1570" s="44"/>
      <c r="I1570" s="48"/>
      <c r="J1570" s="45"/>
      <c r="K1570" s="45"/>
      <c r="L1570" s="45"/>
    </row>
    <row r="1571" spans="1:12" ht="18" customHeight="1">
      <c r="A1571" s="43"/>
      <c r="B1571" s="44"/>
      <c r="C1571" s="44"/>
      <c r="D1571" s="44"/>
      <c r="E1571" s="44"/>
      <c r="F1571" s="44"/>
      <c r="G1571" s="44"/>
      <c r="H1571" s="44"/>
      <c r="I1571" s="48"/>
      <c r="J1571" s="45"/>
      <c r="K1571" s="45"/>
      <c r="L1571" s="45"/>
    </row>
    <row r="1572" spans="1:12" ht="18" customHeight="1">
      <c r="A1572" s="43"/>
      <c r="B1572" s="44"/>
      <c r="C1572" s="44"/>
      <c r="D1572" s="44"/>
      <c r="E1572" s="44"/>
      <c r="F1572" s="44"/>
      <c r="G1572" s="44"/>
      <c r="H1572" s="44"/>
      <c r="I1572" s="48"/>
      <c r="J1572" s="45"/>
      <c r="K1572" s="45"/>
      <c r="L1572" s="45"/>
    </row>
    <row r="1573" spans="1:12" ht="18" customHeight="1">
      <c r="A1573" s="43"/>
      <c r="B1573" s="44"/>
      <c r="C1573" s="44"/>
      <c r="D1573" s="44"/>
      <c r="E1573" s="44"/>
      <c r="F1573" s="44"/>
      <c r="G1573" s="44"/>
      <c r="H1573" s="44"/>
      <c r="I1573" s="48"/>
      <c r="J1573" s="45"/>
      <c r="K1573" s="45"/>
      <c r="L1573" s="45"/>
    </row>
    <row r="1574" spans="1:12" ht="18" customHeight="1">
      <c r="A1574" s="43"/>
      <c r="B1574" s="44"/>
      <c r="C1574" s="44"/>
      <c r="D1574" s="44"/>
      <c r="E1574" s="44"/>
      <c r="F1574" s="44"/>
      <c r="G1574" s="44"/>
      <c r="H1574" s="44"/>
      <c r="I1574" s="48"/>
      <c r="J1574" s="45"/>
      <c r="K1574" s="45"/>
      <c r="L1574" s="45"/>
    </row>
  </sheetData>
  <autoFilter ref="A2:K1448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04"/>
  <sheetViews>
    <sheetView showGridLines="0" topLeftCell="A76" workbookViewId="0">
      <selection activeCell="I19" sqref="I19"/>
    </sheetView>
  </sheetViews>
  <sheetFormatPr defaultRowHeight="12.75"/>
  <cols>
    <col min="1" max="1" width="36.42578125" customWidth="1"/>
    <col min="14" max="15" width="11.7109375" customWidth="1"/>
  </cols>
  <sheetData>
    <row r="2" spans="1:17" s="1" customFormat="1">
      <c r="A2" s="7" t="s">
        <v>32</v>
      </c>
    </row>
    <row r="3" spans="1:17" s="1" customFormat="1"/>
    <row r="4" spans="1:17" s="1" customFormat="1" ht="24">
      <c r="A4" s="2" t="s">
        <v>0</v>
      </c>
      <c r="B4" s="3">
        <v>42552</v>
      </c>
      <c r="C4" s="3">
        <v>42583</v>
      </c>
      <c r="D4" s="3">
        <v>42614</v>
      </c>
      <c r="E4" s="3">
        <v>42644</v>
      </c>
      <c r="F4" s="3">
        <v>42675</v>
      </c>
      <c r="G4" s="3">
        <v>42705</v>
      </c>
      <c r="H4" s="3">
        <v>42736</v>
      </c>
      <c r="I4" s="3">
        <v>42736</v>
      </c>
      <c r="J4" s="3">
        <v>42795</v>
      </c>
      <c r="K4" s="3">
        <v>42826</v>
      </c>
      <c r="L4" s="3">
        <v>42856</v>
      </c>
      <c r="M4" s="3">
        <v>42887</v>
      </c>
      <c r="N4" s="35" t="s">
        <v>33</v>
      </c>
      <c r="O4" s="35" t="s">
        <v>34</v>
      </c>
      <c r="P4"/>
    </row>
    <row r="5" spans="1:17" s="1" customFormat="1" ht="15" customHeight="1">
      <c r="A5" s="36" t="s">
        <v>31</v>
      </c>
      <c r="B5" s="37">
        <v>197</v>
      </c>
      <c r="C5" s="37">
        <v>180</v>
      </c>
      <c r="D5" s="37">
        <v>158</v>
      </c>
      <c r="E5" s="37">
        <v>236</v>
      </c>
      <c r="F5" s="37">
        <v>219</v>
      </c>
      <c r="G5" s="37">
        <v>236</v>
      </c>
      <c r="H5" s="37">
        <v>171</v>
      </c>
      <c r="I5" s="37">
        <f>COUNTIFS('Base NEXE '!$A:$A,"CF5",'Base NEXE '!$G:$G,"*MAUO*")</f>
        <v>147</v>
      </c>
      <c r="J5" s="37"/>
      <c r="K5" s="37"/>
      <c r="L5" s="37"/>
      <c r="M5" s="37"/>
      <c r="N5" s="38"/>
      <c r="O5" s="38"/>
      <c r="P5"/>
    </row>
    <row r="6" spans="1:17" s="1" customFormat="1" ht="15" customHeight="1">
      <c r="A6" s="36" t="s">
        <v>36</v>
      </c>
      <c r="B6" s="37">
        <v>64</v>
      </c>
      <c r="C6" s="37">
        <v>33</v>
      </c>
      <c r="D6" s="37">
        <v>35</v>
      </c>
      <c r="E6" s="37">
        <v>28</v>
      </c>
      <c r="F6" s="37">
        <v>39</v>
      </c>
      <c r="G6" s="37">
        <v>1</v>
      </c>
      <c r="H6" s="37">
        <v>27</v>
      </c>
      <c r="I6" s="37">
        <f>COUNTIFS('Base NEXE '!$A:$A,"CF5",'Base NEXE '!$G:$G,"*MAUO*",'Base NEXE '!$F:$F,"*NEXE*")</f>
        <v>20</v>
      </c>
      <c r="J6" s="37"/>
      <c r="K6" s="37"/>
      <c r="L6" s="37"/>
      <c r="M6" s="37"/>
      <c r="N6" s="38"/>
      <c r="O6" s="38"/>
      <c r="P6"/>
    </row>
    <row r="7" spans="1:17" s="1" customFormat="1" ht="15" customHeight="1">
      <c r="A7" s="36" t="s">
        <v>35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9">
        <f>SUM(B5:M5)</f>
        <v>1544</v>
      </c>
      <c r="O7" s="39">
        <f>SUM(B6:M6)</f>
        <v>247</v>
      </c>
      <c r="P7"/>
    </row>
    <row r="8" spans="1:17" s="1" customFormat="1" ht="1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/>
      <c r="O8"/>
      <c r="P8"/>
      <c r="Q8"/>
    </row>
    <row r="9" spans="1:17" s="1" customFormat="1">
      <c r="A9" s="7" t="s">
        <v>37</v>
      </c>
    </row>
    <row r="10" spans="1:17" s="1" customFormat="1"/>
    <row r="11" spans="1:17" s="1" customFormat="1" ht="24">
      <c r="A11" s="2" t="s">
        <v>0</v>
      </c>
      <c r="B11" s="3">
        <v>42552</v>
      </c>
      <c r="C11" s="3">
        <v>42583</v>
      </c>
      <c r="D11" s="3">
        <v>42614</v>
      </c>
      <c r="E11" s="3">
        <v>42644</v>
      </c>
      <c r="F11" s="3">
        <v>42675</v>
      </c>
      <c r="G11" s="3">
        <v>42705</v>
      </c>
      <c r="H11" s="3">
        <v>42736</v>
      </c>
      <c r="I11" s="3">
        <v>42736</v>
      </c>
      <c r="J11" s="3">
        <v>42795</v>
      </c>
      <c r="K11" s="3">
        <v>42826</v>
      </c>
      <c r="L11" s="3">
        <v>42856</v>
      </c>
      <c r="M11" s="3">
        <v>42887</v>
      </c>
      <c r="N11" s="35" t="s">
        <v>33</v>
      </c>
      <c r="O11" s="35" t="s">
        <v>34</v>
      </c>
      <c r="P11"/>
    </row>
    <row r="12" spans="1:17" s="1" customFormat="1" ht="15" customHeight="1">
      <c r="A12" s="36" t="s">
        <v>31</v>
      </c>
      <c r="B12" s="37">
        <v>136</v>
      </c>
      <c r="C12" s="37">
        <v>150</v>
      </c>
      <c r="D12" s="37">
        <v>121</v>
      </c>
      <c r="E12" s="37">
        <v>151</v>
      </c>
      <c r="F12" s="37">
        <v>137</v>
      </c>
      <c r="G12" s="37">
        <v>171</v>
      </c>
      <c r="H12" s="37">
        <v>120</v>
      </c>
      <c r="I12" s="37">
        <f>COUNTIFS('Base NEXE '!$A:$A,"CF6",'Base NEXE '!$G:$G,"*MAER*")</f>
        <v>142</v>
      </c>
      <c r="J12" s="37"/>
      <c r="K12" s="37"/>
      <c r="L12" s="37"/>
      <c r="M12" s="37"/>
      <c r="N12" s="38"/>
      <c r="O12" s="38"/>
      <c r="P12"/>
    </row>
    <row r="13" spans="1:17" s="1" customFormat="1" ht="15" customHeight="1">
      <c r="A13" s="36" t="s">
        <v>36</v>
      </c>
      <c r="B13" s="37">
        <v>0</v>
      </c>
      <c r="C13" s="37">
        <v>4</v>
      </c>
      <c r="D13" s="37">
        <v>10</v>
      </c>
      <c r="E13" s="37">
        <v>4</v>
      </c>
      <c r="F13" s="37">
        <v>7</v>
      </c>
      <c r="G13" s="37">
        <v>16</v>
      </c>
      <c r="H13" s="37">
        <v>27</v>
      </c>
      <c r="I13" s="37">
        <f>COUNTIFS('Base NEXE '!$A:$A,"CF6",'Base NEXE '!$G:$G,"*MAER*",'Base NEXE '!$F:$F,"*NEXE*")</f>
        <v>0</v>
      </c>
      <c r="J13" s="37"/>
      <c r="K13" s="37"/>
      <c r="L13" s="37"/>
      <c r="M13" s="37"/>
      <c r="N13" s="38"/>
      <c r="O13" s="38"/>
      <c r="P13"/>
    </row>
    <row r="14" spans="1:17" s="1" customFormat="1" ht="15" customHeight="1">
      <c r="A14" s="36" t="s">
        <v>35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9">
        <f>SUM(B12:M12)</f>
        <v>1128</v>
      </c>
      <c r="O14" s="39">
        <f>SUM(B13:M13)</f>
        <v>68</v>
      </c>
      <c r="P14"/>
    </row>
    <row r="16" spans="1:17" s="1" customFormat="1">
      <c r="A16" s="7" t="s">
        <v>38</v>
      </c>
    </row>
    <row r="17" spans="1:16" s="1" customFormat="1"/>
    <row r="18" spans="1:16" s="1" customFormat="1" ht="24">
      <c r="A18" s="2" t="s">
        <v>0</v>
      </c>
      <c r="B18" s="3">
        <v>42552</v>
      </c>
      <c r="C18" s="3">
        <v>42583</v>
      </c>
      <c r="D18" s="3">
        <v>42614</v>
      </c>
      <c r="E18" s="3">
        <v>42644</v>
      </c>
      <c r="F18" s="3">
        <v>42675</v>
      </c>
      <c r="G18" s="3">
        <v>42705</v>
      </c>
      <c r="H18" s="3">
        <v>42736</v>
      </c>
      <c r="I18" s="3">
        <v>42736</v>
      </c>
      <c r="J18" s="3">
        <v>42795</v>
      </c>
      <c r="K18" s="3">
        <v>42826</v>
      </c>
      <c r="L18" s="3">
        <v>42856</v>
      </c>
      <c r="M18" s="3">
        <v>42887</v>
      </c>
      <c r="N18" s="35" t="s">
        <v>33</v>
      </c>
      <c r="O18" s="35" t="s">
        <v>34</v>
      </c>
      <c r="P18"/>
    </row>
    <row r="19" spans="1:16" s="1" customFormat="1" ht="15" customHeight="1">
      <c r="A19" s="36" t="s">
        <v>31</v>
      </c>
      <c r="B19" s="37">
        <v>60</v>
      </c>
      <c r="C19" s="37">
        <v>40</v>
      </c>
      <c r="D19" s="37">
        <v>56</v>
      </c>
      <c r="E19" s="37">
        <v>9</v>
      </c>
      <c r="F19" s="37">
        <v>0</v>
      </c>
      <c r="G19" s="37">
        <v>0</v>
      </c>
      <c r="H19" s="37">
        <v>0</v>
      </c>
      <c r="I19" s="37">
        <f>COUNTIFS('Base NEXE '!$A:$A,"CF6",'Base NEXE '!$G:$G,"*MAHE*")</f>
        <v>32</v>
      </c>
      <c r="J19" s="37"/>
      <c r="K19" s="37"/>
      <c r="L19" s="37"/>
      <c r="M19" s="37"/>
      <c r="N19" s="38"/>
      <c r="O19" s="38"/>
      <c r="P19"/>
    </row>
    <row r="20" spans="1:16" s="1" customFormat="1" ht="15" customHeight="1">
      <c r="A20" s="36" t="s">
        <v>36</v>
      </c>
      <c r="B20" s="37">
        <v>7</v>
      </c>
      <c r="C20" s="37">
        <v>6</v>
      </c>
      <c r="D20" s="37">
        <v>17</v>
      </c>
      <c r="E20" s="37">
        <v>4</v>
      </c>
      <c r="F20" s="37">
        <v>0</v>
      </c>
      <c r="G20" s="37">
        <v>0</v>
      </c>
      <c r="H20" s="37">
        <v>0</v>
      </c>
      <c r="I20" s="37">
        <f>COUNTIFS('Base NEXE '!$A:$A,"CF6",'Base NEXE '!$G:$G,"*MAHE*",'Base NEXE '!$F:$F,"*NEXE*")</f>
        <v>0</v>
      </c>
      <c r="J20" s="37"/>
      <c r="K20" s="37"/>
      <c r="L20" s="37"/>
      <c r="M20" s="37"/>
      <c r="N20" s="38"/>
      <c r="O20" s="38"/>
      <c r="P20"/>
    </row>
    <row r="21" spans="1:16" s="1" customFormat="1" ht="15" customHeight="1">
      <c r="A21" s="36" t="s">
        <v>35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9">
        <f>SUM(B19:M19)</f>
        <v>197</v>
      </c>
      <c r="O21" s="39">
        <f>SUM(B20:M20)</f>
        <v>34</v>
      </c>
      <c r="P21"/>
    </row>
    <row r="23" spans="1:16" s="1" customFormat="1">
      <c r="A23" s="7" t="s">
        <v>39</v>
      </c>
    </row>
    <row r="24" spans="1:16" s="1" customFormat="1"/>
    <row r="25" spans="1:16" s="1" customFormat="1" ht="24">
      <c r="A25" s="2" t="s">
        <v>0</v>
      </c>
      <c r="B25" s="3">
        <v>42552</v>
      </c>
      <c r="C25" s="3">
        <v>42583</v>
      </c>
      <c r="D25" s="3">
        <v>42614</v>
      </c>
      <c r="E25" s="3">
        <v>42644</v>
      </c>
      <c r="F25" s="3">
        <v>42675</v>
      </c>
      <c r="G25" s="3">
        <v>42705</v>
      </c>
      <c r="H25" s="3">
        <v>42736</v>
      </c>
      <c r="I25" s="3">
        <v>42736</v>
      </c>
      <c r="J25" s="3">
        <v>42795</v>
      </c>
      <c r="K25" s="3">
        <v>42826</v>
      </c>
      <c r="L25" s="3">
        <v>42856</v>
      </c>
      <c r="M25" s="3">
        <v>42887</v>
      </c>
      <c r="N25" s="35" t="s">
        <v>33</v>
      </c>
      <c r="O25" s="35" t="s">
        <v>34</v>
      </c>
      <c r="P25"/>
    </row>
    <row r="26" spans="1:16" s="1" customFormat="1" ht="15" customHeight="1">
      <c r="A26" s="36" t="s">
        <v>31</v>
      </c>
      <c r="B26" s="37">
        <v>13</v>
      </c>
      <c r="C26" s="37">
        <v>14</v>
      </c>
      <c r="D26" s="37">
        <v>16</v>
      </c>
      <c r="E26" s="37">
        <v>16</v>
      </c>
      <c r="F26" s="37">
        <v>8</v>
      </c>
      <c r="G26" s="37">
        <v>27</v>
      </c>
      <c r="H26" s="37">
        <v>16</v>
      </c>
      <c r="I26" s="37">
        <f>COUNTIFS('Base NEXE '!$A:$A,"CF6",'Base NEXE '!$G:$G,"*SCON*")</f>
        <v>23</v>
      </c>
      <c r="J26" s="37"/>
      <c r="K26" s="37"/>
      <c r="L26" s="37"/>
      <c r="M26" s="37"/>
      <c r="N26" s="38"/>
      <c r="O26" s="38"/>
      <c r="P26"/>
    </row>
    <row r="27" spans="1:16" s="1" customFormat="1" ht="15" customHeight="1">
      <c r="A27" s="36" t="s">
        <v>36</v>
      </c>
      <c r="B27" s="37">
        <v>0</v>
      </c>
      <c r="C27" s="37">
        <v>2</v>
      </c>
      <c r="D27" s="37">
        <v>0</v>
      </c>
      <c r="E27" s="37">
        <v>0</v>
      </c>
      <c r="F27" s="37">
        <v>2</v>
      </c>
      <c r="G27" s="37">
        <v>0</v>
      </c>
      <c r="H27" s="37">
        <v>2</v>
      </c>
      <c r="I27" s="37">
        <f>COUNTIFS('Base NEXE '!$A:$A,"CF6",'Base NEXE '!$G:$G,"*SCON*",'Base NEXE '!$F:$F,"*NEXE*")</f>
        <v>0</v>
      </c>
      <c r="J27" s="37"/>
      <c r="K27" s="37"/>
      <c r="L27" s="37"/>
      <c r="M27" s="37"/>
      <c r="N27" s="38"/>
      <c r="O27" s="38"/>
      <c r="P27"/>
    </row>
    <row r="28" spans="1:16" s="1" customFormat="1" ht="15" customHeight="1">
      <c r="A28" s="36" t="s">
        <v>35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9">
        <f>SUM(B26:M26)</f>
        <v>133</v>
      </c>
      <c r="O28" s="39">
        <f>SUM(B27:M27)</f>
        <v>6</v>
      </c>
      <c r="P28"/>
    </row>
    <row r="30" spans="1:16" s="1" customFormat="1">
      <c r="A30" s="7" t="s">
        <v>40</v>
      </c>
    </row>
    <row r="31" spans="1:16" s="1" customFormat="1"/>
    <row r="32" spans="1:16" s="1" customFormat="1" ht="24">
      <c r="A32" s="2" t="s">
        <v>0</v>
      </c>
      <c r="B32" s="3">
        <v>42552</v>
      </c>
      <c r="C32" s="3">
        <v>42583</v>
      </c>
      <c r="D32" s="3">
        <v>42614</v>
      </c>
      <c r="E32" s="3">
        <v>42644</v>
      </c>
      <c r="F32" s="3">
        <v>42675</v>
      </c>
      <c r="G32" s="3">
        <v>42705</v>
      </c>
      <c r="H32" s="3">
        <v>42736</v>
      </c>
      <c r="I32" s="3">
        <v>42736</v>
      </c>
      <c r="J32" s="3">
        <v>42795</v>
      </c>
      <c r="K32" s="3">
        <v>42826</v>
      </c>
      <c r="L32" s="3">
        <v>42856</v>
      </c>
      <c r="M32" s="3">
        <v>42887</v>
      </c>
      <c r="N32" s="35" t="s">
        <v>33</v>
      </c>
      <c r="O32" s="35" t="s">
        <v>34</v>
      </c>
      <c r="P32"/>
    </row>
    <row r="33" spans="1:16" s="1" customFormat="1" ht="15" customHeight="1">
      <c r="A33" s="36" t="s">
        <v>31</v>
      </c>
      <c r="B33" s="37">
        <v>0</v>
      </c>
      <c r="C33" s="37">
        <v>0</v>
      </c>
      <c r="D33" s="37">
        <v>1</v>
      </c>
      <c r="E33" s="37">
        <v>0</v>
      </c>
      <c r="F33" s="37">
        <v>0</v>
      </c>
      <c r="G33" s="37">
        <v>1</v>
      </c>
      <c r="H33" s="37">
        <v>5</v>
      </c>
      <c r="I33" s="37">
        <f>COUNTIFS('Base NEXE '!$A:$A,"CF7",'Base NEXE '!$G:$G,"*ROSC*")</f>
        <v>9</v>
      </c>
      <c r="J33" s="37"/>
      <c r="K33" s="37"/>
      <c r="L33" s="37"/>
      <c r="M33" s="37"/>
      <c r="N33" s="38"/>
      <c r="O33" s="38"/>
      <c r="P33"/>
    </row>
    <row r="34" spans="1:16" s="1" customFormat="1" ht="15" customHeight="1">
      <c r="A34" s="36" t="s">
        <v>36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</v>
      </c>
      <c r="H34" s="37">
        <v>0</v>
      </c>
      <c r="I34" s="37">
        <f>COUNTIFS('Base NEXE '!$A:$A,"CF7",'Base NEXE '!$G:$G,"*ROSC*",'Base NEXE '!$F:$F,"*NEXE*")</f>
        <v>4</v>
      </c>
      <c r="J34" s="37"/>
      <c r="K34" s="37"/>
      <c r="L34" s="37"/>
      <c r="M34" s="37"/>
      <c r="N34" s="38"/>
      <c r="O34" s="38"/>
      <c r="P34"/>
    </row>
    <row r="35" spans="1:16" s="1" customFormat="1" ht="15" customHeight="1">
      <c r="A35" s="36" t="s">
        <v>35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9">
        <f>SUM(B33:M33)</f>
        <v>16</v>
      </c>
      <c r="O35" s="39">
        <f>SUM(B34:M34)</f>
        <v>5</v>
      </c>
      <c r="P35"/>
    </row>
    <row r="37" spans="1:16" s="1" customFormat="1">
      <c r="A37" s="7" t="s">
        <v>41</v>
      </c>
    </row>
    <row r="38" spans="1:16" s="1" customFormat="1"/>
    <row r="39" spans="1:16" s="1" customFormat="1" ht="24">
      <c r="A39" s="2" t="s">
        <v>0</v>
      </c>
      <c r="B39" s="3">
        <v>42552</v>
      </c>
      <c r="C39" s="3">
        <v>42583</v>
      </c>
      <c r="D39" s="3">
        <v>42614</v>
      </c>
      <c r="E39" s="3">
        <v>42644</v>
      </c>
      <c r="F39" s="3">
        <v>42675</v>
      </c>
      <c r="G39" s="3">
        <v>42705</v>
      </c>
      <c r="H39" s="3">
        <v>42736</v>
      </c>
      <c r="I39" s="3">
        <v>42736</v>
      </c>
      <c r="J39" s="3">
        <v>42795</v>
      </c>
      <c r="K39" s="3">
        <v>42826</v>
      </c>
      <c r="L39" s="3">
        <v>42856</v>
      </c>
      <c r="M39" s="3">
        <v>42887</v>
      </c>
      <c r="N39" s="35" t="s">
        <v>33</v>
      </c>
      <c r="O39" s="35" t="s">
        <v>34</v>
      </c>
      <c r="P39"/>
    </row>
    <row r="40" spans="1:16" s="1" customFormat="1" ht="15" customHeight="1">
      <c r="A40" s="36" t="s">
        <v>31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0</v>
      </c>
      <c r="H40" s="37">
        <v>0</v>
      </c>
      <c r="I40" s="37">
        <f>COUNTIFS('Base NEXE '!$A:$A,"CF7",'Base NEXE '!$G:$G,"*TOTO*")</f>
        <v>0</v>
      </c>
      <c r="J40" s="37"/>
      <c r="K40" s="37"/>
      <c r="L40" s="37"/>
      <c r="M40" s="37"/>
      <c r="N40" s="38"/>
      <c r="O40" s="38"/>
      <c r="P40"/>
    </row>
    <row r="41" spans="1:16" s="1" customFormat="1" ht="15" customHeight="1">
      <c r="A41" s="36" t="s">
        <v>36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0</v>
      </c>
      <c r="H41" s="37">
        <v>0</v>
      </c>
      <c r="I41" s="37">
        <f>COUNTIFS('Base NEXE '!$A:$A,"CF7",'Base NEXE '!$G:$G,"*TOTO*",'Base NEXE '!$F:$F,"*NEXE*")</f>
        <v>0</v>
      </c>
      <c r="J41" s="37"/>
      <c r="K41" s="37"/>
      <c r="L41" s="37"/>
      <c r="M41" s="37"/>
      <c r="N41" s="38"/>
      <c r="O41" s="38"/>
      <c r="P41"/>
    </row>
    <row r="42" spans="1:16" s="1" customFormat="1" ht="15" customHeight="1">
      <c r="A42" s="36" t="s">
        <v>35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9">
        <f>SUM(B40:M40)</f>
        <v>0</v>
      </c>
      <c r="O42" s="39">
        <f>SUM(B41:M41)</f>
        <v>0</v>
      </c>
      <c r="P42"/>
    </row>
    <row r="44" spans="1:16" s="1" customFormat="1">
      <c r="A44" s="7" t="s">
        <v>42</v>
      </c>
    </row>
    <row r="45" spans="1:16" s="1" customFormat="1"/>
    <row r="46" spans="1:16" s="1" customFormat="1" ht="24">
      <c r="A46" s="2" t="s">
        <v>0</v>
      </c>
      <c r="B46" s="3">
        <v>42552</v>
      </c>
      <c r="C46" s="3">
        <v>42583</v>
      </c>
      <c r="D46" s="3">
        <v>42614</v>
      </c>
      <c r="E46" s="3">
        <v>42644</v>
      </c>
      <c r="F46" s="3">
        <v>42675</v>
      </c>
      <c r="G46" s="3">
        <v>42705</v>
      </c>
      <c r="H46" s="3">
        <v>42736</v>
      </c>
      <c r="I46" s="3">
        <v>42736</v>
      </c>
      <c r="J46" s="3">
        <v>42795</v>
      </c>
      <c r="K46" s="3">
        <v>42826</v>
      </c>
      <c r="L46" s="3">
        <v>42856</v>
      </c>
      <c r="M46" s="3">
        <v>42887</v>
      </c>
      <c r="N46" s="35" t="s">
        <v>33</v>
      </c>
      <c r="O46" s="35" t="s">
        <v>34</v>
      </c>
      <c r="P46"/>
    </row>
    <row r="47" spans="1:16" s="1" customFormat="1" ht="15" customHeight="1">
      <c r="A47" s="36" t="s">
        <v>31</v>
      </c>
      <c r="B47" s="37">
        <v>25</v>
      </c>
      <c r="C47" s="37">
        <v>22</v>
      </c>
      <c r="D47" s="37">
        <v>22</v>
      </c>
      <c r="E47" s="37">
        <v>19</v>
      </c>
      <c r="F47" s="37">
        <v>22</v>
      </c>
      <c r="G47" s="37">
        <v>18</v>
      </c>
      <c r="H47" s="37">
        <v>24</v>
      </c>
      <c r="I47" s="37">
        <f>COUNTIFS('Base NEXE '!$A:$A,"CF4",'Base NEXE '!$G:$G,"*REV3*")</f>
        <v>25</v>
      </c>
      <c r="J47" s="37"/>
      <c r="K47" s="37"/>
      <c r="L47" s="37"/>
      <c r="M47" s="37"/>
      <c r="N47" s="38"/>
      <c r="O47" s="38"/>
      <c r="P47"/>
    </row>
    <row r="48" spans="1:16" s="1" customFormat="1" ht="15" customHeight="1">
      <c r="A48" s="36" t="s">
        <v>36</v>
      </c>
      <c r="B48" s="37">
        <v>4</v>
      </c>
      <c r="C48" s="37">
        <v>17</v>
      </c>
      <c r="D48" s="37">
        <v>17</v>
      </c>
      <c r="E48" s="37">
        <v>17</v>
      </c>
      <c r="F48" s="37">
        <v>17</v>
      </c>
      <c r="G48" s="37">
        <v>18</v>
      </c>
      <c r="H48" s="37">
        <v>18</v>
      </c>
      <c r="I48" s="37">
        <f>COUNTIFS('Base NEXE '!$A:$A,"CF4",'Base NEXE '!$G:$G,"*REV3*",'Base NEXE '!$F:$F,"*NEXE*")</f>
        <v>17</v>
      </c>
      <c r="J48" s="37"/>
      <c r="K48" s="37"/>
      <c r="L48" s="37"/>
      <c r="M48" s="37"/>
      <c r="N48" s="38"/>
      <c r="O48" s="38"/>
      <c r="P48"/>
    </row>
    <row r="49" spans="1:16" s="1" customFormat="1" ht="15" customHeight="1">
      <c r="A49" s="36" t="s">
        <v>35</v>
      </c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9">
        <f>SUM(B47:M47)</f>
        <v>177</v>
      </c>
      <c r="O49" s="39">
        <f>SUM(B48:M48)</f>
        <v>125</v>
      </c>
      <c r="P49"/>
    </row>
    <row r="51" spans="1:16" s="1" customFormat="1">
      <c r="A51" s="7" t="s">
        <v>43</v>
      </c>
    </row>
    <row r="52" spans="1:16" s="1" customFormat="1"/>
    <row r="53" spans="1:16" s="1" customFormat="1" ht="24">
      <c r="A53" s="2" t="s">
        <v>0</v>
      </c>
      <c r="B53" s="3">
        <v>42552</v>
      </c>
      <c r="C53" s="3">
        <v>42583</v>
      </c>
      <c r="D53" s="3">
        <v>42614</v>
      </c>
      <c r="E53" s="3">
        <v>42644</v>
      </c>
      <c r="F53" s="3">
        <v>42675</v>
      </c>
      <c r="G53" s="3">
        <v>42705</v>
      </c>
      <c r="H53" s="3">
        <v>42736</v>
      </c>
      <c r="I53" s="3">
        <v>42736</v>
      </c>
      <c r="J53" s="3">
        <v>42795</v>
      </c>
      <c r="K53" s="3">
        <v>42826</v>
      </c>
      <c r="L53" s="3">
        <v>42856</v>
      </c>
      <c r="M53" s="3">
        <v>42887</v>
      </c>
      <c r="N53" s="35" t="s">
        <v>33</v>
      </c>
      <c r="O53" s="35" t="s">
        <v>34</v>
      </c>
      <c r="P53"/>
    </row>
    <row r="54" spans="1:16" s="1" customFormat="1" ht="15" customHeight="1">
      <c r="A54" s="36" t="s">
        <v>31</v>
      </c>
      <c r="B54" s="37">
        <v>75</v>
      </c>
      <c r="C54" s="37">
        <v>59</v>
      </c>
      <c r="D54" s="37">
        <v>66</v>
      </c>
      <c r="E54" s="37">
        <v>52</v>
      </c>
      <c r="F54" s="37">
        <v>59</v>
      </c>
      <c r="G54" s="37">
        <v>53</v>
      </c>
      <c r="H54" s="37">
        <v>71</v>
      </c>
      <c r="I54" s="37">
        <f>COUNTIFS('Base NEXE '!$A:$A,"CF4",'Base NEXE '!$G:$G,"*REV4*")</f>
        <v>56</v>
      </c>
      <c r="J54" s="37"/>
      <c r="K54" s="37"/>
      <c r="L54" s="37"/>
      <c r="M54" s="37"/>
      <c r="N54" s="38"/>
      <c r="O54" s="38"/>
      <c r="P54"/>
    </row>
    <row r="55" spans="1:16" s="1" customFormat="1" ht="15" customHeight="1">
      <c r="A55" s="36" t="s">
        <v>36</v>
      </c>
      <c r="B55" s="37">
        <v>30</v>
      </c>
      <c r="C55" s="37">
        <v>17</v>
      </c>
      <c r="D55" s="37">
        <v>24</v>
      </c>
      <c r="E55" s="37">
        <v>16</v>
      </c>
      <c r="F55" s="37">
        <v>27</v>
      </c>
      <c r="G55" s="37">
        <v>16</v>
      </c>
      <c r="H55" s="37">
        <v>33</v>
      </c>
      <c r="I55" s="37">
        <f>COUNTIFS('Base NEXE '!$A:$A,"CF4",'Base NEXE '!$G:$G,"*REV4*",'Base NEXE '!$F:$F,"*NEXE*")</f>
        <v>18</v>
      </c>
      <c r="J55" s="37"/>
      <c r="K55" s="37"/>
      <c r="L55" s="37"/>
      <c r="M55" s="37"/>
      <c r="N55" s="38"/>
      <c r="O55" s="38"/>
      <c r="P55"/>
    </row>
    <row r="56" spans="1:16" s="1" customFormat="1" ht="15" customHeight="1">
      <c r="A56" s="36" t="s">
        <v>35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9">
        <f>SUM(B54:M54)</f>
        <v>491</v>
      </c>
      <c r="O56" s="39">
        <f>SUM(B55:M55)</f>
        <v>181</v>
      </c>
      <c r="P56"/>
    </row>
    <row r="58" spans="1:16" s="1" customFormat="1">
      <c r="A58" s="7" t="s">
        <v>69</v>
      </c>
    </row>
    <row r="59" spans="1:16" s="1" customFormat="1"/>
    <row r="60" spans="1:16" s="1" customFormat="1" ht="24">
      <c r="A60" s="2" t="s">
        <v>0</v>
      </c>
      <c r="B60" s="3">
        <v>42552</v>
      </c>
      <c r="C60" s="3">
        <v>42583</v>
      </c>
      <c r="D60" s="3">
        <v>42614</v>
      </c>
      <c r="E60" s="3">
        <v>42644</v>
      </c>
      <c r="F60" s="3">
        <v>42675</v>
      </c>
      <c r="G60" s="3">
        <v>42705</v>
      </c>
      <c r="H60" s="3">
        <v>42736</v>
      </c>
      <c r="I60" s="3">
        <v>42736</v>
      </c>
      <c r="J60" s="3">
        <v>42795</v>
      </c>
      <c r="K60" s="3">
        <v>42826</v>
      </c>
      <c r="L60" s="3">
        <v>42856</v>
      </c>
      <c r="M60" s="3">
        <v>42887</v>
      </c>
      <c r="N60" s="35" t="s">
        <v>33</v>
      </c>
      <c r="O60" s="35" t="s">
        <v>34</v>
      </c>
      <c r="P60"/>
    </row>
    <row r="61" spans="1:16" s="1" customFormat="1" ht="15" customHeight="1">
      <c r="A61" s="36" t="s">
        <v>31</v>
      </c>
      <c r="B61" s="37">
        <v>88</v>
      </c>
      <c r="C61" s="37">
        <v>43</v>
      </c>
      <c r="D61" s="37">
        <v>48</v>
      </c>
      <c r="E61" s="37">
        <v>42</v>
      </c>
      <c r="F61" s="37">
        <v>55</v>
      </c>
      <c r="G61" s="37">
        <v>58</v>
      </c>
      <c r="H61" s="37">
        <v>52</v>
      </c>
      <c r="I61" s="37">
        <f>COUNTIFS('Base NEXE '!$A:$A,"SR2",'Base NEXE '!$G:$G,"*RES1*")</f>
        <v>43</v>
      </c>
      <c r="J61" s="37"/>
      <c r="K61" s="37"/>
      <c r="L61" s="37"/>
      <c r="M61" s="37"/>
      <c r="N61" s="38"/>
      <c r="O61" s="38"/>
      <c r="P61"/>
    </row>
    <row r="62" spans="1:16" s="1" customFormat="1" ht="15" customHeight="1">
      <c r="A62" s="36" t="s">
        <v>36</v>
      </c>
      <c r="B62" s="37">
        <v>0</v>
      </c>
      <c r="C62" s="37">
        <v>30</v>
      </c>
      <c r="D62" s="37">
        <v>37</v>
      </c>
      <c r="E62" s="37">
        <v>10</v>
      </c>
      <c r="F62" s="37">
        <v>12</v>
      </c>
      <c r="G62" s="37">
        <v>0</v>
      </c>
      <c r="H62" s="37">
        <v>0</v>
      </c>
      <c r="I62" s="37">
        <f>COUNTIFS('Base NEXE '!$A:$A,"SR2",'Base NEXE '!$G:$G,"*RES1*",'Base NEXE '!$F:$F,"*NEXE*")</f>
        <v>0</v>
      </c>
      <c r="J62" s="37"/>
      <c r="K62" s="37"/>
      <c r="L62" s="37"/>
      <c r="M62" s="37"/>
      <c r="N62" s="38"/>
      <c r="O62" s="38"/>
      <c r="P62"/>
    </row>
    <row r="63" spans="1:16" s="1" customFormat="1" ht="15" customHeight="1">
      <c r="A63" s="36" t="s">
        <v>35</v>
      </c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9">
        <f>SUM(B61:M61)</f>
        <v>429</v>
      </c>
      <c r="O63" s="39">
        <f>SUM(B62:M62)</f>
        <v>89</v>
      </c>
      <c r="P63"/>
    </row>
    <row r="65" spans="1:16" s="1" customFormat="1">
      <c r="A65" s="7" t="s">
        <v>70</v>
      </c>
    </row>
    <row r="66" spans="1:16" s="1" customFormat="1"/>
    <row r="67" spans="1:16" s="1" customFormat="1" ht="24">
      <c r="A67" s="2" t="s">
        <v>0</v>
      </c>
      <c r="B67" s="3">
        <v>42552</v>
      </c>
      <c r="C67" s="3">
        <v>42583</v>
      </c>
      <c r="D67" s="3">
        <v>42614</v>
      </c>
      <c r="E67" s="3">
        <v>42644</v>
      </c>
      <c r="F67" s="3">
        <v>42675</v>
      </c>
      <c r="G67" s="3">
        <v>42705</v>
      </c>
      <c r="H67" s="3">
        <v>42736</v>
      </c>
      <c r="I67" s="3">
        <v>42736</v>
      </c>
      <c r="J67" s="3">
        <v>42795</v>
      </c>
      <c r="K67" s="3">
        <v>42826</v>
      </c>
      <c r="L67" s="3">
        <v>42856</v>
      </c>
      <c r="M67" s="3">
        <v>42887</v>
      </c>
      <c r="N67" s="35" t="s">
        <v>33</v>
      </c>
      <c r="O67" s="35" t="s">
        <v>34</v>
      </c>
      <c r="P67"/>
    </row>
    <row r="68" spans="1:16" s="1" customFormat="1" ht="15" customHeight="1">
      <c r="A68" s="36" t="s">
        <v>31</v>
      </c>
      <c r="B68" s="37">
        <v>16</v>
      </c>
      <c r="C68" s="37">
        <v>12</v>
      </c>
      <c r="D68" s="37">
        <v>14</v>
      </c>
      <c r="E68" s="37">
        <v>13</v>
      </c>
      <c r="F68" s="37">
        <v>13</v>
      </c>
      <c r="G68" s="37">
        <v>21</v>
      </c>
      <c r="H68" s="37">
        <v>12</v>
      </c>
      <c r="I68" s="37">
        <f>COUNTIFS('Base NEXE '!$A:$A,"SR3",'Base NEXE '!$G:$G,"*RES2*")</f>
        <v>15</v>
      </c>
      <c r="J68" s="37"/>
      <c r="K68" s="37"/>
      <c r="L68" s="37"/>
      <c r="M68" s="37"/>
      <c r="N68" s="38"/>
      <c r="O68" s="38"/>
      <c r="P68"/>
    </row>
    <row r="69" spans="1:16" s="1" customFormat="1" ht="15" customHeight="1">
      <c r="A69" s="36" t="s">
        <v>36</v>
      </c>
      <c r="B69" s="37">
        <v>14</v>
      </c>
      <c r="C69" s="37">
        <v>10</v>
      </c>
      <c r="D69" s="37">
        <v>12</v>
      </c>
      <c r="E69" s="37">
        <v>11</v>
      </c>
      <c r="F69" s="37">
        <v>11</v>
      </c>
      <c r="G69" s="37">
        <v>19</v>
      </c>
      <c r="H69" s="37">
        <v>10</v>
      </c>
      <c r="I69" s="37">
        <f>COUNTIFS('Base NEXE '!$A:$A,"SR3",'Base NEXE '!$G:$G,"*RES2*",'Base NEXE '!$F:$F,"*NEXE*")</f>
        <v>13</v>
      </c>
      <c r="J69" s="37"/>
      <c r="K69" s="37"/>
      <c r="L69" s="37"/>
      <c r="M69" s="37"/>
      <c r="N69" s="38"/>
      <c r="O69" s="38"/>
      <c r="P69"/>
    </row>
    <row r="70" spans="1:16" s="1" customFormat="1" ht="15" customHeight="1">
      <c r="A70" s="36" t="s">
        <v>35</v>
      </c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9">
        <f>SUM(B68:M68)</f>
        <v>116</v>
      </c>
      <c r="O70" s="39">
        <f>SUM(B69:M69)</f>
        <v>100</v>
      </c>
      <c r="P70"/>
    </row>
    <row r="71" spans="1:16" ht="14.25" customHeight="1"/>
    <row r="73" spans="1:16" s="1" customFormat="1">
      <c r="A73" s="7" t="s">
        <v>44</v>
      </c>
    </row>
    <row r="74" spans="1:16" s="1" customFormat="1"/>
    <row r="75" spans="1:16" s="1" customFormat="1" ht="24">
      <c r="A75" s="2" t="s">
        <v>0</v>
      </c>
      <c r="B75" s="3">
        <v>42552</v>
      </c>
      <c r="C75" s="3">
        <v>42583</v>
      </c>
      <c r="D75" s="3">
        <v>42614</v>
      </c>
      <c r="E75" s="3">
        <v>42644</v>
      </c>
      <c r="F75" s="3">
        <v>42675</v>
      </c>
      <c r="G75" s="3">
        <v>42705</v>
      </c>
      <c r="H75" s="3">
        <v>42736</v>
      </c>
      <c r="I75" s="3">
        <v>42736</v>
      </c>
      <c r="J75" s="3">
        <v>42795</v>
      </c>
      <c r="K75" s="3">
        <v>42826</v>
      </c>
      <c r="L75" s="3">
        <v>42856</v>
      </c>
      <c r="M75" s="3">
        <v>42887</v>
      </c>
      <c r="N75" s="35" t="s">
        <v>33</v>
      </c>
      <c r="O75" s="35" t="s">
        <v>34</v>
      </c>
      <c r="P75"/>
    </row>
    <row r="76" spans="1:16" s="1" customFormat="1" ht="15" customHeight="1">
      <c r="A76" s="36" t="s">
        <v>31</v>
      </c>
      <c r="B76" s="37">
        <v>88</v>
      </c>
      <c r="C76" s="37">
        <v>96</v>
      </c>
      <c r="D76" s="37">
        <v>42</v>
      </c>
      <c r="E76" s="37">
        <v>107</v>
      </c>
      <c r="F76" s="37">
        <v>97</v>
      </c>
      <c r="G76" s="37">
        <v>111</v>
      </c>
      <c r="H76" s="37">
        <v>73</v>
      </c>
      <c r="I76" s="37">
        <f>COUNTIFS('Base NEXE '!$A:$A,"CF8")</f>
        <v>89</v>
      </c>
      <c r="J76" s="37"/>
      <c r="K76" s="37"/>
      <c r="L76" s="37"/>
      <c r="M76" s="37"/>
      <c r="N76" s="38"/>
      <c r="O76" s="38"/>
      <c r="P76"/>
    </row>
    <row r="77" spans="1:16" s="1" customFormat="1" ht="15" customHeight="1">
      <c r="A77" s="36" t="s">
        <v>36</v>
      </c>
      <c r="B77" s="37">
        <v>0</v>
      </c>
      <c r="C77" s="37">
        <v>0</v>
      </c>
      <c r="D77" s="37">
        <v>0</v>
      </c>
      <c r="E77" s="37">
        <v>0</v>
      </c>
      <c r="F77" s="37">
        <v>0</v>
      </c>
      <c r="G77" s="37">
        <v>0</v>
      </c>
      <c r="H77" s="37">
        <v>1</v>
      </c>
      <c r="I77" s="37">
        <f>COUNTIFS('Base NEXE '!$A:$A,"CF8",'Base NEXE '!$F:$F,"*NEXE*")</f>
        <v>7</v>
      </c>
      <c r="J77" s="37"/>
      <c r="K77" s="37"/>
      <c r="L77" s="37"/>
      <c r="M77" s="37"/>
      <c r="N77" s="38"/>
      <c r="O77" s="38"/>
      <c r="P77"/>
    </row>
    <row r="78" spans="1:16" s="1" customFormat="1" ht="15" customHeight="1">
      <c r="A78" s="36" t="s">
        <v>35</v>
      </c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9">
        <f>SUM(B76:M76)</f>
        <v>703</v>
      </c>
      <c r="O78" s="39">
        <f>SUM(B77:M77)</f>
        <v>8</v>
      </c>
      <c r="P78"/>
    </row>
    <row r="81" spans="1:16" s="1" customFormat="1">
      <c r="A81" s="7" t="s">
        <v>45</v>
      </c>
    </row>
    <row r="82" spans="1:16" s="1" customFormat="1"/>
    <row r="83" spans="1:16" s="1" customFormat="1" ht="24">
      <c r="A83" s="2" t="s">
        <v>0</v>
      </c>
      <c r="B83" s="3">
        <v>42552</v>
      </c>
      <c r="C83" s="3">
        <v>42583</v>
      </c>
      <c r="D83" s="3">
        <v>42614</v>
      </c>
      <c r="E83" s="3">
        <v>42644</v>
      </c>
      <c r="F83" s="3">
        <v>42675</v>
      </c>
      <c r="G83" s="3">
        <v>42705</v>
      </c>
      <c r="H83" s="3">
        <v>42736</v>
      </c>
      <c r="I83" s="3">
        <v>42736</v>
      </c>
      <c r="J83" s="3">
        <v>42795</v>
      </c>
      <c r="K83" s="3">
        <v>42826</v>
      </c>
      <c r="L83" s="3">
        <v>42856</v>
      </c>
      <c r="M83" s="3">
        <v>42887</v>
      </c>
      <c r="N83" s="35" t="s">
        <v>33</v>
      </c>
      <c r="O83" s="35" t="s">
        <v>34</v>
      </c>
      <c r="P83"/>
    </row>
    <row r="84" spans="1:16" s="1" customFormat="1" ht="15" customHeight="1">
      <c r="A84" s="36" t="s">
        <v>31</v>
      </c>
      <c r="B84" s="37">
        <v>41</v>
      </c>
      <c r="C84" s="37">
        <v>31</v>
      </c>
      <c r="D84" s="37">
        <v>34</v>
      </c>
      <c r="E84" s="37">
        <v>36</v>
      </c>
      <c r="F84" s="37">
        <v>29</v>
      </c>
      <c r="G84" s="37">
        <v>32</v>
      </c>
      <c r="H84" s="37">
        <v>29</v>
      </c>
      <c r="I84" s="37">
        <f>COUNTIFS('Base NEXE '!$A:$A,"CFN")</f>
        <v>29</v>
      </c>
      <c r="J84" s="37"/>
      <c r="K84" s="37"/>
      <c r="L84" s="37"/>
      <c r="M84" s="37"/>
      <c r="N84" s="38"/>
      <c r="O84" s="38"/>
      <c r="P84"/>
    </row>
    <row r="85" spans="1:16" s="1" customFormat="1" ht="15" customHeight="1">
      <c r="A85" s="36" t="s">
        <v>36</v>
      </c>
      <c r="B85" s="37">
        <v>1</v>
      </c>
      <c r="C85" s="37">
        <v>0</v>
      </c>
      <c r="D85" s="37">
        <v>0</v>
      </c>
      <c r="E85" s="37">
        <v>0</v>
      </c>
      <c r="F85" s="37">
        <v>0</v>
      </c>
      <c r="G85" s="37">
        <v>0</v>
      </c>
      <c r="H85" s="37">
        <v>0</v>
      </c>
      <c r="I85" s="37">
        <f>COUNTIFS('Base NEXE '!$A:$A,"CFN",'Base NEXE '!$F:$F,"*NEXE*")</f>
        <v>0</v>
      </c>
      <c r="J85" s="37"/>
      <c r="K85" s="37"/>
      <c r="L85" s="37"/>
      <c r="M85" s="37"/>
      <c r="N85" s="38"/>
      <c r="O85" s="38"/>
      <c r="P85"/>
    </row>
    <row r="86" spans="1:16" s="1" customFormat="1" ht="15" customHeight="1">
      <c r="A86" s="36" t="s">
        <v>35</v>
      </c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9">
        <f>SUM(B84:M84)</f>
        <v>261</v>
      </c>
      <c r="O86" s="39">
        <f>SUM(B85:M85)</f>
        <v>1</v>
      </c>
      <c r="P86"/>
    </row>
    <row r="90" spans="1:16" s="1" customFormat="1">
      <c r="A90" s="7" t="s">
        <v>738</v>
      </c>
    </row>
    <row r="91" spans="1:16" s="1" customFormat="1"/>
    <row r="92" spans="1:16" s="1" customFormat="1" ht="24">
      <c r="A92" s="2" t="s">
        <v>0</v>
      </c>
      <c r="B92" s="3">
        <v>42552</v>
      </c>
      <c r="C92" s="3">
        <v>42583</v>
      </c>
      <c r="D92" s="3">
        <v>42614</v>
      </c>
      <c r="E92" s="3">
        <v>42644</v>
      </c>
      <c r="F92" s="3">
        <v>42675</v>
      </c>
      <c r="G92" s="3">
        <v>42705</v>
      </c>
      <c r="H92" s="3">
        <v>42736</v>
      </c>
      <c r="I92" s="3">
        <v>42736</v>
      </c>
      <c r="J92" s="3">
        <v>42795</v>
      </c>
      <c r="K92" s="3">
        <v>42826</v>
      </c>
      <c r="L92" s="3">
        <v>42856</v>
      </c>
      <c r="M92" s="3">
        <v>42887</v>
      </c>
      <c r="N92" s="35" t="s">
        <v>33</v>
      </c>
      <c r="O92" s="35" t="s">
        <v>34</v>
      </c>
      <c r="P92"/>
    </row>
    <row r="93" spans="1:16" s="1" customFormat="1" ht="15" customHeight="1">
      <c r="A93" s="36" t="s">
        <v>31</v>
      </c>
      <c r="B93" s="37">
        <v>856</v>
      </c>
      <c r="C93" s="37">
        <v>825</v>
      </c>
      <c r="D93" s="37">
        <v>770</v>
      </c>
      <c r="E93" s="37">
        <v>963</v>
      </c>
      <c r="F93" s="37">
        <v>664</v>
      </c>
      <c r="G93" s="37">
        <v>733</v>
      </c>
      <c r="H93" s="37">
        <v>1190</v>
      </c>
      <c r="I93" s="37">
        <f>COUNTIFS('Base NEXE '!$A:$A,"CFe")</f>
        <v>327</v>
      </c>
      <c r="J93" s="37"/>
      <c r="K93" s="37"/>
      <c r="L93" s="37"/>
      <c r="M93" s="37"/>
      <c r="N93" s="38"/>
      <c r="O93" s="38"/>
      <c r="P93"/>
    </row>
    <row r="94" spans="1:16" s="1" customFormat="1" ht="15" customHeight="1">
      <c r="A94" s="36" t="s">
        <v>36</v>
      </c>
      <c r="B94" s="37">
        <v>261</v>
      </c>
      <c r="C94" s="37">
        <v>220</v>
      </c>
      <c r="D94" s="37">
        <v>241</v>
      </c>
      <c r="E94" s="37">
        <v>133</v>
      </c>
      <c r="F94" s="37">
        <v>240</v>
      </c>
      <c r="G94" s="37">
        <v>292</v>
      </c>
      <c r="H94" s="37">
        <v>328</v>
      </c>
      <c r="I94" s="37">
        <f>COUNTIFS('Base NEXE '!$A:$A,"CFe",'Base NEXE '!$F:$F,"*NEXE*")</f>
        <v>53</v>
      </c>
      <c r="J94" s="37"/>
      <c r="K94" s="37"/>
      <c r="L94" s="37"/>
      <c r="M94" s="37"/>
      <c r="N94" s="38"/>
      <c r="O94" s="38"/>
      <c r="P94"/>
    </row>
    <row r="95" spans="1:16" s="1" customFormat="1" ht="15" customHeight="1">
      <c r="A95" s="36" t="s">
        <v>35</v>
      </c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9">
        <f>SUM(B93:M93)</f>
        <v>6328</v>
      </c>
      <c r="O95" s="39">
        <f>SUM(B94:M94)</f>
        <v>1768</v>
      </c>
      <c r="P95"/>
    </row>
    <row r="99" spans="1:16" s="1" customFormat="1">
      <c r="A99" s="7" t="s">
        <v>765</v>
      </c>
    </row>
    <row r="100" spans="1:16" s="1" customFormat="1"/>
    <row r="101" spans="1:16" s="1" customFormat="1" ht="24">
      <c r="A101" s="2" t="s">
        <v>0</v>
      </c>
      <c r="B101" s="3">
        <v>42552</v>
      </c>
      <c r="C101" s="3">
        <v>42583</v>
      </c>
      <c r="D101" s="3">
        <v>42614</v>
      </c>
      <c r="E101" s="3">
        <v>42644</v>
      </c>
      <c r="F101" s="3">
        <v>42675</v>
      </c>
      <c r="G101" s="3">
        <v>42705</v>
      </c>
      <c r="H101" s="3">
        <v>42736</v>
      </c>
      <c r="I101" s="3">
        <v>42736</v>
      </c>
      <c r="J101" s="3">
        <v>42795</v>
      </c>
      <c r="K101" s="3">
        <v>42826</v>
      </c>
      <c r="L101" s="3">
        <v>42856</v>
      </c>
      <c r="M101" s="3">
        <v>42887</v>
      </c>
      <c r="N101" s="35" t="s">
        <v>33</v>
      </c>
      <c r="O101" s="35" t="s">
        <v>34</v>
      </c>
      <c r="P101"/>
    </row>
    <row r="102" spans="1:16" s="1" customFormat="1" ht="15" customHeight="1">
      <c r="A102" s="36" t="s">
        <v>31</v>
      </c>
      <c r="B102" s="37">
        <v>25</v>
      </c>
      <c r="C102" s="37">
        <v>27</v>
      </c>
      <c r="D102" s="37">
        <v>28</v>
      </c>
      <c r="E102" s="37">
        <v>24</v>
      </c>
      <c r="F102" s="37">
        <v>36</v>
      </c>
      <c r="G102" s="37">
        <v>34</v>
      </c>
      <c r="H102" s="37">
        <v>36</v>
      </c>
      <c r="I102" s="37">
        <f>COUNTIFS('Base NEXE '!$A:$A,"CF2")</f>
        <v>32</v>
      </c>
      <c r="J102" s="37"/>
      <c r="K102" s="37"/>
      <c r="L102" s="37"/>
      <c r="M102" s="37"/>
      <c r="N102" s="38"/>
      <c r="O102" s="38"/>
      <c r="P102"/>
    </row>
    <row r="103" spans="1:16" s="1" customFormat="1" ht="15" customHeight="1">
      <c r="A103" s="36" t="s">
        <v>36</v>
      </c>
      <c r="B103" s="37">
        <v>0</v>
      </c>
      <c r="C103" s="37">
        <v>0</v>
      </c>
      <c r="D103" s="37">
        <v>0</v>
      </c>
      <c r="E103" s="37">
        <v>0</v>
      </c>
      <c r="F103" s="37">
        <v>0</v>
      </c>
      <c r="G103" s="37">
        <v>0</v>
      </c>
      <c r="H103" s="37">
        <v>2</v>
      </c>
      <c r="I103" s="37">
        <f>COUNTIFS('Base NEXE '!$A:$A,"CF2",'Base NEXE '!$F:$F,"*NEXE*")</f>
        <v>0</v>
      </c>
      <c r="J103" s="37"/>
      <c r="K103" s="37"/>
      <c r="L103" s="37"/>
      <c r="M103" s="37"/>
      <c r="N103" s="38"/>
      <c r="O103" s="38"/>
      <c r="P103"/>
    </row>
    <row r="104" spans="1:16" s="1" customFormat="1" ht="15" customHeight="1">
      <c r="A104" s="36" t="s">
        <v>35</v>
      </c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9">
        <f>SUM(B102:M102)</f>
        <v>242</v>
      </c>
      <c r="O104" s="39">
        <f>SUM(B103:M103)</f>
        <v>2</v>
      </c>
      <c r="P104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34"/>
  <sheetViews>
    <sheetView workbookViewId="0">
      <selection activeCell="A3" sqref="A3:K979"/>
    </sheetView>
  </sheetViews>
  <sheetFormatPr defaultRowHeight="12.75"/>
  <cols>
    <col min="1" max="1" width="11.5703125" bestFit="1" customWidth="1"/>
    <col min="2" max="2" width="15.5703125" bestFit="1" customWidth="1"/>
    <col min="3" max="3" width="14" bestFit="1" customWidth="1"/>
    <col min="4" max="4" width="12" bestFit="1" customWidth="1"/>
    <col min="5" max="5" width="45.5703125" bestFit="1" customWidth="1"/>
    <col min="6" max="6" width="44.85546875" bestFit="1" customWidth="1"/>
    <col min="7" max="7" width="30" bestFit="1" customWidth="1"/>
    <col min="8" max="8" width="13.85546875" bestFit="1" customWidth="1"/>
    <col min="9" max="9" width="13.42578125" bestFit="1" customWidth="1"/>
    <col min="10" max="10" width="12.7109375" bestFit="1" customWidth="1"/>
    <col min="11" max="11" width="10.7109375" bestFit="1" customWidth="1"/>
  </cols>
  <sheetData>
    <row r="1" spans="1:12" ht="22.5" customHeight="1">
      <c r="D1" s="46">
        <f>SUBTOTAL(3,D3:D2334)</f>
        <v>977</v>
      </c>
    </row>
    <row r="2" spans="1:12" ht="17.100000000000001" customHeight="1">
      <c r="A2" s="41" t="s">
        <v>48</v>
      </c>
      <c r="B2" s="42" t="s">
        <v>49</v>
      </c>
      <c r="C2" s="42" t="s">
        <v>50</v>
      </c>
      <c r="D2" s="42" t="s">
        <v>51</v>
      </c>
      <c r="E2" s="42" t="s">
        <v>52</v>
      </c>
      <c r="F2" s="42" t="s">
        <v>53</v>
      </c>
      <c r="G2" s="42" t="s">
        <v>54</v>
      </c>
      <c r="H2" s="42" t="s">
        <v>55</v>
      </c>
      <c r="I2" s="42" t="s">
        <v>56</v>
      </c>
      <c r="J2" s="42" t="s">
        <v>57</v>
      </c>
      <c r="K2" s="42" t="s">
        <v>58</v>
      </c>
    </row>
    <row r="3" spans="1:12" ht="17.100000000000001" customHeight="1">
      <c r="A3" s="43" t="s">
        <v>766</v>
      </c>
      <c r="B3" s="44" t="s">
        <v>767</v>
      </c>
      <c r="C3" s="44" t="s">
        <v>73</v>
      </c>
      <c r="D3" s="85">
        <v>10104924784</v>
      </c>
      <c r="E3" s="44" t="s">
        <v>768</v>
      </c>
      <c r="F3" s="44" t="s">
        <v>500</v>
      </c>
      <c r="G3" s="44" t="s">
        <v>769</v>
      </c>
      <c r="H3" s="44" t="s">
        <v>74</v>
      </c>
      <c r="I3" s="45">
        <v>42788</v>
      </c>
      <c r="J3" s="45">
        <v>42788</v>
      </c>
      <c r="K3" s="45"/>
      <c r="L3" s="45"/>
    </row>
    <row r="4" spans="1:12" ht="17.100000000000001" customHeight="1">
      <c r="A4" s="43" t="s">
        <v>766</v>
      </c>
      <c r="B4" s="44" t="s">
        <v>767</v>
      </c>
      <c r="C4" s="44" t="s">
        <v>73</v>
      </c>
      <c r="D4" s="85">
        <v>10104932221</v>
      </c>
      <c r="E4" s="44" t="s">
        <v>857</v>
      </c>
      <c r="F4" s="44" t="s">
        <v>500</v>
      </c>
      <c r="G4" s="44" t="s">
        <v>858</v>
      </c>
      <c r="H4" s="44" t="s">
        <v>74</v>
      </c>
      <c r="I4" s="45">
        <v>42794</v>
      </c>
      <c r="J4" s="45">
        <v>42794</v>
      </c>
      <c r="K4" s="45"/>
      <c r="L4" s="45"/>
    </row>
    <row r="5" spans="1:12" ht="17.100000000000001" customHeight="1">
      <c r="A5" s="43" t="s">
        <v>766</v>
      </c>
      <c r="B5" s="44" t="s">
        <v>770</v>
      </c>
      <c r="C5" s="44" t="s">
        <v>73</v>
      </c>
      <c r="D5" s="85">
        <v>10104932213</v>
      </c>
      <c r="E5" s="44" t="s">
        <v>859</v>
      </c>
      <c r="F5" s="44" t="s">
        <v>960</v>
      </c>
      <c r="G5" s="44" t="s">
        <v>860</v>
      </c>
      <c r="H5" s="44" t="s">
        <v>74</v>
      </c>
      <c r="I5" s="45">
        <v>42790</v>
      </c>
      <c r="J5" s="45">
        <v>42790</v>
      </c>
      <c r="K5" s="45">
        <v>42781</v>
      </c>
      <c r="L5" s="45"/>
    </row>
    <row r="6" spans="1:12" ht="17.100000000000001" customHeight="1">
      <c r="A6" s="43" t="s">
        <v>766</v>
      </c>
      <c r="B6" s="44" t="s">
        <v>770</v>
      </c>
      <c r="C6" s="44" t="s">
        <v>73</v>
      </c>
      <c r="D6" s="85">
        <v>10104949048</v>
      </c>
      <c r="E6" s="44" t="s">
        <v>861</v>
      </c>
      <c r="F6" s="44" t="s">
        <v>500</v>
      </c>
      <c r="G6" s="44" t="s">
        <v>772</v>
      </c>
      <c r="H6" s="44" t="s">
        <v>76</v>
      </c>
      <c r="I6" s="45">
        <v>42786</v>
      </c>
      <c r="J6" s="45">
        <v>42786</v>
      </c>
      <c r="K6" s="45"/>
      <c r="L6" s="45"/>
    </row>
    <row r="7" spans="1:12" ht="17.100000000000001" customHeight="1">
      <c r="A7" s="43" t="s">
        <v>766</v>
      </c>
      <c r="B7" s="44" t="s">
        <v>770</v>
      </c>
      <c r="C7" s="44" t="s">
        <v>73</v>
      </c>
      <c r="D7" s="85">
        <v>10104925721</v>
      </c>
      <c r="E7" s="44" t="s">
        <v>771</v>
      </c>
      <c r="F7" s="44" t="s">
        <v>500</v>
      </c>
      <c r="G7" s="44" t="s">
        <v>772</v>
      </c>
      <c r="H7" s="44" t="s">
        <v>76</v>
      </c>
      <c r="I7" s="45">
        <v>42789</v>
      </c>
      <c r="J7" s="45">
        <v>42789</v>
      </c>
      <c r="K7" s="45"/>
      <c r="L7" s="45"/>
    </row>
    <row r="8" spans="1:12" ht="17.100000000000001" customHeight="1">
      <c r="A8" s="43" t="s">
        <v>766</v>
      </c>
      <c r="B8" s="44" t="s">
        <v>770</v>
      </c>
      <c r="C8" s="44" t="s">
        <v>73</v>
      </c>
      <c r="D8" s="85">
        <v>10104925735</v>
      </c>
      <c r="E8" s="44" t="s">
        <v>773</v>
      </c>
      <c r="F8" s="44" t="s">
        <v>500</v>
      </c>
      <c r="G8" s="44" t="s">
        <v>774</v>
      </c>
      <c r="H8" s="44" t="s">
        <v>76</v>
      </c>
      <c r="I8" s="45">
        <v>42789</v>
      </c>
      <c r="J8" s="45">
        <v>42789</v>
      </c>
      <c r="K8" s="45"/>
      <c r="L8" s="45"/>
    </row>
    <row r="9" spans="1:12" ht="17.100000000000001" customHeight="1">
      <c r="A9" s="43" t="s">
        <v>766</v>
      </c>
      <c r="B9" s="44" t="s">
        <v>770</v>
      </c>
      <c r="C9" s="44" t="s">
        <v>73</v>
      </c>
      <c r="D9" s="85">
        <v>10104925731</v>
      </c>
      <c r="E9" s="44" t="s">
        <v>775</v>
      </c>
      <c r="F9" s="44" t="s">
        <v>500</v>
      </c>
      <c r="G9" s="44" t="s">
        <v>776</v>
      </c>
      <c r="H9" s="44" t="s">
        <v>76</v>
      </c>
      <c r="I9" s="45">
        <v>42789</v>
      </c>
      <c r="J9" s="45">
        <v>42789</v>
      </c>
      <c r="K9" s="45"/>
      <c r="L9" s="45"/>
    </row>
    <row r="10" spans="1:12" ht="17.100000000000001" customHeight="1">
      <c r="A10" s="43" t="s">
        <v>766</v>
      </c>
      <c r="B10" s="44" t="s">
        <v>770</v>
      </c>
      <c r="C10" s="44" t="s">
        <v>73</v>
      </c>
      <c r="D10" s="85">
        <v>10104925722</v>
      </c>
      <c r="E10" s="44" t="s">
        <v>777</v>
      </c>
      <c r="F10" s="44" t="s">
        <v>500</v>
      </c>
      <c r="G10" s="44" t="s">
        <v>778</v>
      </c>
      <c r="H10" s="44" t="s">
        <v>76</v>
      </c>
      <c r="I10" s="45">
        <v>42789</v>
      </c>
      <c r="J10" s="45">
        <v>42789</v>
      </c>
      <c r="K10" s="45"/>
      <c r="L10" s="45"/>
    </row>
    <row r="11" spans="1:12" ht="17.100000000000001" customHeight="1">
      <c r="A11" s="43" t="s">
        <v>766</v>
      </c>
      <c r="B11" s="44" t="s">
        <v>770</v>
      </c>
      <c r="C11" s="44" t="s">
        <v>73</v>
      </c>
      <c r="D11" s="85">
        <v>10104925732</v>
      </c>
      <c r="E11" s="44" t="s">
        <v>779</v>
      </c>
      <c r="F11" s="44" t="s">
        <v>500</v>
      </c>
      <c r="G11" s="44" t="s">
        <v>780</v>
      </c>
      <c r="H11" s="44" t="s">
        <v>76</v>
      </c>
      <c r="I11" s="45">
        <v>42789</v>
      </c>
      <c r="J11" s="45">
        <v>42789</v>
      </c>
      <c r="K11" s="45"/>
      <c r="L11" s="45"/>
    </row>
    <row r="12" spans="1:12" ht="17.100000000000001" customHeight="1">
      <c r="A12" s="43" t="s">
        <v>766</v>
      </c>
      <c r="B12" s="44" t="s">
        <v>781</v>
      </c>
      <c r="C12" s="44" t="s">
        <v>73</v>
      </c>
      <c r="D12" s="85">
        <v>10104925757</v>
      </c>
      <c r="E12" s="44" t="s">
        <v>782</v>
      </c>
      <c r="F12" s="44" t="s">
        <v>500</v>
      </c>
      <c r="G12" s="44" t="s">
        <v>783</v>
      </c>
      <c r="H12" s="44" t="s">
        <v>74</v>
      </c>
      <c r="I12" s="45">
        <v>42789</v>
      </c>
      <c r="J12" s="45">
        <v>42789</v>
      </c>
      <c r="K12" s="45"/>
      <c r="L12" s="45"/>
    </row>
    <row r="13" spans="1:12" ht="17.100000000000001" customHeight="1">
      <c r="A13" s="43" t="s">
        <v>766</v>
      </c>
      <c r="B13" s="44" t="s">
        <v>781</v>
      </c>
      <c r="C13" s="44" t="s">
        <v>73</v>
      </c>
      <c r="D13" s="85">
        <v>10104925758</v>
      </c>
      <c r="E13" s="44" t="s">
        <v>784</v>
      </c>
      <c r="F13" s="44" t="s">
        <v>500</v>
      </c>
      <c r="G13" s="44" t="s">
        <v>785</v>
      </c>
      <c r="H13" s="44" t="s">
        <v>76</v>
      </c>
      <c r="I13" s="45">
        <v>42789</v>
      </c>
      <c r="J13" s="45">
        <v>42789</v>
      </c>
      <c r="K13" s="45"/>
      <c r="L13" s="45"/>
    </row>
    <row r="14" spans="1:12" ht="17.100000000000001" customHeight="1">
      <c r="A14" s="43" t="s">
        <v>766</v>
      </c>
      <c r="B14" s="44" t="s">
        <v>767</v>
      </c>
      <c r="C14" s="44" t="s">
        <v>120</v>
      </c>
      <c r="D14" s="85">
        <v>10104925880</v>
      </c>
      <c r="E14" s="44" t="s">
        <v>786</v>
      </c>
      <c r="F14" s="44" t="s">
        <v>890</v>
      </c>
      <c r="G14" s="44" t="s">
        <v>769</v>
      </c>
      <c r="H14" s="44" t="s">
        <v>74</v>
      </c>
      <c r="I14" s="45">
        <v>42789</v>
      </c>
      <c r="J14" s="45">
        <v>42789</v>
      </c>
      <c r="K14" s="45"/>
      <c r="L14" s="45"/>
    </row>
    <row r="15" spans="1:12" ht="17.100000000000001" customHeight="1">
      <c r="A15" s="43" t="s">
        <v>766</v>
      </c>
      <c r="B15" s="44" t="s">
        <v>767</v>
      </c>
      <c r="C15" s="44" t="s">
        <v>120</v>
      </c>
      <c r="D15" s="85">
        <v>10104925754</v>
      </c>
      <c r="E15" s="44" t="s">
        <v>787</v>
      </c>
      <c r="F15" s="44" t="s">
        <v>890</v>
      </c>
      <c r="G15" s="44" t="s">
        <v>769</v>
      </c>
      <c r="H15" s="44" t="s">
        <v>76</v>
      </c>
      <c r="I15" s="45">
        <v>42789</v>
      </c>
      <c r="J15" s="45">
        <v>42789</v>
      </c>
      <c r="K15" s="45"/>
      <c r="L15" s="45"/>
    </row>
    <row r="16" spans="1:12" ht="17.100000000000001" customHeight="1">
      <c r="A16" s="43" t="s">
        <v>766</v>
      </c>
      <c r="B16" s="44" t="s">
        <v>767</v>
      </c>
      <c r="C16" s="44" t="s">
        <v>120</v>
      </c>
      <c r="D16" s="85">
        <v>10104923811</v>
      </c>
      <c r="E16" s="44" t="s">
        <v>961</v>
      </c>
      <c r="F16" s="44" t="s">
        <v>890</v>
      </c>
      <c r="G16" s="44" t="s">
        <v>769</v>
      </c>
      <c r="H16" s="44" t="s">
        <v>76</v>
      </c>
      <c r="I16" s="45">
        <v>42788</v>
      </c>
      <c r="J16" s="45">
        <v>42788</v>
      </c>
      <c r="K16" s="45"/>
      <c r="L16" s="45"/>
    </row>
    <row r="17" spans="1:12" ht="17.100000000000001" customHeight="1">
      <c r="A17" s="43" t="s">
        <v>766</v>
      </c>
      <c r="B17" s="44" t="s">
        <v>767</v>
      </c>
      <c r="C17" s="44" t="s">
        <v>120</v>
      </c>
      <c r="D17" s="85">
        <v>10104930949</v>
      </c>
      <c r="E17" s="44" t="s">
        <v>962</v>
      </c>
      <c r="F17" s="44" t="s">
        <v>890</v>
      </c>
      <c r="G17" s="44" t="s">
        <v>963</v>
      </c>
      <c r="H17" s="44" t="s">
        <v>332</v>
      </c>
      <c r="I17" s="45">
        <v>42793</v>
      </c>
      <c r="J17" s="45">
        <v>42793</v>
      </c>
      <c r="K17" s="45"/>
      <c r="L17" s="45"/>
    </row>
    <row r="18" spans="1:12" ht="17.100000000000001" customHeight="1">
      <c r="A18" s="43" t="s">
        <v>766</v>
      </c>
      <c r="B18" s="44" t="s">
        <v>767</v>
      </c>
      <c r="C18" s="44" t="s">
        <v>120</v>
      </c>
      <c r="D18" s="85">
        <v>10104839242</v>
      </c>
      <c r="E18" s="44" t="s">
        <v>964</v>
      </c>
      <c r="F18" s="44" t="s">
        <v>891</v>
      </c>
      <c r="G18" s="44" t="s">
        <v>820</v>
      </c>
      <c r="H18" s="44" t="s">
        <v>74</v>
      </c>
      <c r="I18" s="45">
        <v>42794</v>
      </c>
      <c r="J18" s="45">
        <v>42767</v>
      </c>
      <c r="K18" s="45"/>
      <c r="L18" s="45"/>
    </row>
    <row r="19" spans="1:12" ht="17.100000000000001" customHeight="1">
      <c r="A19" s="43" t="s">
        <v>766</v>
      </c>
      <c r="B19" s="44" t="s">
        <v>767</v>
      </c>
      <c r="C19" s="44" t="s">
        <v>120</v>
      </c>
      <c r="D19" s="85">
        <v>10104928569</v>
      </c>
      <c r="E19" s="44" t="s">
        <v>788</v>
      </c>
      <c r="F19" s="44" t="s">
        <v>890</v>
      </c>
      <c r="G19" s="44" t="s">
        <v>789</v>
      </c>
      <c r="H19" s="44" t="s">
        <v>332</v>
      </c>
      <c r="I19" s="45">
        <v>42791</v>
      </c>
      <c r="J19" s="45">
        <v>42791</v>
      </c>
      <c r="K19" s="45"/>
      <c r="L19" s="45"/>
    </row>
    <row r="20" spans="1:12" ht="17.100000000000001" customHeight="1">
      <c r="A20" s="43" t="s">
        <v>766</v>
      </c>
      <c r="B20" s="44" t="s">
        <v>767</v>
      </c>
      <c r="C20" s="44" t="s">
        <v>120</v>
      </c>
      <c r="D20" s="85">
        <v>10104930967</v>
      </c>
      <c r="E20" s="44" t="s">
        <v>965</v>
      </c>
      <c r="F20" s="44" t="s">
        <v>180</v>
      </c>
      <c r="G20" s="44" t="s">
        <v>858</v>
      </c>
      <c r="H20" s="44" t="s">
        <v>332</v>
      </c>
      <c r="I20" s="45">
        <v>42790</v>
      </c>
      <c r="J20" s="45">
        <v>42790</v>
      </c>
      <c r="K20" s="45">
        <v>42789</v>
      </c>
      <c r="L20" s="45"/>
    </row>
    <row r="21" spans="1:12" ht="17.100000000000001" customHeight="1">
      <c r="A21" s="43" t="s">
        <v>766</v>
      </c>
      <c r="B21" s="44" t="s">
        <v>767</v>
      </c>
      <c r="C21" s="44" t="s">
        <v>120</v>
      </c>
      <c r="D21" s="85">
        <v>10104930981</v>
      </c>
      <c r="E21" s="44" t="s">
        <v>966</v>
      </c>
      <c r="F21" s="44" t="s">
        <v>890</v>
      </c>
      <c r="G21" s="44" t="s">
        <v>967</v>
      </c>
      <c r="H21" s="44" t="s">
        <v>332</v>
      </c>
      <c r="I21" s="45">
        <v>42793</v>
      </c>
      <c r="J21" s="45">
        <v>42793</v>
      </c>
      <c r="K21" s="45"/>
      <c r="L21" s="45"/>
    </row>
    <row r="22" spans="1:12" ht="17.100000000000001" customHeight="1">
      <c r="A22" s="43" t="s">
        <v>766</v>
      </c>
      <c r="B22" s="44" t="s">
        <v>767</v>
      </c>
      <c r="C22" s="44" t="s">
        <v>120</v>
      </c>
      <c r="D22" s="85">
        <v>10104930968</v>
      </c>
      <c r="E22" s="44" t="s">
        <v>968</v>
      </c>
      <c r="F22" s="44" t="s">
        <v>890</v>
      </c>
      <c r="G22" s="44" t="s">
        <v>969</v>
      </c>
      <c r="H22" s="44" t="s">
        <v>332</v>
      </c>
      <c r="I22" s="45">
        <v>42793</v>
      </c>
      <c r="J22" s="45">
        <v>42793</v>
      </c>
      <c r="K22" s="45"/>
      <c r="L22" s="45"/>
    </row>
    <row r="23" spans="1:12" ht="17.100000000000001" customHeight="1">
      <c r="A23" s="43" t="s">
        <v>766</v>
      </c>
      <c r="B23" s="44" t="s">
        <v>767</v>
      </c>
      <c r="C23" s="44" t="s">
        <v>120</v>
      </c>
      <c r="D23" s="85">
        <v>10104930950</v>
      </c>
      <c r="E23" s="44" t="s">
        <v>970</v>
      </c>
      <c r="F23" s="44" t="s">
        <v>180</v>
      </c>
      <c r="G23" s="44" t="s">
        <v>971</v>
      </c>
      <c r="H23" s="44" t="s">
        <v>332</v>
      </c>
      <c r="I23" s="45">
        <v>42790</v>
      </c>
      <c r="J23" s="45">
        <v>42790</v>
      </c>
      <c r="K23" s="45">
        <v>42789</v>
      </c>
      <c r="L23" s="45"/>
    </row>
    <row r="24" spans="1:12" ht="17.100000000000001" customHeight="1">
      <c r="A24" s="43" t="s">
        <v>766</v>
      </c>
      <c r="B24" s="44" t="s">
        <v>767</v>
      </c>
      <c r="C24" s="44" t="s">
        <v>120</v>
      </c>
      <c r="D24" s="85">
        <v>10104928568</v>
      </c>
      <c r="E24" s="44" t="s">
        <v>790</v>
      </c>
      <c r="F24" s="44" t="s">
        <v>180</v>
      </c>
      <c r="G24" s="44" t="s">
        <v>791</v>
      </c>
      <c r="H24" s="44" t="s">
        <v>332</v>
      </c>
      <c r="I24" s="45">
        <v>42790</v>
      </c>
      <c r="J24" s="45">
        <v>42790</v>
      </c>
      <c r="K24" s="45">
        <v>42789</v>
      </c>
      <c r="L24" s="45"/>
    </row>
    <row r="25" spans="1:12" ht="17.100000000000001" customHeight="1">
      <c r="A25" s="43" t="s">
        <v>766</v>
      </c>
      <c r="B25" s="44" t="s">
        <v>770</v>
      </c>
      <c r="C25" s="44" t="s">
        <v>120</v>
      </c>
      <c r="D25" s="85">
        <v>10104932237</v>
      </c>
      <c r="E25" s="44" t="s">
        <v>862</v>
      </c>
      <c r="F25" s="44" t="s">
        <v>890</v>
      </c>
      <c r="G25" s="44" t="s">
        <v>863</v>
      </c>
      <c r="H25" s="44" t="s">
        <v>74</v>
      </c>
      <c r="I25" s="45">
        <v>42794</v>
      </c>
      <c r="J25" s="45">
        <v>42794</v>
      </c>
      <c r="K25" s="45"/>
      <c r="L25" s="45"/>
    </row>
    <row r="26" spans="1:12" ht="17.100000000000001" customHeight="1">
      <c r="A26" s="43" t="s">
        <v>766</v>
      </c>
      <c r="B26" s="44" t="s">
        <v>770</v>
      </c>
      <c r="C26" s="44" t="s">
        <v>120</v>
      </c>
      <c r="D26" s="85">
        <v>10104928512</v>
      </c>
      <c r="E26" s="44" t="s">
        <v>792</v>
      </c>
      <c r="F26" s="44" t="s">
        <v>890</v>
      </c>
      <c r="G26" s="44" t="s">
        <v>793</v>
      </c>
      <c r="H26" s="44" t="s">
        <v>74</v>
      </c>
      <c r="I26" s="45">
        <v>42791</v>
      </c>
      <c r="J26" s="45">
        <v>42791</v>
      </c>
      <c r="K26" s="45"/>
      <c r="L26" s="45"/>
    </row>
    <row r="27" spans="1:12" ht="17.100000000000001" customHeight="1">
      <c r="A27" s="43" t="s">
        <v>766</v>
      </c>
      <c r="B27" s="44" t="s">
        <v>770</v>
      </c>
      <c r="C27" s="44" t="s">
        <v>120</v>
      </c>
      <c r="D27" s="85">
        <v>10104932236</v>
      </c>
      <c r="E27" s="44" t="s">
        <v>864</v>
      </c>
      <c r="F27" s="44" t="s">
        <v>890</v>
      </c>
      <c r="G27" s="44" t="s">
        <v>865</v>
      </c>
      <c r="H27" s="44" t="s">
        <v>332</v>
      </c>
      <c r="I27" s="45">
        <v>42794</v>
      </c>
      <c r="J27" s="45">
        <v>42794</v>
      </c>
      <c r="K27" s="45"/>
      <c r="L27" s="45"/>
    </row>
    <row r="28" spans="1:12" ht="17.100000000000001" customHeight="1">
      <c r="A28" s="43" t="s">
        <v>766</v>
      </c>
      <c r="B28" s="44" t="s">
        <v>781</v>
      </c>
      <c r="C28" s="44" t="s">
        <v>120</v>
      </c>
      <c r="D28" s="85">
        <v>10104924798</v>
      </c>
      <c r="E28" s="44" t="s">
        <v>972</v>
      </c>
      <c r="F28" s="44" t="s">
        <v>890</v>
      </c>
      <c r="G28" s="44" t="s">
        <v>783</v>
      </c>
      <c r="H28" s="44" t="s">
        <v>74</v>
      </c>
      <c r="I28" s="45">
        <v>42788</v>
      </c>
      <c r="J28" s="45">
        <v>42788</v>
      </c>
      <c r="K28" s="45"/>
      <c r="L28" s="45"/>
    </row>
    <row r="29" spans="1:12" ht="17.100000000000001" customHeight="1">
      <c r="A29" s="43" t="s">
        <v>766</v>
      </c>
      <c r="B29" s="44" t="s">
        <v>781</v>
      </c>
      <c r="C29" s="44" t="s">
        <v>120</v>
      </c>
      <c r="D29" s="85">
        <v>10104928566</v>
      </c>
      <c r="E29" s="44" t="s">
        <v>794</v>
      </c>
      <c r="F29" s="44" t="s">
        <v>890</v>
      </c>
      <c r="G29" s="44" t="s">
        <v>783</v>
      </c>
      <c r="H29" s="44" t="s">
        <v>332</v>
      </c>
      <c r="I29" s="45">
        <v>42791</v>
      </c>
      <c r="J29" s="45">
        <v>42791</v>
      </c>
      <c r="K29" s="45"/>
      <c r="L29" s="45"/>
    </row>
    <row r="30" spans="1:12" ht="17.100000000000001" customHeight="1">
      <c r="A30" s="43" t="s">
        <v>766</v>
      </c>
      <c r="B30" s="44" t="s">
        <v>781</v>
      </c>
      <c r="C30" s="44" t="s">
        <v>120</v>
      </c>
      <c r="D30" s="85">
        <v>10104923810</v>
      </c>
      <c r="E30" s="44" t="s">
        <v>973</v>
      </c>
      <c r="F30" s="44" t="s">
        <v>890</v>
      </c>
      <c r="G30" s="44" t="s">
        <v>783</v>
      </c>
      <c r="H30" s="44" t="s">
        <v>74</v>
      </c>
      <c r="I30" s="45">
        <v>42788</v>
      </c>
      <c r="J30" s="45">
        <v>42788</v>
      </c>
      <c r="K30" s="45"/>
      <c r="L30" s="45"/>
    </row>
    <row r="31" spans="1:12" ht="17.100000000000001" customHeight="1">
      <c r="A31" s="43" t="s">
        <v>766</v>
      </c>
      <c r="B31" s="44" t="s">
        <v>781</v>
      </c>
      <c r="C31" s="44" t="s">
        <v>120</v>
      </c>
      <c r="D31" s="85">
        <v>10104923853</v>
      </c>
      <c r="E31" s="44" t="s">
        <v>974</v>
      </c>
      <c r="F31" s="44" t="s">
        <v>890</v>
      </c>
      <c r="G31" s="44" t="s">
        <v>783</v>
      </c>
      <c r="H31" s="44" t="s">
        <v>76</v>
      </c>
      <c r="I31" s="45">
        <v>42788</v>
      </c>
      <c r="J31" s="45">
        <v>42788</v>
      </c>
      <c r="K31" s="45"/>
      <c r="L31" s="45"/>
    </row>
    <row r="32" spans="1:12" ht="17.100000000000001" customHeight="1">
      <c r="A32" s="43" t="s">
        <v>766</v>
      </c>
      <c r="B32" s="44" t="s">
        <v>781</v>
      </c>
      <c r="C32" s="44" t="s">
        <v>120</v>
      </c>
      <c r="D32" s="85">
        <v>10104928567</v>
      </c>
      <c r="E32" s="44" t="s">
        <v>795</v>
      </c>
      <c r="F32" s="44" t="s">
        <v>890</v>
      </c>
      <c r="G32" s="44" t="s">
        <v>785</v>
      </c>
      <c r="H32" s="44" t="s">
        <v>332</v>
      </c>
      <c r="I32" s="45">
        <v>42791</v>
      </c>
      <c r="J32" s="45">
        <v>42791</v>
      </c>
      <c r="K32" s="45"/>
      <c r="L32" s="45"/>
    </row>
    <row r="33" spans="1:12" ht="17.100000000000001" customHeight="1">
      <c r="A33" s="43" t="s">
        <v>766</v>
      </c>
      <c r="B33" s="44" t="s">
        <v>770</v>
      </c>
      <c r="C33" s="44" t="s">
        <v>120</v>
      </c>
      <c r="D33" s="85">
        <v>10104932222</v>
      </c>
      <c r="E33" s="44" t="s">
        <v>975</v>
      </c>
      <c r="F33" s="44" t="s">
        <v>890</v>
      </c>
      <c r="G33" s="44" t="s">
        <v>976</v>
      </c>
      <c r="H33" s="44" t="s">
        <v>74</v>
      </c>
      <c r="I33" s="45">
        <v>42794</v>
      </c>
      <c r="J33" s="45">
        <v>42794</v>
      </c>
      <c r="K33" s="45"/>
      <c r="L33" s="45"/>
    </row>
    <row r="34" spans="1:12" ht="17.100000000000001" customHeight="1">
      <c r="A34" s="43" t="s">
        <v>766</v>
      </c>
      <c r="B34" s="44" t="s">
        <v>770</v>
      </c>
      <c r="C34" s="44" t="s">
        <v>120</v>
      </c>
      <c r="D34" s="85">
        <v>10104932214</v>
      </c>
      <c r="E34" s="44" t="s">
        <v>866</v>
      </c>
      <c r="F34" s="44" t="s">
        <v>890</v>
      </c>
      <c r="G34" s="44" t="s">
        <v>867</v>
      </c>
      <c r="H34" s="44" t="s">
        <v>74</v>
      </c>
      <c r="I34" s="45">
        <v>42794</v>
      </c>
      <c r="J34" s="45">
        <v>42794</v>
      </c>
      <c r="K34" s="45"/>
      <c r="L34" s="45"/>
    </row>
    <row r="35" spans="1:12" ht="17.100000000000001" customHeight="1">
      <c r="A35" s="43" t="s">
        <v>71</v>
      </c>
      <c r="B35" s="44" t="s">
        <v>72</v>
      </c>
      <c r="C35" s="44" t="s">
        <v>73</v>
      </c>
      <c r="D35" s="85">
        <v>10104935238</v>
      </c>
      <c r="E35" s="44" t="s">
        <v>977</v>
      </c>
      <c r="F35" s="44" t="s">
        <v>75</v>
      </c>
      <c r="G35" s="44" t="s">
        <v>743</v>
      </c>
      <c r="H35" s="44" t="s">
        <v>74</v>
      </c>
      <c r="I35" s="45">
        <v>42780</v>
      </c>
      <c r="J35" s="45">
        <v>42790</v>
      </c>
      <c r="K35" s="45">
        <v>42790</v>
      </c>
      <c r="L35" s="45"/>
    </row>
    <row r="36" spans="1:12" ht="17.100000000000001" customHeight="1">
      <c r="A36" s="43" t="s">
        <v>71</v>
      </c>
      <c r="B36" s="44" t="s">
        <v>72</v>
      </c>
      <c r="C36" s="44" t="s">
        <v>73</v>
      </c>
      <c r="D36" s="85">
        <v>10104918245</v>
      </c>
      <c r="E36" s="44" t="s">
        <v>978</v>
      </c>
      <c r="F36" s="44" t="s">
        <v>75</v>
      </c>
      <c r="G36" s="44" t="s">
        <v>743</v>
      </c>
      <c r="H36" s="44" t="s">
        <v>76</v>
      </c>
      <c r="I36" s="45">
        <v>42780</v>
      </c>
      <c r="J36" s="45">
        <v>42787</v>
      </c>
      <c r="K36" s="45">
        <v>42787</v>
      </c>
      <c r="L36" s="45"/>
    </row>
    <row r="37" spans="1:12" ht="17.100000000000001" customHeight="1">
      <c r="A37" s="43" t="s">
        <v>71</v>
      </c>
      <c r="B37" s="44" t="s">
        <v>72</v>
      </c>
      <c r="C37" s="44" t="s">
        <v>73</v>
      </c>
      <c r="D37" s="85">
        <v>10104916787</v>
      </c>
      <c r="E37" s="44" t="s">
        <v>979</v>
      </c>
      <c r="F37" s="44" t="s">
        <v>75</v>
      </c>
      <c r="G37" s="44" t="s">
        <v>980</v>
      </c>
      <c r="H37" s="44" t="s">
        <v>76</v>
      </c>
      <c r="I37" s="45">
        <v>42779</v>
      </c>
      <c r="J37" s="45">
        <v>42787</v>
      </c>
      <c r="K37" s="45">
        <v>42787</v>
      </c>
      <c r="L37" s="45"/>
    </row>
    <row r="38" spans="1:12" ht="17.100000000000001" customHeight="1">
      <c r="A38" s="43" t="s">
        <v>71</v>
      </c>
      <c r="B38" s="44" t="s">
        <v>72</v>
      </c>
      <c r="C38" s="44" t="s">
        <v>73</v>
      </c>
      <c r="D38" s="85">
        <v>10104916788</v>
      </c>
      <c r="E38" s="44" t="s">
        <v>981</v>
      </c>
      <c r="F38" s="44" t="s">
        <v>75</v>
      </c>
      <c r="G38" s="44" t="s">
        <v>980</v>
      </c>
      <c r="H38" s="44" t="s">
        <v>74</v>
      </c>
      <c r="I38" s="45">
        <v>42779</v>
      </c>
      <c r="J38" s="45">
        <v>42790</v>
      </c>
      <c r="K38" s="45">
        <v>42790</v>
      </c>
      <c r="L38" s="45"/>
    </row>
    <row r="39" spans="1:12" ht="17.100000000000001" customHeight="1">
      <c r="A39" s="43" t="s">
        <v>71</v>
      </c>
      <c r="B39" s="44" t="s">
        <v>72</v>
      </c>
      <c r="C39" s="44" t="s">
        <v>73</v>
      </c>
      <c r="D39" s="85">
        <v>10104911396</v>
      </c>
      <c r="E39" s="44" t="s">
        <v>982</v>
      </c>
      <c r="F39" s="44" t="s">
        <v>75</v>
      </c>
      <c r="G39" s="44" t="s">
        <v>748</v>
      </c>
      <c r="H39" s="44" t="s">
        <v>76</v>
      </c>
      <c r="I39" s="45">
        <v>42774</v>
      </c>
      <c r="J39" s="45">
        <v>42787</v>
      </c>
      <c r="K39" s="45">
        <v>42787</v>
      </c>
      <c r="L39" s="45"/>
    </row>
    <row r="40" spans="1:12" ht="17.100000000000001" customHeight="1">
      <c r="A40" s="43" t="s">
        <v>71</v>
      </c>
      <c r="B40" s="44" t="s">
        <v>72</v>
      </c>
      <c r="C40" s="44" t="s">
        <v>73</v>
      </c>
      <c r="D40" s="85">
        <v>10104911397</v>
      </c>
      <c r="E40" s="44" t="s">
        <v>983</v>
      </c>
      <c r="F40" s="44" t="s">
        <v>75</v>
      </c>
      <c r="G40" s="44" t="s">
        <v>984</v>
      </c>
      <c r="H40" s="44" t="s">
        <v>76</v>
      </c>
      <c r="I40" s="45">
        <v>42774</v>
      </c>
      <c r="J40" s="45">
        <v>42787</v>
      </c>
      <c r="K40" s="45">
        <v>42787</v>
      </c>
      <c r="L40" s="45"/>
    </row>
    <row r="41" spans="1:12" ht="17.100000000000001" customHeight="1">
      <c r="A41" s="43" t="s">
        <v>71</v>
      </c>
      <c r="B41" s="44" t="s">
        <v>72</v>
      </c>
      <c r="C41" s="44" t="s">
        <v>73</v>
      </c>
      <c r="D41" s="85">
        <v>10104916789</v>
      </c>
      <c r="E41" s="44" t="s">
        <v>981</v>
      </c>
      <c r="F41" s="44" t="s">
        <v>75</v>
      </c>
      <c r="G41" s="44" t="s">
        <v>701</v>
      </c>
      <c r="H41" s="44" t="s">
        <v>74</v>
      </c>
      <c r="I41" s="45">
        <v>42779</v>
      </c>
      <c r="J41" s="45">
        <v>42790</v>
      </c>
      <c r="K41" s="45">
        <v>42790</v>
      </c>
      <c r="L41" s="45"/>
    </row>
    <row r="42" spans="1:12" ht="17.100000000000001" customHeight="1">
      <c r="A42" s="43" t="s">
        <v>71</v>
      </c>
      <c r="B42" s="44" t="s">
        <v>72</v>
      </c>
      <c r="C42" s="44" t="s">
        <v>73</v>
      </c>
      <c r="D42" s="85">
        <v>10104918246</v>
      </c>
      <c r="E42" s="44" t="s">
        <v>985</v>
      </c>
      <c r="F42" s="44" t="s">
        <v>75</v>
      </c>
      <c r="G42" s="44" t="s">
        <v>986</v>
      </c>
      <c r="H42" s="44" t="s">
        <v>76</v>
      </c>
      <c r="I42" s="45">
        <v>42780</v>
      </c>
      <c r="J42" s="45">
        <v>42787</v>
      </c>
      <c r="K42" s="45">
        <v>42787</v>
      </c>
      <c r="L42" s="45"/>
    </row>
    <row r="43" spans="1:12" ht="17.100000000000001" customHeight="1">
      <c r="A43" s="43" t="s">
        <v>71</v>
      </c>
      <c r="B43" s="44" t="s">
        <v>72</v>
      </c>
      <c r="C43" s="44" t="s">
        <v>73</v>
      </c>
      <c r="D43" s="85">
        <v>10104916782</v>
      </c>
      <c r="E43" s="44" t="s">
        <v>77</v>
      </c>
      <c r="F43" s="44" t="s">
        <v>75</v>
      </c>
      <c r="G43" s="44" t="s">
        <v>78</v>
      </c>
      <c r="H43" s="44" t="s">
        <v>76</v>
      </c>
      <c r="I43" s="45">
        <v>42782</v>
      </c>
      <c r="J43" s="45">
        <v>42787</v>
      </c>
      <c r="K43" s="45">
        <v>42787</v>
      </c>
      <c r="L43" s="45"/>
    </row>
    <row r="44" spans="1:12" ht="17.100000000000001" customHeight="1">
      <c r="A44" s="43" t="s">
        <v>71</v>
      </c>
      <c r="B44" s="44" t="s">
        <v>72</v>
      </c>
      <c r="C44" s="44" t="s">
        <v>73</v>
      </c>
      <c r="D44" s="85">
        <v>10104930702</v>
      </c>
      <c r="E44" s="44" t="s">
        <v>79</v>
      </c>
      <c r="F44" s="44" t="s">
        <v>75</v>
      </c>
      <c r="G44" s="44" t="s">
        <v>80</v>
      </c>
      <c r="H44" s="44" t="s">
        <v>76</v>
      </c>
      <c r="I44" s="45">
        <v>42787</v>
      </c>
      <c r="J44" s="45">
        <v>42787</v>
      </c>
      <c r="K44" s="45">
        <v>42787</v>
      </c>
      <c r="L44" s="45"/>
    </row>
    <row r="45" spans="1:12" ht="17.100000000000001" customHeight="1">
      <c r="A45" s="43" t="s">
        <v>71</v>
      </c>
      <c r="B45" s="44" t="s">
        <v>72</v>
      </c>
      <c r="C45" s="44" t="s">
        <v>73</v>
      </c>
      <c r="D45" s="85">
        <v>10104918181</v>
      </c>
      <c r="E45" s="44" t="s">
        <v>987</v>
      </c>
      <c r="F45" s="44" t="s">
        <v>75</v>
      </c>
      <c r="G45" s="44" t="s">
        <v>988</v>
      </c>
      <c r="H45" s="44" t="s">
        <v>76</v>
      </c>
      <c r="I45" s="45">
        <v>42780</v>
      </c>
      <c r="J45" s="45">
        <v>42788</v>
      </c>
      <c r="K45" s="45">
        <v>42788</v>
      </c>
      <c r="L45" s="45"/>
    </row>
    <row r="46" spans="1:12" ht="17.100000000000001" customHeight="1">
      <c r="A46" s="43" t="s">
        <v>71</v>
      </c>
      <c r="B46" s="44" t="s">
        <v>72</v>
      </c>
      <c r="C46" s="44" t="s">
        <v>73</v>
      </c>
      <c r="D46" s="85">
        <v>10104906806</v>
      </c>
      <c r="E46" s="44" t="s">
        <v>81</v>
      </c>
      <c r="F46" s="44" t="s">
        <v>75</v>
      </c>
      <c r="G46" s="44" t="s">
        <v>82</v>
      </c>
      <c r="H46" s="44" t="s">
        <v>76</v>
      </c>
      <c r="I46" s="45">
        <v>42773</v>
      </c>
      <c r="J46" s="45">
        <v>42788</v>
      </c>
      <c r="K46" s="45">
        <v>42788</v>
      </c>
      <c r="L46" s="45"/>
    </row>
    <row r="47" spans="1:12" ht="17.100000000000001" customHeight="1">
      <c r="A47" s="43" t="s">
        <v>71</v>
      </c>
      <c r="B47" s="44" t="s">
        <v>72</v>
      </c>
      <c r="C47" s="44" t="s">
        <v>73</v>
      </c>
      <c r="D47" s="85">
        <v>10104897716</v>
      </c>
      <c r="E47" s="44" t="s">
        <v>989</v>
      </c>
      <c r="F47" s="44" t="s">
        <v>75</v>
      </c>
      <c r="G47" s="44" t="s">
        <v>83</v>
      </c>
      <c r="H47" s="44" t="s">
        <v>76</v>
      </c>
      <c r="I47" s="45">
        <v>42769</v>
      </c>
      <c r="J47" s="45">
        <v>42788</v>
      </c>
      <c r="K47" s="45">
        <v>42787</v>
      </c>
      <c r="L47" s="45"/>
    </row>
    <row r="48" spans="1:12" ht="17.100000000000001" customHeight="1">
      <c r="A48" s="43" t="s">
        <v>71</v>
      </c>
      <c r="B48" s="44" t="s">
        <v>72</v>
      </c>
      <c r="C48" s="44" t="s">
        <v>73</v>
      </c>
      <c r="D48" s="85">
        <v>10104897717</v>
      </c>
      <c r="E48" s="44" t="s">
        <v>84</v>
      </c>
      <c r="F48" s="44" t="s">
        <v>75</v>
      </c>
      <c r="G48" s="44" t="s">
        <v>85</v>
      </c>
      <c r="H48" s="44" t="s">
        <v>76</v>
      </c>
      <c r="I48" s="45">
        <v>42769</v>
      </c>
      <c r="J48" s="45">
        <v>42788</v>
      </c>
      <c r="K48" s="45">
        <v>42787</v>
      </c>
      <c r="L48" s="45"/>
    </row>
    <row r="49" spans="1:12" ht="17.100000000000001" customHeight="1">
      <c r="A49" s="43" t="s">
        <v>71</v>
      </c>
      <c r="B49" s="44" t="s">
        <v>72</v>
      </c>
      <c r="C49" s="44" t="s">
        <v>73</v>
      </c>
      <c r="D49" s="85">
        <v>10104908434</v>
      </c>
      <c r="E49" s="44" t="s">
        <v>86</v>
      </c>
      <c r="F49" s="44" t="s">
        <v>75</v>
      </c>
      <c r="G49" s="44" t="s">
        <v>87</v>
      </c>
      <c r="H49" s="44" t="s">
        <v>76</v>
      </c>
      <c r="I49" s="45">
        <v>42775</v>
      </c>
      <c r="J49" s="45">
        <v>42787</v>
      </c>
      <c r="K49" s="45">
        <v>42787</v>
      </c>
      <c r="L49" s="45"/>
    </row>
    <row r="50" spans="1:12" ht="17.100000000000001" customHeight="1">
      <c r="A50" s="43" t="s">
        <v>71</v>
      </c>
      <c r="B50" s="44" t="s">
        <v>72</v>
      </c>
      <c r="C50" s="44" t="s">
        <v>73</v>
      </c>
      <c r="D50" s="85">
        <v>10104916763</v>
      </c>
      <c r="E50" s="44" t="s">
        <v>88</v>
      </c>
      <c r="F50" s="44" t="s">
        <v>75</v>
      </c>
      <c r="G50" s="44" t="s">
        <v>89</v>
      </c>
      <c r="H50" s="44" t="s">
        <v>76</v>
      </c>
      <c r="I50" s="45">
        <v>42782</v>
      </c>
      <c r="J50" s="45">
        <v>42787</v>
      </c>
      <c r="K50" s="45">
        <v>42787</v>
      </c>
      <c r="L50" s="45"/>
    </row>
    <row r="51" spans="1:12" ht="17.100000000000001" customHeight="1">
      <c r="A51" s="43" t="s">
        <v>71</v>
      </c>
      <c r="B51" s="44" t="s">
        <v>72</v>
      </c>
      <c r="C51" s="44" t="s">
        <v>73</v>
      </c>
      <c r="D51" s="85">
        <v>10104897719</v>
      </c>
      <c r="E51" s="44" t="s">
        <v>90</v>
      </c>
      <c r="F51" s="44" t="s">
        <v>75</v>
      </c>
      <c r="G51" s="44" t="s">
        <v>91</v>
      </c>
      <c r="H51" s="44" t="s">
        <v>76</v>
      </c>
      <c r="I51" s="45">
        <v>42769</v>
      </c>
      <c r="J51" s="45">
        <v>42787</v>
      </c>
      <c r="K51" s="45">
        <v>42787</v>
      </c>
      <c r="L51" s="45"/>
    </row>
    <row r="52" spans="1:12" ht="17.100000000000001" customHeight="1">
      <c r="A52" s="43" t="s">
        <v>71</v>
      </c>
      <c r="B52" s="44" t="s">
        <v>72</v>
      </c>
      <c r="C52" s="44" t="s">
        <v>73</v>
      </c>
      <c r="D52" s="85">
        <v>10104909944</v>
      </c>
      <c r="E52" s="44" t="s">
        <v>990</v>
      </c>
      <c r="F52" s="44" t="s">
        <v>75</v>
      </c>
      <c r="G52" s="44" t="s">
        <v>94</v>
      </c>
      <c r="H52" s="44" t="s">
        <v>74</v>
      </c>
      <c r="I52" s="45">
        <v>42773</v>
      </c>
      <c r="J52" s="45">
        <v>42790</v>
      </c>
      <c r="K52" s="45">
        <v>42790</v>
      </c>
      <c r="L52" s="45"/>
    </row>
    <row r="53" spans="1:12" ht="17.100000000000001" customHeight="1">
      <c r="A53" s="43" t="s">
        <v>71</v>
      </c>
      <c r="B53" s="44" t="s">
        <v>72</v>
      </c>
      <c r="C53" s="44" t="s">
        <v>73</v>
      </c>
      <c r="D53" s="85">
        <v>10104906809</v>
      </c>
      <c r="E53" s="44" t="s">
        <v>93</v>
      </c>
      <c r="F53" s="44" t="s">
        <v>75</v>
      </c>
      <c r="G53" s="44" t="s">
        <v>94</v>
      </c>
      <c r="H53" s="44" t="s">
        <v>76</v>
      </c>
      <c r="I53" s="45">
        <v>42773</v>
      </c>
      <c r="J53" s="45">
        <v>42787</v>
      </c>
      <c r="K53" s="45">
        <v>42787</v>
      </c>
      <c r="L53" s="45"/>
    </row>
    <row r="54" spans="1:12" ht="17.100000000000001" customHeight="1">
      <c r="A54" s="43" t="s">
        <v>71</v>
      </c>
      <c r="B54" s="44" t="s">
        <v>72</v>
      </c>
      <c r="C54" s="44" t="s">
        <v>73</v>
      </c>
      <c r="D54" s="85">
        <v>10104930706</v>
      </c>
      <c r="E54" s="44" t="s">
        <v>95</v>
      </c>
      <c r="F54" s="44" t="s">
        <v>75</v>
      </c>
      <c r="G54" s="44" t="s">
        <v>96</v>
      </c>
      <c r="H54" s="44" t="s">
        <v>76</v>
      </c>
      <c r="I54" s="45">
        <v>42787</v>
      </c>
      <c r="J54" s="45">
        <v>42787</v>
      </c>
      <c r="K54" s="45">
        <v>42787</v>
      </c>
      <c r="L54" s="45"/>
    </row>
    <row r="55" spans="1:12" ht="17.100000000000001" customHeight="1">
      <c r="A55" s="43" t="s">
        <v>71</v>
      </c>
      <c r="B55" s="44" t="s">
        <v>72</v>
      </c>
      <c r="C55" s="44" t="s">
        <v>73</v>
      </c>
      <c r="D55" s="85">
        <v>10104918233</v>
      </c>
      <c r="E55" s="44" t="s">
        <v>991</v>
      </c>
      <c r="F55" s="44" t="s">
        <v>75</v>
      </c>
      <c r="G55" s="44" t="s">
        <v>992</v>
      </c>
      <c r="H55" s="44" t="s">
        <v>76</v>
      </c>
      <c r="I55" s="45">
        <v>42780</v>
      </c>
      <c r="J55" s="45">
        <v>42787</v>
      </c>
      <c r="K55" s="45">
        <v>42787</v>
      </c>
      <c r="L55" s="45"/>
    </row>
    <row r="56" spans="1:12" ht="17.100000000000001" customHeight="1">
      <c r="A56" s="43" t="s">
        <v>71</v>
      </c>
      <c r="B56" s="44" t="s">
        <v>72</v>
      </c>
      <c r="C56" s="44" t="s">
        <v>73</v>
      </c>
      <c r="D56" s="85">
        <v>10104925159</v>
      </c>
      <c r="E56" s="44" t="s">
        <v>99</v>
      </c>
      <c r="F56" s="44" t="s">
        <v>75</v>
      </c>
      <c r="G56" s="44" t="s">
        <v>98</v>
      </c>
      <c r="H56" s="44" t="s">
        <v>74</v>
      </c>
      <c r="I56" s="45">
        <v>42789</v>
      </c>
      <c r="J56" s="45">
        <v>42790</v>
      </c>
      <c r="K56" s="45">
        <v>42790</v>
      </c>
      <c r="L56" s="45"/>
    </row>
    <row r="57" spans="1:12" ht="17.100000000000001" customHeight="1">
      <c r="A57" s="43" t="s">
        <v>71</v>
      </c>
      <c r="B57" s="44" t="s">
        <v>72</v>
      </c>
      <c r="C57" s="44" t="s">
        <v>73</v>
      </c>
      <c r="D57" s="85">
        <v>10104897741</v>
      </c>
      <c r="E57" s="44" t="s">
        <v>97</v>
      </c>
      <c r="F57" s="44" t="s">
        <v>75</v>
      </c>
      <c r="G57" s="44" t="s">
        <v>98</v>
      </c>
      <c r="H57" s="44" t="s">
        <v>76</v>
      </c>
      <c r="I57" s="45">
        <v>42769</v>
      </c>
      <c r="J57" s="45">
        <v>42788</v>
      </c>
      <c r="K57" s="45">
        <v>42788</v>
      </c>
      <c r="L57" s="45"/>
    </row>
    <row r="58" spans="1:12" ht="17.100000000000001" customHeight="1">
      <c r="A58" s="43" t="s">
        <v>71</v>
      </c>
      <c r="B58" s="44" t="s">
        <v>72</v>
      </c>
      <c r="C58" s="44" t="s">
        <v>73</v>
      </c>
      <c r="D58" s="85">
        <v>10104956185</v>
      </c>
      <c r="E58" s="44" t="s">
        <v>100</v>
      </c>
      <c r="F58" s="44" t="s">
        <v>75</v>
      </c>
      <c r="G58" s="44" t="s">
        <v>101</v>
      </c>
      <c r="H58" s="44" t="s">
        <v>76</v>
      </c>
      <c r="I58" s="45">
        <v>42787</v>
      </c>
      <c r="J58" s="45">
        <v>42787</v>
      </c>
      <c r="K58" s="45">
        <v>42787</v>
      </c>
      <c r="L58" s="45"/>
    </row>
    <row r="59" spans="1:12" ht="17.100000000000001" customHeight="1">
      <c r="A59" s="43" t="s">
        <v>71</v>
      </c>
      <c r="B59" s="44" t="s">
        <v>72</v>
      </c>
      <c r="C59" s="44" t="s">
        <v>73</v>
      </c>
      <c r="D59" s="85">
        <v>10104939499</v>
      </c>
      <c r="E59" s="44" t="s">
        <v>100</v>
      </c>
      <c r="F59" s="44" t="s">
        <v>75</v>
      </c>
      <c r="G59" s="44" t="s">
        <v>101</v>
      </c>
      <c r="H59" s="44" t="s">
        <v>76</v>
      </c>
      <c r="I59" s="45">
        <v>42777</v>
      </c>
      <c r="J59" s="45">
        <v>42787</v>
      </c>
      <c r="K59" s="45">
        <v>42787</v>
      </c>
      <c r="L59" s="45"/>
    </row>
    <row r="60" spans="1:12" ht="17.100000000000001" customHeight="1">
      <c r="A60" s="43" t="s">
        <v>71</v>
      </c>
      <c r="B60" s="44" t="s">
        <v>72</v>
      </c>
      <c r="C60" s="44" t="s">
        <v>73</v>
      </c>
      <c r="D60" s="85">
        <v>10104926772</v>
      </c>
      <c r="E60" s="44" t="s">
        <v>993</v>
      </c>
      <c r="F60" s="44" t="s">
        <v>75</v>
      </c>
      <c r="G60" s="44" t="s">
        <v>101</v>
      </c>
      <c r="H60" s="44" t="s">
        <v>74</v>
      </c>
      <c r="I60" s="45">
        <v>42787</v>
      </c>
      <c r="J60" s="45">
        <v>42790</v>
      </c>
      <c r="K60" s="45">
        <v>42790</v>
      </c>
      <c r="L60" s="45"/>
    </row>
    <row r="61" spans="1:12" ht="17.100000000000001" customHeight="1">
      <c r="A61" s="43" t="s">
        <v>71</v>
      </c>
      <c r="B61" s="44" t="s">
        <v>72</v>
      </c>
      <c r="C61" s="44" t="s">
        <v>73</v>
      </c>
      <c r="D61" s="85">
        <v>10104923341</v>
      </c>
      <c r="E61" s="44" t="s">
        <v>102</v>
      </c>
      <c r="F61" s="44" t="s">
        <v>75</v>
      </c>
      <c r="G61" s="44" t="s">
        <v>103</v>
      </c>
      <c r="H61" s="44" t="s">
        <v>74</v>
      </c>
      <c r="I61" s="45">
        <v>42787</v>
      </c>
      <c r="J61" s="45">
        <v>42790</v>
      </c>
      <c r="K61" s="45">
        <v>42790</v>
      </c>
      <c r="L61" s="45"/>
    </row>
    <row r="62" spans="1:12" ht="17.100000000000001" customHeight="1">
      <c r="A62" s="43" t="s">
        <v>71</v>
      </c>
      <c r="B62" s="44" t="s">
        <v>72</v>
      </c>
      <c r="C62" s="44" t="s">
        <v>73</v>
      </c>
      <c r="D62" s="85">
        <v>10104935230</v>
      </c>
      <c r="E62" s="44" t="s">
        <v>994</v>
      </c>
      <c r="F62" s="44" t="s">
        <v>75</v>
      </c>
      <c r="G62" s="44" t="s">
        <v>103</v>
      </c>
      <c r="H62" s="44" t="s">
        <v>74</v>
      </c>
      <c r="I62" s="45">
        <v>42790</v>
      </c>
      <c r="J62" s="45">
        <v>42790</v>
      </c>
      <c r="K62" s="45">
        <v>42790</v>
      </c>
      <c r="L62" s="45"/>
    </row>
    <row r="63" spans="1:12" ht="17.100000000000001" customHeight="1">
      <c r="A63" s="43" t="s">
        <v>71</v>
      </c>
      <c r="B63" s="44" t="s">
        <v>72</v>
      </c>
      <c r="C63" s="44" t="s">
        <v>73</v>
      </c>
      <c r="D63" s="85">
        <v>10104925160</v>
      </c>
      <c r="E63" s="44" t="s">
        <v>104</v>
      </c>
      <c r="F63" s="44" t="s">
        <v>75</v>
      </c>
      <c r="G63" s="44" t="s">
        <v>105</v>
      </c>
      <c r="H63" s="44" t="s">
        <v>76</v>
      </c>
      <c r="I63" s="45">
        <v>42788</v>
      </c>
      <c r="J63" s="45">
        <v>42788</v>
      </c>
      <c r="K63" s="45">
        <v>42788</v>
      </c>
      <c r="L63" s="45"/>
    </row>
    <row r="64" spans="1:12" ht="17.100000000000001" customHeight="1">
      <c r="A64" s="43" t="s">
        <v>71</v>
      </c>
      <c r="B64" s="44" t="s">
        <v>72</v>
      </c>
      <c r="C64" s="44" t="s">
        <v>73</v>
      </c>
      <c r="D64" s="85">
        <v>10104893318</v>
      </c>
      <c r="E64" s="44" t="s">
        <v>995</v>
      </c>
      <c r="F64" s="44" t="s">
        <v>75</v>
      </c>
      <c r="G64" s="44" t="s">
        <v>106</v>
      </c>
      <c r="H64" s="44" t="s">
        <v>76</v>
      </c>
      <c r="I64" s="45">
        <v>42788</v>
      </c>
      <c r="J64" s="45">
        <v>42788</v>
      </c>
      <c r="K64" s="45">
        <v>42788</v>
      </c>
      <c r="L64" s="45"/>
    </row>
    <row r="65" spans="1:12" ht="17.100000000000001" customHeight="1">
      <c r="A65" s="43" t="s">
        <v>71</v>
      </c>
      <c r="B65" s="44" t="s">
        <v>72</v>
      </c>
      <c r="C65" s="44" t="s">
        <v>73</v>
      </c>
      <c r="D65" s="85">
        <v>10104935231</v>
      </c>
      <c r="E65" s="44" t="s">
        <v>996</v>
      </c>
      <c r="F65" s="44" t="s">
        <v>75</v>
      </c>
      <c r="G65" s="44" t="s">
        <v>108</v>
      </c>
      <c r="H65" s="44" t="s">
        <v>74</v>
      </c>
      <c r="I65" s="45">
        <v>42790</v>
      </c>
      <c r="J65" s="45">
        <v>42790</v>
      </c>
      <c r="K65" s="45">
        <v>42790</v>
      </c>
      <c r="L65" s="45"/>
    </row>
    <row r="66" spans="1:12" ht="17.100000000000001" customHeight="1">
      <c r="A66" s="43" t="s">
        <v>71</v>
      </c>
      <c r="B66" s="44" t="s">
        <v>72</v>
      </c>
      <c r="C66" s="44" t="s">
        <v>73</v>
      </c>
      <c r="D66" s="85">
        <v>10104916783</v>
      </c>
      <c r="E66" s="44" t="s">
        <v>107</v>
      </c>
      <c r="F66" s="44" t="s">
        <v>75</v>
      </c>
      <c r="G66" s="44" t="s">
        <v>108</v>
      </c>
      <c r="H66" s="44" t="s">
        <v>76</v>
      </c>
      <c r="I66" s="45">
        <v>42782</v>
      </c>
      <c r="J66" s="45">
        <v>42787</v>
      </c>
      <c r="K66" s="45">
        <v>42787</v>
      </c>
      <c r="L66" s="45"/>
    </row>
    <row r="67" spans="1:12" ht="17.100000000000001" customHeight="1">
      <c r="A67" s="43" t="s">
        <v>71</v>
      </c>
      <c r="B67" s="44" t="s">
        <v>72</v>
      </c>
      <c r="C67" s="44" t="s">
        <v>73</v>
      </c>
      <c r="D67" s="85">
        <v>10104926775</v>
      </c>
      <c r="E67" s="44" t="s">
        <v>997</v>
      </c>
      <c r="F67" s="44" t="s">
        <v>75</v>
      </c>
      <c r="G67" s="44" t="s">
        <v>998</v>
      </c>
      <c r="H67" s="44" t="s">
        <v>74</v>
      </c>
      <c r="I67" s="45">
        <v>42787</v>
      </c>
      <c r="J67" s="45">
        <v>42790</v>
      </c>
      <c r="K67" s="45">
        <v>42790</v>
      </c>
      <c r="L67" s="45"/>
    </row>
    <row r="68" spans="1:12" ht="17.100000000000001" customHeight="1">
      <c r="A68" s="43" t="s">
        <v>71</v>
      </c>
      <c r="B68" s="44" t="s">
        <v>72</v>
      </c>
      <c r="C68" s="44" t="s">
        <v>73</v>
      </c>
      <c r="D68" s="85">
        <v>10104926774</v>
      </c>
      <c r="E68" s="44" t="s">
        <v>999</v>
      </c>
      <c r="F68" s="44" t="s">
        <v>75</v>
      </c>
      <c r="G68" s="44" t="s">
        <v>998</v>
      </c>
      <c r="H68" s="44" t="s">
        <v>76</v>
      </c>
      <c r="I68" s="45">
        <v>42787</v>
      </c>
      <c r="J68" s="45">
        <v>42788</v>
      </c>
      <c r="K68" s="45">
        <v>42788</v>
      </c>
      <c r="L68" s="45"/>
    </row>
    <row r="69" spans="1:12" ht="17.100000000000001" customHeight="1">
      <c r="A69" s="43" t="s">
        <v>71</v>
      </c>
      <c r="B69" s="44" t="s">
        <v>72</v>
      </c>
      <c r="C69" s="44" t="s">
        <v>73</v>
      </c>
      <c r="D69" s="85">
        <v>10104897744</v>
      </c>
      <c r="E69" s="44" t="s">
        <v>111</v>
      </c>
      <c r="F69" s="44" t="s">
        <v>75</v>
      </c>
      <c r="G69" s="44" t="s">
        <v>110</v>
      </c>
      <c r="H69" s="44" t="s">
        <v>76</v>
      </c>
      <c r="I69" s="45">
        <v>42769</v>
      </c>
      <c r="J69" s="45">
        <v>42788</v>
      </c>
      <c r="K69" s="45">
        <v>42788</v>
      </c>
      <c r="L69" s="45"/>
    </row>
    <row r="70" spans="1:12" ht="17.100000000000001" customHeight="1">
      <c r="A70" s="43" t="s">
        <v>71</v>
      </c>
      <c r="B70" s="44" t="s">
        <v>72</v>
      </c>
      <c r="C70" s="44" t="s">
        <v>73</v>
      </c>
      <c r="D70" s="85">
        <v>10104906261</v>
      </c>
      <c r="E70" s="44" t="s">
        <v>109</v>
      </c>
      <c r="F70" s="44" t="s">
        <v>75</v>
      </c>
      <c r="G70" s="44" t="s">
        <v>110</v>
      </c>
      <c r="H70" s="44" t="s">
        <v>74</v>
      </c>
      <c r="I70" s="45">
        <v>42772</v>
      </c>
      <c r="J70" s="45">
        <v>42790</v>
      </c>
      <c r="K70" s="45">
        <v>42790</v>
      </c>
      <c r="L70" s="45"/>
    </row>
    <row r="71" spans="1:12" ht="17.100000000000001" customHeight="1">
      <c r="A71" s="43" t="s">
        <v>71</v>
      </c>
      <c r="B71" s="44" t="s">
        <v>72</v>
      </c>
      <c r="C71" s="44" t="s">
        <v>73</v>
      </c>
      <c r="D71" s="85">
        <v>10104897745</v>
      </c>
      <c r="E71" s="44" t="s">
        <v>112</v>
      </c>
      <c r="F71" s="44" t="s">
        <v>75</v>
      </c>
      <c r="G71" s="44" t="s">
        <v>113</v>
      </c>
      <c r="H71" s="44" t="s">
        <v>76</v>
      </c>
      <c r="I71" s="45">
        <v>42769</v>
      </c>
      <c r="J71" s="45">
        <v>42787</v>
      </c>
      <c r="K71" s="45">
        <v>42787</v>
      </c>
      <c r="L71" s="45"/>
    </row>
    <row r="72" spans="1:12" ht="17.100000000000001" customHeight="1">
      <c r="A72" s="43" t="s">
        <v>71</v>
      </c>
      <c r="B72" s="44" t="s">
        <v>72</v>
      </c>
      <c r="C72" s="44" t="s">
        <v>73</v>
      </c>
      <c r="D72" s="85">
        <v>10104918237</v>
      </c>
      <c r="E72" s="44" t="s">
        <v>1000</v>
      </c>
      <c r="F72" s="44" t="s">
        <v>75</v>
      </c>
      <c r="G72" s="44" t="s">
        <v>1001</v>
      </c>
      <c r="H72" s="44" t="s">
        <v>74</v>
      </c>
      <c r="I72" s="45">
        <v>42780</v>
      </c>
      <c r="J72" s="45">
        <v>42790</v>
      </c>
      <c r="K72" s="45">
        <v>42790</v>
      </c>
      <c r="L72" s="45"/>
    </row>
    <row r="73" spans="1:12" ht="17.100000000000001" customHeight="1">
      <c r="A73" s="43" t="s">
        <v>71</v>
      </c>
      <c r="B73" s="44" t="s">
        <v>72</v>
      </c>
      <c r="C73" s="44" t="s">
        <v>73</v>
      </c>
      <c r="D73" s="85">
        <v>10104918236</v>
      </c>
      <c r="E73" s="44" t="s">
        <v>1002</v>
      </c>
      <c r="F73" s="44" t="s">
        <v>75</v>
      </c>
      <c r="G73" s="44" t="s">
        <v>1001</v>
      </c>
      <c r="H73" s="44" t="s">
        <v>76</v>
      </c>
      <c r="I73" s="45">
        <v>42780</v>
      </c>
      <c r="J73" s="45">
        <v>42787</v>
      </c>
      <c r="K73" s="45">
        <v>42787</v>
      </c>
      <c r="L73" s="45"/>
    </row>
    <row r="74" spans="1:12" ht="17.100000000000001" customHeight="1">
      <c r="A74" s="43" t="s">
        <v>71</v>
      </c>
      <c r="B74" s="44" t="s">
        <v>72</v>
      </c>
      <c r="C74" s="44" t="s">
        <v>73</v>
      </c>
      <c r="D74" s="85">
        <v>10104897743</v>
      </c>
      <c r="E74" s="44" t="s">
        <v>1003</v>
      </c>
      <c r="F74" s="44" t="s">
        <v>75</v>
      </c>
      <c r="G74" s="44" t="s">
        <v>114</v>
      </c>
      <c r="H74" s="44" t="s">
        <v>76</v>
      </c>
      <c r="I74" s="45">
        <v>42769</v>
      </c>
      <c r="J74" s="45">
        <v>42788</v>
      </c>
      <c r="K74" s="45">
        <v>42787</v>
      </c>
      <c r="L74" s="45"/>
    </row>
    <row r="75" spans="1:12" ht="17.100000000000001" customHeight="1">
      <c r="A75" s="43" t="s">
        <v>71</v>
      </c>
      <c r="B75" s="44" t="s">
        <v>72</v>
      </c>
      <c r="C75" s="44" t="s">
        <v>73</v>
      </c>
      <c r="D75" s="85">
        <v>10104896731</v>
      </c>
      <c r="E75" s="44" t="s">
        <v>116</v>
      </c>
      <c r="F75" s="44" t="s">
        <v>75</v>
      </c>
      <c r="G75" s="44" t="s">
        <v>115</v>
      </c>
      <c r="H75" s="44" t="s">
        <v>76</v>
      </c>
      <c r="I75" s="45">
        <v>42768</v>
      </c>
      <c r="J75" s="45">
        <v>42787</v>
      </c>
      <c r="K75" s="45">
        <v>42787</v>
      </c>
      <c r="L75" s="45"/>
    </row>
    <row r="76" spans="1:12" ht="17.100000000000001" customHeight="1">
      <c r="A76" s="43" t="s">
        <v>71</v>
      </c>
      <c r="B76" s="44" t="s">
        <v>72</v>
      </c>
      <c r="C76" s="44" t="s">
        <v>73</v>
      </c>
      <c r="D76" s="85">
        <v>10104918235</v>
      </c>
      <c r="E76" s="44" t="s">
        <v>808</v>
      </c>
      <c r="F76" s="44" t="s">
        <v>75</v>
      </c>
      <c r="G76" s="44" t="s">
        <v>117</v>
      </c>
      <c r="H76" s="44" t="s">
        <v>74</v>
      </c>
      <c r="I76" s="45">
        <v>42783</v>
      </c>
      <c r="J76" s="45">
        <v>42790</v>
      </c>
      <c r="K76" s="45">
        <v>42790</v>
      </c>
      <c r="L76" s="45"/>
    </row>
    <row r="77" spans="1:12" ht="17.100000000000001" customHeight="1">
      <c r="A77" s="43" t="s">
        <v>71</v>
      </c>
      <c r="B77" s="44" t="s">
        <v>72</v>
      </c>
      <c r="C77" s="44" t="s">
        <v>73</v>
      </c>
      <c r="D77" s="85">
        <v>10104935232</v>
      </c>
      <c r="E77" s="44" t="s">
        <v>1004</v>
      </c>
      <c r="F77" s="44" t="s">
        <v>75</v>
      </c>
      <c r="G77" s="44" t="s">
        <v>118</v>
      </c>
      <c r="H77" s="44" t="s">
        <v>74</v>
      </c>
      <c r="I77" s="45">
        <v>42790</v>
      </c>
      <c r="J77" s="45">
        <v>42790</v>
      </c>
      <c r="K77" s="45">
        <v>42790</v>
      </c>
      <c r="L77" s="45"/>
    </row>
    <row r="78" spans="1:12" ht="17.100000000000001" customHeight="1">
      <c r="A78" s="43" t="s">
        <v>71</v>
      </c>
      <c r="B78" s="44" t="s">
        <v>72</v>
      </c>
      <c r="C78" s="44" t="s">
        <v>73</v>
      </c>
      <c r="D78" s="85">
        <v>10104915889</v>
      </c>
      <c r="E78" s="44" t="s">
        <v>597</v>
      </c>
      <c r="F78" s="44" t="s">
        <v>75</v>
      </c>
      <c r="G78" s="44" t="s">
        <v>118</v>
      </c>
      <c r="H78" s="44" t="s">
        <v>76</v>
      </c>
      <c r="I78" s="45">
        <v>42781</v>
      </c>
      <c r="J78" s="45">
        <v>42787</v>
      </c>
      <c r="K78" s="45">
        <v>42787</v>
      </c>
      <c r="L78" s="45"/>
    </row>
    <row r="79" spans="1:12" ht="17.100000000000001" customHeight="1">
      <c r="A79" s="43" t="s">
        <v>71</v>
      </c>
      <c r="B79" s="44" t="s">
        <v>72</v>
      </c>
      <c r="C79" s="44" t="s">
        <v>73</v>
      </c>
      <c r="D79" s="85">
        <v>10104897746</v>
      </c>
      <c r="E79" s="44" t="s">
        <v>691</v>
      </c>
      <c r="F79" s="44" t="s">
        <v>75</v>
      </c>
      <c r="G79" s="44" t="s">
        <v>119</v>
      </c>
      <c r="H79" s="44" t="s">
        <v>76</v>
      </c>
      <c r="I79" s="45">
        <v>42769</v>
      </c>
      <c r="J79" s="45">
        <v>42787</v>
      </c>
      <c r="K79" s="45">
        <v>42787</v>
      </c>
      <c r="L79" s="45"/>
    </row>
    <row r="80" spans="1:12" ht="17.100000000000001" customHeight="1">
      <c r="A80" s="43" t="s">
        <v>71</v>
      </c>
      <c r="B80" s="44" t="s">
        <v>72</v>
      </c>
      <c r="C80" s="44" t="s">
        <v>73</v>
      </c>
      <c r="D80" s="85">
        <v>10104925760</v>
      </c>
      <c r="E80" s="44" t="s">
        <v>911</v>
      </c>
      <c r="F80" s="44" t="s">
        <v>75</v>
      </c>
      <c r="G80" s="44" t="s">
        <v>739</v>
      </c>
      <c r="H80" s="44" t="s">
        <v>74</v>
      </c>
      <c r="I80" s="45">
        <v>42789</v>
      </c>
      <c r="J80" s="45">
        <v>42790</v>
      </c>
      <c r="K80" s="45">
        <v>42790</v>
      </c>
      <c r="L80" s="45"/>
    </row>
    <row r="81" spans="1:12" ht="17.100000000000001" customHeight="1">
      <c r="A81" s="43" t="s">
        <v>71</v>
      </c>
      <c r="B81" s="44" t="s">
        <v>72</v>
      </c>
      <c r="C81" s="44" t="s">
        <v>73</v>
      </c>
      <c r="D81" s="85">
        <v>10104924826</v>
      </c>
      <c r="E81" s="44" t="s">
        <v>1005</v>
      </c>
      <c r="F81" s="44" t="s">
        <v>75</v>
      </c>
      <c r="G81" s="44" t="s">
        <v>739</v>
      </c>
      <c r="H81" s="44" t="s">
        <v>76</v>
      </c>
      <c r="I81" s="45">
        <v>42789</v>
      </c>
      <c r="J81" s="45">
        <v>42790</v>
      </c>
      <c r="K81" s="45">
        <v>42790</v>
      </c>
      <c r="L81" s="45"/>
    </row>
    <row r="82" spans="1:12" ht="17.100000000000001" customHeight="1">
      <c r="A82" s="43" t="s">
        <v>71</v>
      </c>
      <c r="B82" s="44" t="s">
        <v>72</v>
      </c>
      <c r="C82" s="44" t="s">
        <v>120</v>
      </c>
      <c r="D82" s="85">
        <v>10104906272</v>
      </c>
      <c r="E82" s="44" t="s">
        <v>599</v>
      </c>
      <c r="F82" s="44" t="s">
        <v>124</v>
      </c>
      <c r="G82" s="44" t="s">
        <v>121</v>
      </c>
      <c r="H82" s="44" t="s">
        <v>122</v>
      </c>
      <c r="I82" s="45">
        <v>42770</v>
      </c>
      <c r="J82" s="45">
        <v>42790</v>
      </c>
      <c r="K82" s="45"/>
      <c r="L82" s="45"/>
    </row>
    <row r="83" spans="1:12" ht="17.100000000000001" customHeight="1">
      <c r="A83" s="43" t="s">
        <v>71</v>
      </c>
      <c r="B83" s="44" t="s">
        <v>72</v>
      </c>
      <c r="C83" s="44" t="s">
        <v>120</v>
      </c>
      <c r="D83" s="85">
        <v>10104914251</v>
      </c>
      <c r="E83" s="44" t="s">
        <v>600</v>
      </c>
      <c r="F83" s="44" t="s">
        <v>124</v>
      </c>
      <c r="G83" s="44" t="s">
        <v>121</v>
      </c>
      <c r="H83" s="44" t="s">
        <v>122</v>
      </c>
      <c r="I83" s="45">
        <v>42777</v>
      </c>
      <c r="J83" s="45">
        <v>42790</v>
      </c>
      <c r="K83" s="45"/>
      <c r="L83" s="45"/>
    </row>
    <row r="84" spans="1:12" ht="17.100000000000001" customHeight="1">
      <c r="A84" s="43" t="s">
        <v>71</v>
      </c>
      <c r="B84" s="44" t="s">
        <v>72</v>
      </c>
      <c r="C84" s="44" t="s">
        <v>120</v>
      </c>
      <c r="D84" s="85">
        <v>10104922368</v>
      </c>
      <c r="E84" s="44" t="s">
        <v>821</v>
      </c>
      <c r="F84" s="44" t="s">
        <v>124</v>
      </c>
      <c r="G84" s="44" t="s">
        <v>121</v>
      </c>
      <c r="H84" s="44" t="s">
        <v>122</v>
      </c>
      <c r="I84" s="45">
        <v>42784</v>
      </c>
      <c r="J84" s="45">
        <v>42790</v>
      </c>
      <c r="K84" s="45"/>
      <c r="L84" s="45"/>
    </row>
    <row r="85" spans="1:12" ht="17.100000000000001" customHeight="1">
      <c r="A85" s="43" t="s">
        <v>71</v>
      </c>
      <c r="B85" s="44" t="s">
        <v>72</v>
      </c>
      <c r="C85" s="44" t="s">
        <v>120</v>
      </c>
      <c r="D85" s="85">
        <v>10104930735</v>
      </c>
      <c r="E85" s="44" t="s">
        <v>598</v>
      </c>
      <c r="F85" s="44" t="s">
        <v>124</v>
      </c>
      <c r="G85" s="44" t="s">
        <v>121</v>
      </c>
      <c r="H85" s="44" t="s">
        <v>122</v>
      </c>
      <c r="I85" s="45">
        <v>42791</v>
      </c>
      <c r="J85" s="45">
        <v>42790</v>
      </c>
      <c r="K85" s="45"/>
      <c r="L85" s="45"/>
    </row>
    <row r="86" spans="1:12" ht="17.100000000000001" customHeight="1">
      <c r="A86" s="43" t="s">
        <v>71</v>
      </c>
      <c r="B86" s="44" t="s">
        <v>72</v>
      </c>
      <c r="C86" s="44" t="s">
        <v>120</v>
      </c>
      <c r="D86" s="85">
        <v>10104927266</v>
      </c>
      <c r="E86" s="44" t="s">
        <v>740</v>
      </c>
      <c r="F86" s="44" t="s">
        <v>124</v>
      </c>
      <c r="G86" s="44" t="s">
        <v>741</v>
      </c>
      <c r="H86" s="44" t="s">
        <v>76</v>
      </c>
      <c r="I86" s="45">
        <v>42790</v>
      </c>
      <c r="J86" s="45">
        <v>42787</v>
      </c>
      <c r="K86" s="45"/>
      <c r="L86" s="45"/>
    </row>
    <row r="87" spans="1:12" ht="17.100000000000001" customHeight="1">
      <c r="A87" s="43" t="s">
        <v>71</v>
      </c>
      <c r="B87" s="44" t="s">
        <v>72</v>
      </c>
      <c r="C87" s="44" t="s">
        <v>120</v>
      </c>
      <c r="D87" s="85">
        <v>10104927312</v>
      </c>
      <c r="E87" s="44" t="s">
        <v>692</v>
      </c>
      <c r="F87" s="44" t="s">
        <v>124</v>
      </c>
      <c r="G87" s="44" t="s">
        <v>693</v>
      </c>
      <c r="H87" s="44" t="s">
        <v>74</v>
      </c>
      <c r="I87" s="45">
        <v>42790</v>
      </c>
      <c r="J87" s="45">
        <v>42790</v>
      </c>
      <c r="K87" s="45"/>
      <c r="L87" s="45"/>
    </row>
    <row r="88" spans="1:12" ht="17.100000000000001" customHeight="1">
      <c r="A88" s="43" t="s">
        <v>71</v>
      </c>
      <c r="B88" s="44" t="s">
        <v>72</v>
      </c>
      <c r="C88" s="44" t="s">
        <v>120</v>
      </c>
      <c r="D88" s="85">
        <v>10104927311</v>
      </c>
      <c r="E88" s="44" t="s">
        <v>742</v>
      </c>
      <c r="F88" s="44" t="s">
        <v>124</v>
      </c>
      <c r="G88" s="44" t="s">
        <v>743</v>
      </c>
      <c r="H88" s="44" t="s">
        <v>76</v>
      </c>
      <c r="I88" s="45">
        <v>42790</v>
      </c>
      <c r="J88" s="45">
        <v>42787</v>
      </c>
      <c r="K88" s="45"/>
      <c r="L88" s="45"/>
    </row>
    <row r="89" spans="1:12" ht="17.100000000000001" customHeight="1">
      <c r="A89" s="43" t="s">
        <v>71</v>
      </c>
      <c r="B89" s="44" t="s">
        <v>72</v>
      </c>
      <c r="C89" s="44" t="s">
        <v>120</v>
      </c>
      <c r="D89" s="85">
        <v>10104927267</v>
      </c>
      <c r="E89" s="44" t="s">
        <v>744</v>
      </c>
      <c r="F89" s="44" t="s">
        <v>799</v>
      </c>
      <c r="G89" s="44" t="s">
        <v>745</v>
      </c>
      <c r="H89" s="44" t="s">
        <v>76</v>
      </c>
      <c r="I89" s="45">
        <v>42790</v>
      </c>
      <c r="J89" s="45">
        <v>42787</v>
      </c>
      <c r="K89" s="45"/>
      <c r="L89" s="45"/>
    </row>
    <row r="90" spans="1:12" ht="17.100000000000001" customHeight="1">
      <c r="A90" s="43" t="s">
        <v>71</v>
      </c>
      <c r="B90" s="44" t="s">
        <v>72</v>
      </c>
      <c r="C90" s="44" t="s">
        <v>120</v>
      </c>
      <c r="D90" s="85">
        <v>10104925850</v>
      </c>
      <c r="E90" s="44" t="s">
        <v>694</v>
      </c>
      <c r="F90" s="44" t="s">
        <v>124</v>
      </c>
      <c r="G90" s="44" t="s">
        <v>695</v>
      </c>
      <c r="H90" s="44" t="s">
        <v>76</v>
      </c>
      <c r="I90" s="45">
        <v>42790</v>
      </c>
      <c r="J90" s="45">
        <v>42787</v>
      </c>
      <c r="K90" s="45"/>
      <c r="L90" s="45"/>
    </row>
    <row r="91" spans="1:12" ht="17.100000000000001" customHeight="1">
      <c r="A91" s="43" t="s">
        <v>71</v>
      </c>
      <c r="B91" s="44" t="s">
        <v>72</v>
      </c>
      <c r="C91" s="44" t="s">
        <v>120</v>
      </c>
      <c r="D91" s="85">
        <v>10104927257</v>
      </c>
      <c r="E91" s="44" t="s">
        <v>696</v>
      </c>
      <c r="F91" s="44" t="s">
        <v>124</v>
      </c>
      <c r="G91" s="44" t="s">
        <v>695</v>
      </c>
      <c r="H91" s="44" t="s">
        <v>74</v>
      </c>
      <c r="I91" s="45">
        <v>42790</v>
      </c>
      <c r="J91" s="45">
        <v>42790</v>
      </c>
      <c r="K91" s="45"/>
      <c r="L91" s="45"/>
    </row>
    <row r="92" spans="1:12" ht="17.100000000000001" customHeight="1">
      <c r="A92" s="43" t="s">
        <v>71</v>
      </c>
      <c r="B92" s="44" t="s">
        <v>72</v>
      </c>
      <c r="C92" s="44" t="s">
        <v>120</v>
      </c>
      <c r="D92" s="85">
        <v>10104927270</v>
      </c>
      <c r="E92" s="44" t="s">
        <v>746</v>
      </c>
      <c r="F92" s="44" t="s">
        <v>124</v>
      </c>
      <c r="G92" s="44" t="s">
        <v>697</v>
      </c>
      <c r="H92" s="44" t="s">
        <v>76</v>
      </c>
      <c r="I92" s="45">
        <v>42790</v>
      </c>
      <c r="J92" s="45">
        <v>42787</v>
      </c>
      <c r="K92" s="45"/>
      <c r="L92" s="45"/>
    </row>
    <row r="93" spans="1:12" ht="17.100000000000001" customHeight="1">
      <c r="A93" s="43" t="s">
        <v>71</v>
      </c>
      <c r="B93" s="44" t="s">
        <v>72</v>
      </c>
      <c r="C93" s="44" t="s">
        <v>120</v>
      </c>
      <c r="D93" s="85">
        <v>10104927315</v>
      </c>
      <c r="E93" s="44" t="s">
        <v>698</v>
      </c>
      <c r="F93" s="44" t="s">
        <v>124</v>
      </c>
      <c r="G93" s="44" t="s">
        <v>697</v>
      </c>
      <c r="H93" s="44" t="s">
        <v>76</v>
      </c>
      <c r="I93" s="45">
        <v>42790</v>
      </c>
      <c r="J93" s="45">
        <v>42787</v>
      </c>
      <c r="K93" s="45"/>
      <c r="L93" s="45"/>
    </row>
    <row r="94" spans="1:12" ht="17.100000000000001" customHeight="1">
      <c r="A94" s="43" t="s">
        <v>71</v>
      </c>
      <c r="B94" s="44" t="s">
        <v>72</v>
      </c>
      <c r="C94" s="44" t="s">
        <v>120</v>
      </c>
      <c r="D94" s="85">
        <v>10104927268</v>
      </c>
      <c r="E94" s="44" t="s">
        <v>809</v>
      </c>
      <c r="F94" s="44" t="s">
        <v>124</v>
      </c>
      <c r="G94" s="44" t="s">
        <v>697</v>
      </c>
      <c r="H94" s="44" t="s">
        <v>74</v>
      </c>
      <c r="I94" s="45">
        <v>42790</v>
      </c>
      <c r="J94" s="45">
        <v>42790</v>
      </c>
      <c r="K94" s="45"/>
      <c r="L94" s="45"/>
    </row>
    <row r="95" spans="1:12" ht="17.100000000000001" customHeight="1">
      <c r="A95" s="43" t="s">
        <v>71</v>
      </c>
      <c r="B95" s="44" t="s">
        <v>72</v>
      </c>
      <c r="C95" s="44" t="s">
        <v>120</v>
      </c>
      <c r="D95" s="85">
        <v>10104927300</v>
      </c>
      <c r="E95" s="44" t="s">
        <v>747</v>
      </c>
      <c r="F95" s="44" t="s">
        <v>124</v>
      </c>
      <c r="G95" s="44" t="s">
        <v>748</v>
      </c>
      <c r="H95" s="44" t="s">
        <v>76</v>
      </c>
      <c r="I95" s="45">
        <v>42790</v>
      </c>
      <c r="J95" s="45">
        <v>42787</v>
      </c>
      <c r="K95" s="45"/>
      <c r="L95" s="45"/>
    </row>
    <row r="96" spans="1:12" ht="17.100000000000001" customHeight="1">
      <c r="A96" s="43" t="s">
        <v>71</v>
      </c>
      <c r="B96" s="44" t="s">
        <v>72</v>
      </c>
      <c r="C96" s="44" t="s">
        <v>120</v>
      </c>
      <c r="D96" s="85">
        <v>10104927269</v>
      </c>
      <c r="E96" s="44" t="s">
        <v>699</v>
      </c>
      <c r="F96" s="44" t="s">
        <v>124</v>
      </c>
      <c r="G96" s="44" t="s">
        <v>700</v>
      </c>
      <c r="H96" s="44" t="s">
        <v>74</v>
      </c>
      <c r="I96" s="45">
        <v>42790</v>
      </c>
      <c r="J96" s="45">
        <v>42790</v>
      </c>
      <c r="K96" s="45"/>
      <c r="L96" s="45"/>
    </row>
    <row r="97" spans="1:12" ht="17.100000000000001" customHeight="1">
      <c r="A97" s="43" t="s">
        <v>71</v>
      </c>
      <c r="B97" s="44" t="s">
        <v>72</v>
      </c>
      <c r="C97" s="44" t="s">
        <v>120</v>
      </c>
      <c r="D97" s="85">
        <v>10104925851</v>
      </c>
      <c r="E97" s="44" t="s">
        <v>583</v>
      </c>
      <c r="F97" s="44" t="s">
        <v>124</v>
      </c>
      <c r="G97" s="44" t="s">
        <v>701</v>
      </c>
      <c r="H97" s="44" t="s">
        <v>74</v>
      </c>
      <c r="I97" s="45">
        <v>42790</v>
      </c>
      <c r="J97" s="45">
        <v>42790</v>
      </c>
      <c r="K97" s="45"/>
      <c r="L97" s="45"/>
    </row>
    <row r="98" spans="1:12" ht="17.100000000000001" customHeight="1">
      <c r="A98" s="43" t="s">
        <v>71</v>
      </c>
      <c r="B98" s="44" t="s">
        <v>72</v>
      </c>
      <c r="C98" s="44" t="s">
        <v>120</v>
      </c>
      <c r="D98" s="85">
        <v>10104914252</v>
      </c>
      <c r="E98" s="44" t="s">
        <v>128</v>
      </c>
      <c r="F98" s="44" t="s">
        <v>124</v>
      </c>
      <c r="G98" s="44" t="s">
        <v>125</v>
      </c>
      <c r="H98" s="44" t="s">
        <v>122</v>
      </c>
      <c r="I98" s="45">
        <v>42777</v>
      </c>
      <c r="J98" s="45">
        <v>42790</v>
      </c>
      <c r="K98" s="45"/>
      <c r="L98" s="45"/>
    </row>
    <row r="99" spans="1:12" ht="17.100000000000001" customHeight="1">
      <c r="A99" s="43" t="s">
        <v>71</v>
      </c>
      <c r="B99" s="44" t="s">
        <v>72</v>
      </c>
      <c r="C99" s="44" t="s">
        <v>120</v>
      </c>
      <c r="D99" s="85">
        <v>10104930736</v>
      </c>
      <c r="E99" s="44" t="s">
        <v>126</v>
      </c>
      <c r="F99" s="44" t="s">
        <v>124</v>
      </c>
      <c r="G99" s="44" t="s">
        <v>125</v>
      </c>
      <c r="H99" s="44" t="s">
        <v>122</v>
      </c>
      <c r="I99" s="45">
        <v>42791</v>
      </c>
      <c r="J99" s="45">
        <v>42790</v>
      </c>
      <c r="K99" s="45"/>
      <c r="L99" s="45"/>
    </row>
    <row r="100" spans="1:12" ht="17.100000000000001" customHeight="1">
      <c r="A100" s="43" t="s">
        <v>71</v>
      </c>
      <c r="B100" s="44" t="s">
        <v>72</v>
      </c>
      <c r="C100" s="44" t="s">
        <v>120</v>
      </c>
      <c r="D100" s="85">
        <v>10104922369</v>
      </c>
      <c r="E100" s="44" t="s">
        <v>127</v>
      </c>
      <c r="F100" s="44" t="s">
        <v>124</v>
      </c>
      <c r="G100" s="44" t="s">
        <v>125</v>
      </c>
      <c r="H100" s="44" t="s">
        <v>122</v>
      </c>
      <c r="I100" s="45">
        <v>42784</v>
      </c>
      <c r="J100" s="45">
        <v>42790</v>
      </c>
      <c r="K100" s="45"/>
      <c r="L100" s="45"/>
    </row>
    <row r="101" spans="1:12" ht="17.100000000000001" customHeight="1">
      <c r="A101" s="43" t="s">
        <v>71</v>
      </c>
      <c r="B101" s="44" t="s">
        <v>72</v>
      </c>
      <c r="C101" s="44" t="s">
        <v>120</v>
      </c>
      <c r="D101" s="85">
        <v>10104906273</v>
      </c>
      <c r="E101" s="44" t="s">
        <v>123</v>
      </c>
      <c r="F101" s="44" t="s">
        <v>124</v>
      </c>
      <c r="G101" s="44" t="s">
        <v>125</v>
      </c>
      <c r="H101" s="44" t="s">
        <v>122</v>
      </c>
      <c r="I101" s="45">
        <v>42770</v>
      </c>
      <c r="J101" s="45">
        <v>42790</v>
      </c>
      <c r="K101" s="45"/>
      <c r="L101" s="45"/>
    </row>
    <row r="102" spans="1:12" ht="17.100000000000001" customHeight="1">
      <c r="A102" s="43" t="s">
        <v>71</v>
      </c>
      <c r="B102" s="44" t="s">
        <v>72</v>
      </c>
      <c r="C102" s="44" t="s">
        <v>120</v>
      </c>
      <c r="D102" s="85">
        <v>10104918234</v>
      </c>
      <c r="E102" s="44" t="s">
        <v>1006</v>
      </c>
      <c r="F102" s="44" t="s">
        <v>124</v>
      </c>
      <c r="G102" s="44" t="s">
        <v>913</v>
      </c>
      <c r="H102" s="44" t="s">
        <v>130</v>
      </c>
      <c r="I102" s="45">
        <v>42780</v>
      </c>
      <c r="J102" s="45">
        <v>42790</v>
      </c>
      <c r="K102" s="45"/>
      <c r="L102" s="45"/>
    </row>
    <row r="103" spans="1:12" ht="17.100000000000001" customHeight="1">
      <c r="A103" s="43" t="s">
        <v>71</v>
      </c>
      <c r="B103" s="44" t="s">
        <v>72</v>
      </c>
      <c r="C103" s="44" t="s">
        <v>120</v>
      </c>
      <c r="D103" s="85">
        <v>10104918180</v>
      </c>
      <c r="E103" s="44" t="s">
        <v>1007</v>
      </c>
      <c r="F103" s="44" t="s">
        <v>124</v>
      </c>
      <c r="G103" s="44" t="s">
        <v>1008</v>
      </c>
      <c r="H103" s="44" t="s">
        <v>130</v>
      </c>
      <c r="I103" s="45">
        <v>42780</v>
      </c>
      <c r="J103" s="45">
        <v>42790</v>
      </c>
      <c r="K103" s="45"/>
      <c r="L103" s="45"/>
    </row>
    <row r="104" spans="1:12" ht="17.100000000000001" customHeight="1">
      <c r="A104" s="43" t="s">
        <v>71</v>
      </c>
      <c r="B104" s="44" t="s">
        <v>72</v>
      </c>
      <c r="C104" s="44" t="s">
        <v>120</v>
      </c>
      <c r="D104" s="85">
        <v>10104916735</v>
      </c>
      <c r="E104" s="44" t="s">
        <v>132</v>
      </c>
      <c r="F104" s="44" t="s">
        <v>124</v>
      </c>
      <c r="G104" s="44" t="s">
        <v>82</v>
      </c>
      <c r="H104" s="44" t="s">
        <v>76</v>
      </c>
      <c r="I104" s="45">
        <v>42782</v>
      </c>
      <c r="J104" s="45">
        <v>42790</v>
      </c>
      <c r="K104" s="45"/>
      <c r="L104" s="45"/>
    </row>
    <row r="105" spans="1:12" ht="17.100000000000001" customHeight="1">
      <c r="A105" s="43" t="s">
        <v>71</v>
      </c>
      <c r="B105" s="44" t="s">
        <v>72</v>
      </c>
      <c r="C105" s="44" t="s">
        <v>120</v>
      </c>
      <c r="D105" s="85">
        <v>10104929730</v>
      </c>
      <c r="E105" s="44" t="s">
        <v>797</v>
      </c>
      <c r="F105" s="44" t="s">
        <v>180</v>
      </c>
      <c r="G105" s="44" t="s">
        <v>82</v>
      </c>
      <c r="H105" s="44" t="s">
        <v>131</v>
      </c>
      <c r="I105" s="45">
        <v>42782</v>
      </c>
      <c r="J105" s="45">
        <v>42782</v>
      </c>
      <c r="K105" s="45">
        <v>42781</v>
      </c>
      <c r="L105" s="45"/>
    </row>
    <row r="106" spans="1:12" ht="17.100000000000001" customHeight="1">
      <c r="A106" s="43" t="s">
        <v>71</v>
      </c>
      <c r="B106" s="44" t="s">
        <v>72</v>
      </c>
      <c r="C106" s="44" t="s">
        <v>120</v>
      </c>
      <c r="D106" s="85">
        <v>10104923338</v>
      </c>
      <c r="E106" s="44" t="s">
        <v>133</v>
      </c>
      <c r="F106" s="44" t="s">
        <v>124</v>
      </c>
      <c r="G106" s="44" t="s">
        <v>92</v>
      </c>
      <c r="H106" s="44" t="s">
        <v>130</v>
      </c>
      <c r="I106" s="45">
        <v>42787</v>
      </c>
      <c r="J106" s="45">
        <v>42790</v>
      </c>
      <c r="K106" s="45"/>
      <c r="L106" s="45"/>
    </row>
    <row r="107" spans="1:12" ht="17.100000000000001" customHeight="1">
      <c r="A107" s="43" t="s">
        <v>71</v>
      </c>
      <c r="B107" s="44" t="s">
        <v>72</v>
      </c>
      <c r="C107" s="44" t="s">
        <v>120</v>
      </c>
      <c r="D107" s="85">
        <v>10104923340</v>
      </c>
      <c r="E107" s="44" t="s">
        <v>134</v>
      </c>
      <c r="F107" s="44" t="s">
        <v>124</v>
      </c>
      <c r="G107" s="44" t="s">
        <v>94</v>
      </c>
      <c r="H107" s="44" t="s">
        <v>130</v>
      </c>
      <c r="I107" s="45">
        <v>42787</v>
      </c>
      <c r="J107" s="45">
        <v>42790</v>
      </c>
      <c r="K107" s="45"/>
      <c r="L107" s="45"/>
    </row>
    <row r="108" spans="1:12" ht="17.100000000000001" customHeight="1">
      <c r="A108" s="43" t="s">
        <v>71</v>
      </c>
      <c r="B108" s="44" t="s">
        <v>72</v>
      </c>
      <c r="C108" s="44" t="s">
        <v>120</v>
      </c>
      <c r="D108" s="85">
        <v>10104886315</v>
      </c>
      <c r="E108" s="44" t="s">
        <v>1009</v>
      </c>
      <c r="F108" s="44" t="s">
        <v>346</v>
      </c>
      <c r="G108" s="44" t="s">
        <v>96</v>
      </c>
      <c r="H108" s="44" t="s">
        <v>130</v>
      </c>
      <c r="I108" s="45">
        <v>42787</v>
      </c>
      <c r="J108" s="45">
        <v>42790</v>
      </c>
      <c r="K108" s="45"/>
      <c r="L108" s="45"/>
    </row>
    <row r="109" spans="1:12" ht="17.100000000000001" customHeight="1">
      <c r="A109" s="43" t="s">
        <v>71</v>
      </c>
      <c r="B109" s="44" t="s">
        <v>72</v>
      </c>
      <c r="C109" s="44" t="s">
        <v>120</v>
      </c>
      <c r="D109" s="85">
        <v>10104922346</v>
      </c>
      <c r="E109" s="44" t="s">
        <v>135</v>
      </c>
      <c r="F109" s="44" t="s">
        <v>124</v>
      </c>
      <c r="G109" s="44" t="s">
        <v>96</v>
      </c>
      <c r="H109" s="44" t="s">
        <v>130</v>
      </c>
      <c r="I109" s="45">
        <v>42786</v>
      </c>
      <c r="J109" s="45">
        <v>42790</v>
      </c>
      <c r="K109" s="45"/>
      <c r="L109" s="45"/>
    </row>
    <row r="110" spans="1:12" ht="17.100000000000001" customHeight="1">
      <c r="A110" s="43" t="s">
        <v>71</v>
      </c>
      <c r="B110" s="44" t="s">
        <v>72</v>
      </c>
      <c r="C110" s="44" t="s">
        <v>120</v>
      </c>
      <c r="D110" s="85">
        <v>10104918232</v>
      </c>
      <c r="E110" s="44" t="s">
        <v>1010</v>
      </c>
      <c r="F110" s="44" t="s">
        <v>124</v>
      </c>
      <c r="G110" s="44" t="s">
        <v>96</v>
      </c>
      <c r="H110" s="44" t="s">
        <v>130</v>
      </c>
      <c r="I110" s="45">
        <v>42780</v>
      </c>
      <c r="J110" s="45">
        <v>42790</v>
      </c>
      <c r="K110" s="45"/>
      <c r="L110" s="45"/>
    </row>
    <row r="111" spans="1:12" ht="17.100000000000001" customHeight="1">
      <c r="A111" s="43" t="s">
        <v>71</v>
      </c>
      <c r="B111" s="44" t="s">
        <v>72</v>
      </c>
      <c r="C111" s="44" t="s">
        <v>120</v>
      </c>
      <c r="D111" s="85">
        <v>10104893317</v>
      </c>
      <c r="E111" s="44" t="s">
        <v>1011</v>
      </c>
      <c r="F111" s="44" t="s">
        <v>124</v>
      </c>
      <c r="G111" s="44" t="s">
        <v>105</v>
      </c>
      <c r="H111" s="44" t="s">
        <v>130</v>
      </c>
      <c r="I111" s="45">
        <v>42794</v>
      </c>
      <c r="J111" s="45">
        <v>42790</v>
      </c>
      <c r="K111" s="45"/>
      <c r="L111" s="45"/>
    </row>
    <row r="112" spans="1:12" ht="17.100000000000001" customHeight="1">
      <c r="A112" s="43" t="s">
        <v>71</v>
      </c>
      <c r="B112" s="44" t="s">
        <v>72</v>
      </c>
      <c r="C112" s="44" t="s">
        <v>120</v>
      </c>
      <c r="D112" s="85">
        <v>10104886317</v>
      </c>
      <c r="E112" s="44" t="s">
        <v>1012</v>
      </c>
      <c r="F112" s="44" t="s">
        <v>124</v>
      </c>
      <c r="G112" s="44" t="s">
        <v>106</v>
      </c>
      <c r="H112" s="44" t="s">
        <v>130</v>
      </c>
      <c r="I112" s="45">
        <v>42787</v>
      </c>
      <c r="J112" s="45">
        <v>42790</v>
      </c>
      <c r="K112" s="45"/>
      <c r="L112" s="45"/>
    </row>
    <row r="113" spans="1:12" ht="17.100000000000001" customHeight="1">
      <c r="A113" s="43" t="s">
        <v>71</v>
      </c>
      <c r="B113" s="44" t="s">
        <v>72</v>
      </c>
      <c r="C113" s="44" t="s">
        <v>120</v>
      </c>
      <c r="D113" s="85">
        <v>10104907511</v>
      </c>
      <c r="E113" s="44" t="s">
        <v>1013</v>
      </c>
      <c r="F113" s="44" t="s">
        <v>124</v>
      </c>
      <c r="G113" s="44" t="s">
        <v>106</v>
      </c>
      <c r="H113" s="44" t="s">
        <v>129</v>
      </c>
      <c r="I113" s="45">
        <v>42771</v>
      </c>
      <c r="J113" s="45">
        <v>42790</v>
      </c>
      <c r="K113" s="45"/>
      <c r="L113" s="45"/>
    </row>
    <row r="114" spans="1:12" ht="17.100000000000001" customHeight="1">
      <c r="A114" s="43" t="s">
        <v>71</v>
      </c>
      <c r="B114" s="44" t="s">
        <v>72</v>
      </c>
      <c r="C114" s="44" t="s">
        <v>120</v>
      </c>
      <c r="D114" s="85">
        <v>10104923344</v>
      </c>
      <c r="E114" s="44" t="s">
        <v>136</v>
      </c>
      <c r="F114" s="44" t="s">
        <v>124</v>
      </c>
      <c r="G114" s="44" t="s">
        <v>110</v>
      </c>
      <c r="H114" s="44" t="s">
        <v>130</v>
      </c>
      <c r="I114" s="45">
        <v>42787</v>
      </c>
      <c r="J114" s="45">
        <v>42790</v>
      </c>
      <c r="K114" s="45"/>
      <c r="L114" s="45"/>
    </row>
    <row r="115" spans="1:12" ht="17.100000000000001" customHeight="1">
      <c r="A115" s="43" t="s">
        <v>71</v>
      </c>
      <c r="B115" s="44" t="s">
        <v>72</v>
      </c>
      <c r="C115" s="44" t="s">
        <v>120</v>
      </c>
      <c r="D115" s="85">
        <v>10104925161</v>
      </c>
      <c r="E115" s="44" t="s">
        <v>137</v>
      </c>
      <c r="F115" s="44" t="s">
        <v>124</v>
      </c>
      <c r="G115" s="44" t="s">
        <v>113</v>
      </c>
      <c r="H115" s="44" t="s">
        <v>130</v>
      </c>
      <c r="I115" s="45">
        <v>42789</v>
      </c>
      <c r="J115" s="45">
        <v>42790</v>
      </c>
      <c r="K115" s="45"/>
      <c r="L115" s="45"/>
    </row>
    <row r="116" spans="1:12" ht="17.100000000000001" customHeight="1">
      <c r="A116" s="43" t="s">
        <v>71</v>
      </c>
      <c r="B116" s="44" t="s">
        <v>72</v>
      </c>
      <c r="C116" s="44" t="s">
        <v>120</v>
      </c>
      <c r="D116" s="85">
        <v>10104906810</v>
      </c>
      <c r="E116" s="44" t="s">
        <v>1014</v>
      </c>
      <c r="F116" s="44" t="s">
        <v>124</v>
      </c>
      <c r="G116" s="44" t="s">
        <v>114</v>
      </c>
      <c r="H116" s="44" t="s">
        <v>129</v>
      </c>
      <c r="I116" s="45">
        <v>42773</v>
      </c>
      <c r="J116" s="45">
        <v>42790</v>
      </c>
      <c r="K116" s="45"/>
      <c r="L116" s="45"/>
    </row>
    <row r="117" spans="1:12" ht="17.100000000000001" customHeight="1">
      <c r="A117" s="43" t="s">
        <v>71</v>
      </c>
      <c r="B117" s="44" t="s">
        <v>72</v>
      </c>
      <c r="C117" s="44" t="s">
        <v>120</v>
      </c>
      <c r="D117" s="85">
        <v>10104947716</v>
      </c>
      <c r="E117" s="44" t="s">
        <v>869</v>
      </c>
      <c r="F117" s="44" t="s">
        <v>124</v>
      </c>
      <c r="G117" s="44" t="s">
        <v>697</v>
      </c>
      <c r="H117" s="44" t="s">
        <v>129</v>
      </c>
      <c r="I117" s="45">
        <v>42780</v>
      </c>
      <c r="J117" s="45">
        <v>42790</v>
      </c>
      <c r="K117" s="45"/>
      <c r="L117" s="45"/>
    </row>
    <row r="118" spans="1:12" ht="17.100000000000001" customHeight="1">
      <c r="A118" s="43" t="s">
        <v>138</v>
      </c>
      <c r="B118" s="44" t="s">
        <v>139</v>
      </c>
      <c r="C118" s="44" t="s">
        <v>73</v>
      </c>
      <c r="D118" s="85">
        <v>10104926781</v>
      </c>
      <c r="E118" s="44" t="s">
        <v>1015</v>
      </c>
      <c r="F118" s="44" t="s">
        <v>596</v>
      </c>
      <c r="G118" s="44" t="s">
        <v>1016</v>
      </c>
      <c r="H118" s="44" t="s">
        <v>74</v>
      </c>
      <c r="I118" s="45">
        <v>42787</v>
      </c>
      <c r="J118" s="45">
        <v>42787</v>
      </c>
      <c r="K118" s="45"/>
      <c r="L118" s="45"/>
    </row>
    <row r="119" spans="1:12" ht="17.100000000000001" customHeight="1">
      <c r="A119" s="43" t="s">
        <v>138</v>
      </c>
      <c r="B119" s="44" t="s">
        <v>139</v>
      </c>
      <c r="C119" s="44" t="s">
        <v>73</v>
      </c>
      <c r="D119" s="85">
        <v>10104930773</v>
      </c>
      <c r="E119" s="44" t="s">
        <v>484</v>
      </c>
      <c r="F119" s="44" t="s">
        <v>146</v>
      </c>
      <c r="G119" s="44" t="s">
        <v>140</v>
      </c>
      <c r="H119" s="44" t="s">
        <v>76</v>
      </c>
      <c r="I119" s="45">
        <v>42793</v>
      </c>
      <c r="J119" s="45">
        <v>42796</v>
      </c>
      <c r="K119" s="45"/>
      <c r="L119" s="45"/>
    </row>
    <row r="120" spans="1:12" ht="17.100000000000001" customHeight="1">
      <c r="A120" s="43" t="s">
        <v>138</v>
      </c>
      <c r="B120" s="44" t="s">
        <v>139</v>
      </c>
      <c r="C120" s="44" t="s">
        <v>73</v>
      </c>
      <c r="D120" s="85">
        <v>10104930717</v>
      </c>
      <c r="E120" s="44" t="s">
        <v>141</v>
      </c>
      <c r="F120" s="44" t="s">
        <v>146</v>
      </c>
      <c r="G120" s="44" t="s">
        <v>140</v>
      </c>
      <c r="H120" s="44" t="s">
        <v>74</v>
      </c>
      <c r="I120" s="45">
        <v>42793</v>
      </c>
      <c r="J120" s="45">
        <v>42796</v>
      </c>
      <c r="K120" s="45"/>
      <c r="L120" s="45"/>
    </row>
    <row r="121" spans="1:12" ht="17.100000000000001" customHeight="1">
      <c r="A121" s="43" t="s">
        <v>138</v>
      </c>
      <c r="B121" s="44" t="s">
        <v>139</v>
      </c>
      <c r="C121" s="44" t="s">
        <v>73</v>
      </c>
      <c r="D121" s="85">
        <v>10104895958</v>
      </c>
      <c r="E121" s="44" t="s">
        <v>879</v>
      </c>
      <c r="F121" s="44" t="s">
        <v>829</v>
      </c>
      <c r="G121" s="44" t="s">
        <v>140</v>
      </c>
      <c r="H121" s="44" t="s">
        <v>76</v>
      </c>
      <c r="I121" s="45">
        <v>42767</v>
      </c>
      <c r="J121" s="45">
        <v>42796</v>
      </c>
      <c r="K121" s="45"/>
      <c r="L121" s="45"/>
    </row>
    <row r="122" spans="1:12" ht="17.100000000000001" customHeight="1">
      <c r="A122" s="43" t="s">
        <v>138</v>
      </c>
      <c r="B122" s="44" t="s">
        <v>139</v>
      </c>
      <c r="C122" s="44" t="s">
        <v>73</v>
      </c>
      <c r="D122" s="85">
        <v>10104895957</v>
      </c>
      <c r="E122" s="44" t="s">
        <v>640</v>
      </c>
      <c r="F122" s="44" t="s">
        <v>829</v>
      </c>
      <c r="G122" s="44" t="s">
        <v>143</v>
      </c>
      <c r="H122" s="44" t="s">
        <v>76</v>
      </c>
      <c r="I122" s="45">
        <v>42767</v>
      </c>
      <c r="J122" s="45">
        <v>42796</v>
      </c>
      <c r="K122" s="45"/>
      <c r="L122" s="45"/>
    </row>
    <row r="123" spans="1:12" ht="17.100000000000001" customHeight="1">
      <c r="A123" s="43" t="s">
        <v>138</v>
      </c>
      <c r="B123" s="44" t="s">
        <v>139</v>
      </c>
      <c r="C123" s="44" t="s">
        <v>73</v>
      </c>
      <c r="D123" s="85">
        <v>10104930716</v>
      </c>
      <c r="E123" s="44" t="s">
        <v>142</v>
      </c>
      <c r="F123" s="44" t="s">
        <v>146</v>
      </c>
      <c r="G123" s="44" t="s">
        <v>143</v>
      </c>
      <c r="H123" s="44" t="s">
        <v>74</v>
      </c>
      <c r="I123" s="45">
        <v>42793</v>
      </c>
      <c r="J123" s="45">
        <v>42796</v>
      </c>
      <c r="K123" s="45"/>
      <c r="L123" s="45"/>
    </row>
    <row r="124" spans="1:12" ht="17.100000000000001" customHeight="1">
      <c r="A124" s="43" t="s">
        <v>138</v>
      </c>
      <c r="B124" s="44" t="s">
        <v>144</v>
      </c>
      <c r="C124" s="44" t="s">
        <v>73</v>
      </c>
      <c r="D124" s="85">
        <v>10104930724</v>
      </c>
      <c r="E124" s="44" t="s">
        <v>145</v>
      </c>
      <c r="F124" s="44" t="s">
        <v>146</v>
      </c>
      <c r="G124" s="44" t="s">
        <v>147</v>
      </c>
      <c r="H124" s="44" t="s">
        <v>74</v>
      </c>
      <c r="I124" s="45">
        <v>42793</v>
      </c>
      <c r="J124" s="45">
        <v>42796</v>
      </c>
      <c r="K124" s="45"/>
      <c r="L124" s="45"/>
    </row>
    <row r="125" spans="1:12" ht="17.100000000000001" customHeight="1">
      <c r="A125" s="43" t="s">
        <v>138</v>
      </c>
      <c r="B125" s="44" t="s">
        <v>148</v>
      </c>
      <c r="C125" s="44" t="s">
        <v>73</v>
      </c>
      <c r="D125" s="85">
        <v>10104910321</v>
      </c>
      <c r="E125" s="44" t="s">
        <v>702</v>
      </c>
      <c r="F125" s="44" t="s">
        <v>219</v>
      </c>
      <c r="G125" s="44" t="s">
        <v>149</v>
      </c>
      <c r="H125" s="44" t="s">
        <v>74</v>
      </c>
      <c r="I125" s="45">
        <v>42776</v>
      </c>
      <c r="J125" s="45">
        <v>42796</v>
      </c>
      <c r="K125" s="45"/>
      <c r="L125" s="45"/>
    </row>
    <row r="126" spans="1:12" ht="17.100000000000001" customHeight="1">
      <c r="A126" s="43" t="s">
        <v>138</v>
      </c>
      <c r="B126" s="44" t="s">
        <v>148</v>
      </c>
      <c r="C126" s="44" t="s">
        <v>73</v>
      </c>
      <c r="D126" s="85">
        <v>10104910431</v>
      </c>
      <c r="E126" s="44" t="s">
        <v>485</v>
      </c>
      <c r="F126" s="44" t="s">
        <v>146</v>
      </c>
      <c r="G126" s="44" t="s">
        <v>149</v>
      </c>
      <c r="H126" s="44" t="s">
        <v>76</v>
      </c>
      <c r="I126" s="45">
        <v>42776</v>
      </c>
      <c r="J126" s="45">
        <v>42796</v>
      </c>
      <c r="K126" s="45"/>
      <c r="L126" s="45"/>
    </row>
    <row r="127" spans="1:12" ht="17.100000000000001" customHeight="1">
      <c r="A127" s="43" t="s">
        <v>138</v>
      </c>
      <c r="B127" s="44" t="s">
        <v>148</v>
      </c>
      <c r="C127" s="44" t="s">
        <v>73</v>
      </c>
      <c r="D127" s="85">
        <v>10104910455</v>
      </c>
      <c r="E127" s="44" t="s">
        <v>486</v>
      </c>
      <c r="F127" s="44" t="s">
        <v>146</v>
      </c>
      <c r="G127" s="44" t="s">
        <v>150</v>
      </c>
      <c r="H127" s="44" t="s">
        <v>76</v>
      </c>
      <c r="I127" s="45">
        <v>42776</v>
      </c>
      <c r="J127" s="45">
        <v>42796</v>
      </c>
      <c r="K127" s="45"/>
      <c r="L127" s="45"/>
    </row>
    <row r="128" spans="1:12" ht="17.100000000000001" customHeight="1">
      <c r="A128" s="43" t="s">
        <v>138</v>
      </c>
      <c r="B128" s="44" t="s">
        <v>148</v>
      </c>
      <c r="C128" s="44" t="s">
        <v>73</v>
      </c>
      <c r="D128" s="85">
        <v>10104930719</v>
      </c>
      <c r="E128" s="44" t="s">
        <v>641</v>
      </c>
      <c r="F128" s="44" t="s">
        <v>146</v>
      </c>
      <c r="G128" s="44" t="s">
        <v>151</v>
      </c>
      <c r="H128" s="44" t="s">
        <v>76</v>
      </c>
      <c r="I128" s="45">
        <v>42793</v>
      </c>
      <c r="J128" s="45">
        <v>42796</v>
      </c>
      <c r="K128" s="45"/>
      <c r="L128" s="45"/>
    </row>
    <row r="129" spans="1:12" ht="17.100000000000001" customHeight="1">
      <c r="A129" s="43" t="s">
        <v>138</v>
      </c>
      <c r="B129" s="44" t="s">
        <v>139</v>
      </c>
      <c r="C129" s="44" t="s">
        <v>73</v>
      </c>
      <c r="D129" s="85">
        <v>10104930721</v>
      </c>
      <c r="E129" s="44" t="s">
        <v>152</v>
      </c>
      <c r="F129" s="44" t="s">
        <v>146</v>
      </c>
      <c r="G129" s="44" t="s">
        <v>153</v>
      </c>
      <c r="H129" s="44" t="s">
        <v>74</v>
      </c>
      <c r="I129" s="45">
        <v>42793</v>
      </c>
      <c r="J129" s="45">
        <v>42796</v>
      </c>
      <c r="K129" s="45"/>
      <c r="L129" s="45"/>
    </row>
    <row r="130" spans="1:12" ht="17.100000000000001" customHeight="1">
      <c r="A130" s="43" t="s">
        <v>138</v>
      </c>
      <c r="B130" s="44" t="s">
        <v>139</v>
      </c>
      <c r="C130" s="44" t="s">
        <v>73</v>
      </c>
      <c r="D130" s="85">
        <v>10104930720</v>
      </c>
      <c r="E130" s="44" t="s">
        <v>880</v>
      </c>
      <c r="F130" s="44" t="s">
        <v>146</v>
      </c>
      <c r="G130" s="44" t="s">
        <v>153</v>
      </c>
      <c r="H130" s="44" t="s">
        <v>76</v>
      </c>
      <c r="I130" s="45">
        <v>42793</v>
      </c>
      <c r="J130" s="45">
        <v>42796</v>
      </c>
      <c r="K130" s="45"/>
      <c r="L130" s="45"/>
    </row>
    <row r="131" spans="1:12" ht="17.100000000000001" customHeight="1">
      <c r="A131" s="43" t="s">
        <v>138</v>
      </c>
      <c r="B131" s="44" t="s">
        <v>148</v>
      </c>
      <c r="C131" s="44" t="s">
        <v>73</v>
      </c>
      <c r="D131" s="85">
        <v>10104915075</v>
      </c>
      <c r="E131" s="44" t="s">
        <v>487</v>
      </c>
      <c r="F131" s="44" t="s">
        <v>146</v>
      </c>
      <c r="G131" s="44" t="s">
        <v>488</v>
      </c>
      <c r="H131" s="44" t="s">
        <v>74</v>
      </c>
      <c r="I131" s="45">
        <v>42780</v>
      </c>
      <c r="J131" s="45">
        <v>42796</v>
      </c>
      <c r="K131" s="45"/>
      <c r="L131" s="45"/>
    </row>
    <row r="132" spans="1:12" ht="17.100000000000001" customHeight="1">
      <c r="A132" s="43" t="s">
        <v>138</v>
      </c>
      <c r="B132" s="44" t="s">
        <v>148</v>
      </c>
      <c r="C132" s="44" t="s">
        <v>73</v>
      </c>
      <c r="D132" s="85">
        <v>10104910454</v>
      </c>
      <c r="E132" s="44" t="s">
        <v>881</v>
      </c>
      <c r="F132" s="44" t="s">
        <v>146</v>
      </c>
      <c r="G132" s="44" t="s">
        <v>154</v>
      </c>
      <c r="H132" s="44" t="s">
        <v>76</v>
      </c>
      <c r="I132" s="45">
        <v>42776</v>
      </c>
      <c r="J132" s="45">
        <v>42796</v>
      </c>
      <c r="K132" s="45"/>
      <c r="L132" s="45"/>
    </row>
    <row r="133" spans="1:12" ht="17.100000000000001" customHeight="1">
      <c r="A133" s="43" t="s">
        <v>138</v>
      </c>
      <c r="B133" s="44" t="s">
        <v>148</v>
      </c>
      <c r="C133" s="44" t="s">
        <v>73</v>
      </c>
      <c r="D133" s="85">
        <v>10104910337</v>
      </c>
      <c r="E133" s="44" t="s">
        <v>489</v>
      </c>
      <c r="F133" s="44" t="s">
        <v>219</v>
      </c>
      <c r="G133" s="44" t="s">
        <v>154</v>
      </c>
      <c r="H133" s="44" t="s">
        <v>74</v>
      </c>
      <c r="I133" s="45">
        <v>42776</v>
      </c>
      <c r="J133" s="45">
        <v>42796</v>
      </c>
      <c r="K133" s="45"/>
      <c r="L133" s="45"/>
    </row>
    <row r="134" spans="1:12" ht="17.100000000000001" customHeight="1">
      <c r="A134" s="43" t="s">
        <v>138</v>
      </c>
      <c r="B134" s="44" t="s">
        <v>144</v>
      </c>
      <c r="C134" s="44" t="s">
        <v>73</v>
      </c>
      <c r="D134" s="85">
        <v>10104923792</v>
      </c>
      <c r="E134" s="44" t="s">
        <v>506</v>
      </c>
      <c r="F134" s="44" t="s">
        <v>146</v>
      </c>
      <c r="G134" s="44" t="s">
        <v>507</v>
      </c>
      <c r="H134" s="44" t="s">
        <v>74</v>
      </c>
      <c r="I134" s="45">
        <v>42787</v>
      </c>
      <c r="J134" s="45">
        <v>42796</v>
      </c>
      <c r="K134" s="45"/>
      <c r="L134" s="45"/>
    </row>
    <row r="135" spans="1:12" ht="17.100000000000001" customHeight="1">
      <c r="A135" s="43" t="s">
        <v>138</v>
      </c>
      <c r="B135" s="44" t="s">
        <v>144</v>
      </c>
      <c r="C135" s="44" t="s">
        <v>73</v>
      </c>
      <c r="D135" s="85">
        <v>10104925845</v>
      </c>
      <c r="E135" s="44" t="s">
        <v>585</v>
      </c>
      <c r="F135" s="44" t="s">
        <v>146</v>
      </c>
      <c r="G135" s="44" t="s">
        <v>507</v>
      </c>
      <c r="H135" s="44" t="s">
        <v>76</v>
      </c>
      <c r="I135" s="45">
        <v>42789</v>
      </c>
      <c r="J135" s="45">
        <v>42796</v>
      </c>
      <c r="K135" s="45"/>
      <c r="L135" s="45"/>
    </row>
    <row r="136" spans="1:12" ht="17.100000000000001" customHeight="1">
      <c r="A136" s="43" t="s">
        <v>138</v>
      </c>
      <c r="B136" s="44" t="s">
        <v>148</v>
      </c>
      <c r="C136" s="44" t="s">
        <v>73</v>
      </c>
      <c r="D136" s="85">
        <v>10104932115</v>
      </c>
      <c r="E136" s="44" t="s">
        <v>155</v>
      </c>
      <c r="F136" s="44" t="s">
        <v>146</v>
      </c>
      <c r="G136" s="44" t="s">
        <v>156</v>
      </c>
      <c r="H136" s="44" t="s">
        <v>74</v>
      </c>
      <c r="I136" s="45">
        <v>42778</v>
      </c>
      <c r="J136" s="45">
        <v>42796</v>
      </c>
      <c r="K136" s="45"/>
      <c r="L136" s="45"/>
    </row>
    <row r="137" spans="1:12" ht="17.100000000000001" customHeight="1">
      <c r="A137" s="43" t="s">
        <v>138</v>
      </c>
      <c r="B137" s="44" t="s">
        <v>148</v>
      </c>
      <c r="C137" s="44" t="s">
        <v>73</v>
      </c>
      <c r="D137" s="85">
        <v>10104948930</v>
      </c>
      <c r="E137" s="44" t="s">
        <v>155</v>
      </c>
      <c r="F137" s="44" t="s">
        <v>146</v>
      </c>
      <c r="G137" s="44" t="s">
        <v>156</v>
      </c>
      <c r="H137" s="44" t="s">
        <v>74</v>
      </c>
      <c r="I137" s="45">
        <v>42792</v>
      </c>
      <c r="J137" s="45">
        <v>42796</v>
      </c>
      <c r="K137" s="45"/>
      <c r="L137" s="45"/>
    </row>
    <row r="138" spans="1:12" ht="17.100000000000001" customHeight="1">
      <c r="A138" s="43" t="s">
        <v>138</v>
      </c>
      <c r="B138" s="44" t="s">
        <v>148</v>
      </c>
      <c r="C138" s="44" t="s">
        <v>73</v>
      </c>
      <c r="D138" s="85">
        <v>10104929561</v>
      </c>
      <c r="E138" s="44" t="s">
        <v>157</v>
      </c>
      <c r="F138" s="44" t="s">
        <v>146</v>
      </c>
      <c r="G138" s="44" t="s">
        <v>156</v>
      </c>
      <c r="H138" s="44" t="s">
        <v>74</v>
      </c>
      <c r="I138" s="45">
        <v>42792</v>
      </c>
      <c r="J138" s="45">
        <v>42796</v>
      </c>
      <c r="K138" s="45"/>
      <c r="L138" s="45"/>
    </row>
    <row r="139" spans="1:12" ht="17.100000000000001" customHeight="1">
      <c r="A139" s="43" t="s">
        <v>138</v>
      </c>
      <c r="B139" s="44" t="s">
        <v>139</v>
      </c>
      <c r="C139" s="44" t="s">
        <v>73</v>
      </c>
      <c r="D139" s="85">
        <v>10104930723</v>
      </c>
      <c r="E139" s="44" t="s">
        <v>561</v>
      </c>
      <c r="F139" s="44" t="s">
        <v>146</v>
      </c>
      <c r="G139" s="44" t="s">
        <v>158</v>
      </c>
      <c r="H139" s="44" t="s">
        <v>74</v>
      </c>
      <c r="I139" s="45">
        <v>42793</v>
      </c>
      <c r="J139" s="45">
        <v>42796</v>
      </c>
      <c r="K139" s="45"/>
      <c r="L139" s="45"/>
    </row>
    <row r="140" spans="1:12" ht="17.100000000000001" customHeight="1">
      <c r="A140" s="43" t="s">
        <v>138</v>
      </c>
      <c r="B140" s="44" t="s">
        <v>148</v>
      </c>
      <c r="C140" s="44" t="s">
        <v>73</v>
      </c>
      <c r="D140" s="85">
        <v>10104923795</v>
      </c>
      <c r="E140" s="44" t="s">
        <v>882</v>
      </c>
      <c r="F140" s="44" t="s">
        <v>146</v>
      </c>
      <c r="G140" s="44" t="s">
        <v>159</v>
      </c>
      <c r="H140" s="44" t="s">
        <v>76</v>
      </c>
      <c r="I140" s="45">
        <v>42787</v>
      </c>
      <c r="J140" s="45">
        <v>42796</v>
      </c>
      <c r="K140" s="45"/>
      <c r="L140" s="45"/>
    </row>
    <row r="141" spans="1:12" ht="17.100000000000001" customHeight="1">
      <c r="A141" s="43" t="s">
        <v>138</v>
      </c>
      <c r="B141" s="44" t="s">
        <v>148</v>
      </c>
      <c r="C141" s="44" t="s">
        <v>73</v>
      </c>
      <c r="D141" s="85">
        <v>10104910319</v>
      </c>
      <c r="E141" s="44" t="s">
        <v>1017</v>
      </c>
      <c r="F141" s="44" t="s">
        <v>180</v>
      </c>
      <c r="G141" s="44" t="s">
        <v>160</v>
      </c>
      <c r="H141" s="44" t="s">
        <v>74</v>
      </c>
      <c r="I141" s="45">
        <v>42776</v>
      </c>
      <c r="J141" s="45">
        <v>42796</v>
      </c>
      <c r="K141" s="45">
        <v>42796</v>
      </c>
      <c r="L141" s="45"/>
    </row>
    <row r="142" spans="1:12" ht="17.100000000000001" customHeight="1">
      <c r="A142" s="43" t="s">
        <v>138</v>
      </c>
      <c r="B142" s="44" t="s">
        <v>148</v>
      </c>
      <c r="C142" s="44" t="s">
        <v>73</v>
      </c>
      <c r="D142" s="85">
        <v>10104910452</v>
      </c>
      <c r="E142" s="44" t="s">
        <v>883</v>
      </c>
      <c r="F142" s="44" t="s">
        <v>146</v>
      </c>
      <c r="G142" s="44" t="s">
        <v>160</v>
      </c>
      <c r="H142" s="44" t="s">
        <v>76</v>
      </c>
      <c r="I142" s="45">
        <v>42776</v>
      </c>
      <c r="J142" s="45">
        <v>42796</v>
      </c>
      <c r="K142" s="45"/>
      <c r="L142" s="45"/>
    </row>
    <row r="143" spans="1:12" ht="17.100000000000001" customHeight="1">
      <c r="A143" s="43" t="s">
        <v>138</v>
      </c>
      <c r="B143" s="44" t="s">
        <v>139</v>
      </c>
      <c r="C143" s="44" t="s">
        <v>73</v>
      </c>
      <c r="D143" s="85">
        <v>10104930722</v>
      </c>
      <c r="E143" s="44" t="s">
        <v>162</v>
      </c>
      <c r="F143" s="44" t="s">
        <v>146</v>
      </c>
      <c r="G143" s="44" t="s">
        <v>161</v>
      </c>
      <c r="H143" s="44" t="s">
        <v>74</v>
      </c>
      <c r="I143" s="45">
        <v>42793</v>
      </c>
      <c r="J143" s="45">
        <v>42796</v>
      </c>
      <c r="K143" s="45"/>
      <c r="L143" s="45"/>
    </row>
    <row r="144" spans="1:12" ht="17.100000000000001" customHeight="1">
      <c r="A144" s="43" t="s">
        <v>138</v>
      </c>
      <c r="B144" s="44" t="s">
        <v>144</v>
      </c>
      <c r="C144" s="44" t="s">
        <v>73</v>
      </c>
      <c r="D144" s="85">
        <v>10104883864</v>
      </c>
      <c r="E144" s="44" t="s">
        <v>1018</v>
      </c>
      <c r="F144" s="44" t="s">
        <v>146</v>
      </c>
      <c r="G144" s="44" t="s">
        <v>562</v>
      </c>
      <c r="H144" s="44" t="s">
        <v>76</v>
      </c>
      <c r="I144" s="45">
        <v>42786</v>
      </c>
      <c r="J144" s="45">
        <v>42796</v>
      </c>
      <c r="K144" s="45"/>
      <c r="L144" s="45"/>
    </row>
    <row r="145" spans="1:12" ht="17.100000000000001" customHeight="1">
      <c r="A145" s="43" t="s">
        <v>138</v>
      </c>
      <c r="B145" s="44" t="s">
        <v>144</v>
      </c>
      <c r="C145" s="44" t="s">
        <v>73</v>
      </c>
      <c r="D145" s="85">
        <v>10104883863</v>
      </c>
      <c r="E145" s="44" t="s">
        <v>1019</v>
      </c>
      <c r="F145" s="44" t="s">
        <v>146</v>
      </c>
      <c r="G145" s="44" t="s">
        <v>562</v>
      </c>
      <c r="H145" s="44" t="s">
        <v>76</v>
      </c>
      <c r="I145" s="45">
        <v>42786</v>
      </c>
      <c r="J145" s="45">
        <v>42796</v>
      </c>
      <c r="K145" s="45"/>
      <c r="L145" s="45"/>
    </row>
    <row r="146" spans="1:12" ht="17.100000000000001" customHeight="1">
      <c r="A146" s="43" t="s">
        <v>138</v>
      </c>
      <c r="B146" s="44" t="s">
        <v>144</v>
      </c>
      <c r="C146" s="44" t="s">
        <v>73</v>
      </c>
      <c r="D146" s="85">
        <v>10104883860</v>
      </c>
      <c r="E146" s="44" t="s">
        <v>1020</v>
      </c>
      <c r="F146" s="44" t="s">
        <v>146</v>
      </c>
      <c r="G146" s="44" t="s">
        <v>562</v>
      </c>
      <c r="H146" s="44" t="s">
        <v>76</v>
      </c>
      <c r="I146" s="45">
        <v>42786</v>
      </c>
      <c r="J146" s="45">
        <v>42796</v>
      </c>
      <c r="K146" s="45"/>
      <c r="L146" s="45"/>
    </row>
    <row r="147" spans="1:12" ht="17.100000000000001" customHeight="1">
      <c r="A147" s="43" t="s">
        <v>138</v>
      </c>
      <c r="B147" s="44" t="s">
        <v>144</v>
      </c>
      <c r="C147" s="44" t="s">
        <v>73</v>
      </c>
      <c r="D147" s="85">
        <v>10104883862</v>
      </c>
      <c r="E147" s="44" t="s">
        <v>1021</v>
      </c>
      <c r="F147" s="44" t="s">
        <v>219</v>
      </c>
      <c r="G147" s="44" t="s">
        <v>562</v>
      </c>
      <c r="H147" s="44" t="s">
        <v>76</v>
      </c>
      <c r="I147" s="45">
        <v>42786</v>
      </c>
      <c r="J147" s="45">
        <v>42796</v>
      </c>
      <c r="K147" s="45"/>
      <c r="L147" s="45"/>
    </row>
    <row r="148" spans="1:12" ht="17.100000000000001" customHeight="1">
      <c r="A148" s="43" t="s">
        <v>138</v>
      </c>
      <c r="B148" s="44" t="s">
        <v>144</v>
      </c>
      <c r="C148" s="44" t="s">
        <v>73</v>
      </c>
      <c r="D148" s="85">
        <v>10104883861</v>
      </c>
      <c r="E148" s="44" t="s">
        <v>1022</v>
      </c>
      <c r="F148" s="44" t="s">
        <v>146</v>
      </c>
      <c r="G148" s="44" t="s">
        <v>562</v>
      </c>
      <c r="H148" s="44" t="s">
        <v>76</v>
      </c>
      <c r="I148" s="45">
        <v>42786</v>
      </c>
      <c r="J148" s="45">
        <v>42796</v>
      </c>
      <c r="K148" s="45"/>
      <c r="L148" s="45"/>
    </row>
    <row r="149" spans="1:12" ht="17.100000000000001" customHeight="1">
      <c r="A149" s="43" t="s">
        <v>138</v>
      </c>
      <c r="B149" s="44" t="s">
        <v>144</v>
      </c>
      <c r="C149" s="44" t="s">
        <v>73</v>
      </c>
      <c r="D149" s="85">
        <v>10104883865</v>
      </c>
      <c r="E149" s="44" t="s">
        <v>1023</v>
      </c>
      <c r="F149" s="44" t="s">
        <v>146</v>
      </c>
      <c r="G149" s="44" t="s">
        <v>562</v>
      </c>
      <c r="H149" s="44" t="s">
        <v>76</v>
      </c>
      <c r="I149" s="45">
        <v>42786</v>
      </c>
      <c r="J149" s="45">
        <v>42796</v>
      </c>
      <c r="K149" s="45"/>
      <c r="L149" s="45"/>
    </row>
    <row r="150" spans="1:12" ht="17.100000000000001" customHeight="1">
      <c r="A150" s="43" t="s">
        <v>138</v>
      </c>
      <c r="B150" s="44" t="s">
        <v>163</v>
      </c>
      <c r="C150" s="44" t="s">
        <v>73</v>
      </c>
      <c r="D150" s="85">
        <v>10104898856</v>
      </c>
      <c r="E150" s="44" t="s">
        <v>884</v>
      </c>
      <c r="F150" s="44" t="s">
        <v>500</v>
      </c>
      <c r="G150" s="44" t="s">
        <v>164</v>
      </c>
      <c r="H150" s="44" t="s">
        <v>76</v>
      </c>
      <c r="I150" s="45">
        <v>42770</v>
      </c>
      <c r="J150" s="45">
        <v>42770</v>
      </c>
      <c r="K150" s="45"/>
      <c r="L150" s="45"/>
    </row>
    <row r="151" spans="1:12" ht="17.100000000000001" customHeight="1">
      <c r="A151" s="43" t="s">
        <v>138</v>
      </c>
      <c r="B151" s="44" t="s">
        <v>163</v>
      </c>
      <c r="C151" s="44" t="s">
        <v>73</v>
      </c>
      <c r="D151" s="85">
        <v>10104927078</v>
      </c>
      <c r="E151" s="44" t="s">
        <v>642</v>
      </c>
      <c r="F151" s="44" t="s">
        <v>596</v>
      </c>
      <c r="G151" s="44" t="s">
        <v>643</v>
      </c>
      <c r="H151" s="44" t="s">
        <v>74</v>
      </c>
      <c r="I151" s="45">
        <v>42790</v>
      </c>
      <c r="J151" s="45">
        <v>42790</v>
      </c>
      <c r="K151" s="45"/>
      <c r="L151" s="45"/>
    </row>
    <row r="152" spans="1:12" ht="17.100000000000001" customHeight="1">
      <c r="A152" s="43" t="s">
        <v>138</v>
      </c>
      <c r="B152" s="44" t="s">
        <v>144</v>
      </c>
      <c r="C152" s="44" t="s">
        <v>73</v>
      </c>
      <c r="D152" s="85">
        <v>10104930693</v>
      </c>
      <c r="E152" s="44" t="s">
        <v>1024</v>
      </c>
      <c r="F152" s="44" t="s">
        <v>180</v>
      </c>
      <c r="G152" s="44" t="s">
        <v>165</v>
      </c>
      <c r="H152" s="44" t="s">
        <v>76</v>
      </c>
      <c r="I152" s="45">
        <v>42790</v>
      </c>
      <c r="J152" s="45">
        <v>42790</v>
      </c>
      <c r="K152" s="45">
        <v>42789</v>
      </c>
      <c r="L152" s="45"/>
    </row>
    <row r="153" spans="1:12" ht="17.100000000000001" customHeight="1">
      <c r="A153" s="43" t="s">
        <v>138</v>
      </c>
      <c r="B153" s="44" t="s">
        <v>144</v>
      </c>
      <c r="C153" s="44" t="s">
        <v>73</v>
      </c>
      <c r="D153" s="85">
        <v>10104912828</v>
      </c>
      <c r="E153" s="44" t="s">
        <v>490</v>
      </c>
      <c r="F153" s="44" t="s">
        <v>596</v>
      </c>
      <c r="G153" s="44" t="s">
        <v>165</v>
      </c>
      <c r="H153" s="44" t="s">
        <v>74</v>
      </c>
      <c r="I153" s="45">
        <v>42778</v>
      </c>
      <c r="J153" s="45">
        <v>42778</v>
      </c>
      <c r="K153" s="45"/>
      <c r="L153" s="45"/>
    </row>
    <row r="154" spans="1:12" ht="17.100000000000001" customHeight="1">
      <c r="A154" s="43" t="s">
        <v>138</v>
      </c>
      <c r="B154" s="44" t="s">
        <v>144</v>
      </c>
      <c r="C154" s="44" t="s">
        <v>73</v>
      </c>
      <c r="D154" s="85">
        <v>10104912829</v>
      </c>
      <c r="E154" s="44" t="s">
        <v>491</v>
      </c>
      <c r="F154" s="44" t="s">
        <v>596</v>
      </c>
      <c r="G154" s="44" t="s">
        <v>166</v>
      </c>
      <c r="H154" s="44" t="s">
        <v>74</v>
      </c>
      <c r="I154" s="45">
        <v>42778</v>
      </c>
      <c r="J154" s="45">
        <v>42778</v>
      </c>
      <c r="K154" s="45"/>
      <c r="L154" s="45"/>
    </row>
    <row r="155" spans="1:12" ht="17.100000000000001" customHeight="1">
      <c r="A155" s="43" t="s">
        <v>138</v>
      </c>
      <c r="B155" s="44" t="s">
        <v>144</v>
      </c>
      <c r="C155" s="44" t="s">
        <v>73</v>
      </c>
      <c r="D155" s="85">
        <v>10104930694</v>
      </c>
      <c r="E155" s="44" t="s">
        <v>1025</v>
      </c>
      <c r="F155" s="44" t="s">
        <v>75</v>
      </c>
      <c r="G155" s="44" t="s">
        <v>166</v>
      </c>
      <c r="H155" s="44" t="s">
        <v>76</v>
      </c>
      <c r="I155" s="45">
        <v>42790</v>
      </c>
      <c r="J155" s="45">
        <v>42790</v>
      </c>
      <c r="K155" s="45">
        <v>42788</v>
      </c>
      <c r="L155" s="45"/>
    </row>
    <row r="156" spans="1:12" ht="17.100000000000001" customHeight="1">
      <c r="A156" s="43" t="s">
        <v>138</v>
      </c>
      <c r="B156" s="44" t="s">
        <v>144</v>
      </c>
      <c r="C156" s="44" t="s">
        <v>73</v>
      </c>
      <c r="D156" s="85">
        <v>10104912830</v>
      </c>
      <c r="E156" s="44" t="s">
        <v>492</v>
      </c>
      <c r="F156" s="44" t="s">
        <v>596</v>
      </c>
      <c r="G156" s="44" t="s">
        <v>167</v>
      </c>
      <c r="H156" s="44" t="s">
        <v>74</v>
      </c>
      <c r="I156" s="45">
        <v>42778</v>
      </c>
      <c r="J156" s="45">
        <v>42778</v>
      </c>
      <c r="K156" s="45"/>
      <c r="L156" s="45"/>
    </row>
    <row r="157" spans="1:12" ht="17.100000000000001" customHeight="1">
      <c r="A157" s="43" t="s">
        <v>138</v>
      </c>
      <c r="B157" s="44" t="s">
        <v>144</v>
      </c>
      <c r="C157" s="44" t="s">
        <v>73</v>
      </c>
      <c r="D157" s="85">
        <v>10104930695</v>
      </c>
      <c r="E157" s="44" t="s">
        <v>1026</v>
      </c>
      <c r="F157" s="44" t="s">
        <v>75</v>
      </c>
      <c r="G157" s="44" t="s">
        <v>167</v>
      </c>
      <c r="H157" s="44" t="s">
        <v>76</v>
      </c>
      <c r="I157" s="45">
        <v>42790</v>
      </c>
      <c r="J157" s="45">
        <v>42790</v>
      </c>
      <c r="K157" s="45">
        <v>42788</v>
      </c>
      <c r="L157" s="45"/>
    </row>
    <row r="158" spans="1:12" ht="17.100000000000001" customHeight="1">
      <c r="A158" s="43" t="s">
        <v>138</v>
      </c>
      <c r="B158" s="44" t="s">
        <v>144</v>
      </c>
      <c r="C158" s="44" t="s">
        <v>73</v>
      </c>
      <c r="D158" s="85">
        <v>10104912831</v>
      </c>
      <c r="E158" s="44" t="s">
        <v>493</v>
      </c>
      <c r="F158" s="44" t="s">
        <v>596</v>
      </c>
      <c r="G158" s="44" t="s">
        <v>168</v>
      </c>
      <c r="H158" s="44" t="s">
        <v>74</v>
      </c>
      <c r="I158" s="45">
        <v>42778</v>
      </c>
      <c r="J158" s="45">
        <v>42778</v>
      </c>
      <c r="K158" s="45"/>
      <c r="L158" s="45"/>
    </row>
    <row r="159" spans="1:12" ht="17.100000000000001" customHeight="1">
      <c r="A159" s="43" t="s">
        <v>138</v>
      </c>
      <c r="B159" s="44" t="s">
        <v>144</v>
      </c>
      <c r="C159" s="44" t="s">
        <v>73</v>
      </c>
      <c r="D159" s="85">
        <v>10104930696</v>
      </c>
      <c r="E159" s="44" t="s">
        <v>169</v>
      </c>
      <c r="F159" s="44" t="s">
        <v>75</v>
      </c>
      <c r="G159" s="44" t="s">
        <v>168</v>
      </c>
      <c r="H159" s="44" t="s">
        <v>76</v>
      </c>
      <c r="I159" s="45">
        <v>42790</v>
      </c>
      <c r="J159" s="45">
        <v>42790</v>
      </c>
      <c r="K159" s="45">
        <v>42790</v>
      </c>
      <c r="L159" s="45"/>
    </row>
    <row r="160" spans="1:12" ht="17.100000000000001" customHeight="1">
      <c r="A160" s="43" t="s">
        <v>138</v>
      </c>
      <c r="B160" s="44" t="s">
        <v>144</v>
      </c>
      <c r="C160" s="44" t="s">
        <v>73</v>
      </c>
      <c r="D160" s="85">
        <v>10104922410</v>
      </c>
      <c r="E160" s="44" t="s">
        <v>798</v>
      </c>
      <c r="F160" s="44" t="s">
        <v>180</v>
      </c>
      <c r="G160" s="44" t="s">
        <v>170</v>
      </c>
      <c r="H160" s="44" t="s">
        <v>76</v>
      </c>
      <c r="I160" s="45">
        <v>42786</v>
      </c>
      <c r="J160" s="45">
        <v>42788</v>
      </c>
      <c r="K160" s="45">
        <v>42788</v>
      </c>
      <c r="L160" s="45"/>
    </row>
    <row r="161" spans="1:12" ht="17.100000000000001" customHeight="1">
      <c r="A161" s="43" t="s">
        <v>138</v>
      </c>
      <c r="B161" s="44" t="s">
        <v>144</v>
      </c>
      <c r="C161" s="44" t="s">
        <v>73</v>
      </c>
      <c r="D161" s="85">
        <v>10104925261</v>
      </c>
      <c r="E161" s="44" t="s">
        <v>171</v>
      </c>
      <c r="F161" s="44" t="s">
        <v>596</v>
      </c>
      <c r="G161" s="44" t="s">
        <v>170</v>
      </c>
      <c r="H161" s="44" t="s">
        <v>74</v>
      </c>
      <c r="I161" s="45">
        <v>42789</v>
      </c>
      <c r="J161" s="45">
        <v>42789</v>
      </c>
      <c r="K161" s="45"/>
      <c r="L161" s="45"/>
    </row>
    <row r="162" spans="1:12" ht="17.100000000000001" customHeight="1">
      <c r="A162" s="43" t="s">
        <v>138</v>
      </c>
      <c r="B162" s="44" t="s">
        <v>144</v>
      </c>
      <c r="C162" s="44" t="s">
        <v>73</v>
      </c>
      <c r="D162" s="85">
        <v>10104922411</v>
      </c>
      <c r="E162" s="44" t="s">
        <v>798</v>
      </c>
      <c r="F162" s="44" t="s">
        <v>180</v>
      </c>
      <c r="G162" s="44" t="s">
        <v>172</v>
      </c>
      <c r="H162" s="44" t="s">
        <v>76</v>
      </c>
      <c r="I162" s="45">
        <v>42786</v>
      </c>
      <c r="J162" s="45">
        <v>42788</v>
      </c>
      <c r="K162" s="45">
        <v>42788</v>
      </c>
      <c r="L162" s="45"/>
    </row>
    <row r="163" spans="1:12" ht="17.100000000000001" customHeight="1">
      <c r="A163" s="43" t="s">
        <v>138</v>
      </c>
      <c r="B163" s="44" t="s">
        <v>144</v>
      </c>
      <c r="C163" s="44" t="s">
        <v>73</v>
      </c>
      <c r="D163" s="85">
        <v>10104925262</v>
      </c>
      <c r="E163" s="44" t="s">
        <v>574</v>
      </c>
      <c r="F163" s="44" t="s">
        <v>596</v>
      </c>
      <c r="G163" s="44" t="s">
        <v>172</v>
      </c>
      <c r="H163" s="44" t="s">
        <v>74</v>
      </c>
      <c r="I163" s="45">
        <v>42789</v>
      </c>
      <c r="J163" s="45">
        <v>42789</v>
      </c>
      <c r="K163" s="45"/>
      <c r="L163" s="45"/>
    </row>
    <row r="164" spans="1:12" ht="17.100000000000001" customHeight="1">
      <c r="A164" s="43" t="s">
        <v>138</v>
      </c>
      <c r="B164" s="44" t="s">
        <v>144</v>
      </c>
      <c r="C164" s="44" t="s">
        <v>73</v>
      </c>
      <c r="D164" s="85">
        <v>10104925263</v>
      </c>
      <c r="E164" s="44" t="s">
        <v>575</v>
      </c>
      <c r="F164" s="44" t="s">
        <v>596</v>
      </c>
      <c r="G164" s="44" t="s">
        <v>173</v>
      </c>
      <c r="H164" s="44" t="s">
        <v>74</v>
      </c>
      <c r="I164" s="45">
        <v>42789</v>
      </c>
      <c r="J164" s="45">
        <v>42789</v>
      </c>
      <c r="K164" s="45"/>
      <c r="L164" s="45"/>
    </row>
    <row r="165" spans="1:12" ht="17.100000000000001" customHeight="1">
      <c r="A165" s="43" t="s">
        <v>138</v>
      </c>
      <c r="B165" s="44" t="s">
        <v>144</v>
      </c>
      <c r="C165" s="44" t="s">
        <v>73</v>
      </c>
      <c r="D165" s="85">
        <v>10104922412</v>
      </c>
      <c r="E165" s="44" t="s">
        <v>798</v>
      </c>
      <c r="F165" s="44" t="s">
        <v>180</v>
      </c>
      <c r="G165" s="44" t="s">
        <v>173</v>
      </c>
      <c r="H165" s="44" t="s">
        <v>76</v>
      </c>
      <c r="I165" s="45">
        <v>42786</v>
      </c>
      <c r="J165" s="45">
        <v>42788</v>
      </c>
      <c r="K165" s="45">
        <v>42788</v>
      </c>
      <c r="L165" s="45"/>
    </row>
    <row r="166" spans="1:12" ht="17.100000000000001" customHeight="1">
      <c r="A166" s="43" t="s">
        <v>138</v>
      </c>
      <c r="B166" s="44" t="s">
        <v>144</v>
      </c>
      <c r="C166" s="44" t="s">
        <v>73</v>
      </c>
      <c r="D166" s="85">
        <v>10104925264</v>
      </c>
      <c r="E166" s="44" t="s">
        <v>174</v>
      </c>
      <c r="F166" s="44" t="s">
        <v>596</v>
      </c>
      <c r="G166" s="44" t="s">
        <v>175</v>
      </c>
      <c r="H166" s="44" t="s">
        <v>74</v>
      </c>
      <c r="I166" s="45">
        <v>42789</v>
      </c>
      <c r="J166" s="45">
        <v>42789</v>
      </c>
      <c r="K166" s="45"/>
      <c r="L166" s="45"/>
    </row>
    <row r="167" spans="1:12" ht="17.100000000000001" customHeight="1">
      <c r="A167" s="43" t="s">
        <v>138</v>
      </c>
      <c r="B167" s="44" t="s">
        <v>144</v>
      </c>
      <c r="C167" s="44" t="s">
        <v>73</v>
      </c>
      <c r="D167" s="85">
        <v>10104922413</v>
      </c>
      <c r="E167" s="44" t="s">
        <v>798</v>
      </c>
      <c r="F167" s="44" t="s">
        <v>180</v>
      </c>
      <c r="G167" s="44" t="s">
        <v>175</v>
      </c>
      <c r="H167" s="44" t="s">
        <v>76</v>
      </c>
      <c r="I167" s="45">
        <v>42786</v>
      </c>
      <c r="J167" s="45">
        <v>42788</v>
      </c>
      <c r="K167" s="45">
        <v>42788</v>
      </c>
      <c r="L167" s="45"/>
    </row>
    <row r="168" spans="1:12" ht="17.100000000000001" customHeight="1">
      <c r="A168" s="43" t="s">
        <v>138</v>
      </c>
      <c r="B168" s="44" t="s">
        <v>144</v>
      </c>
      <c r="C168" s="44" t="s">
        <v>73</v>
      </c>
      <c r="D168" s="85">
        <v>10104925265</v>
      </c>
      <c r="E168" s="44" t="s">
        <v>176</v>
      </c>
      <c r="F168" s="44" t="s">
        <v>596</v>
      </c>
      <c r="G168" s="44" t="s">
        <v>177</v>
      </c>
      <c r="H168" s="44" t="s">
        <v>74</v>
      </c>
      <c r="I168" s="45">
        <v>42789</v>
      </c>
      <c r="J168" s="45">
        <v>42789</v>
      </c>
      <c r="K168" s="45"/>
      <c r="L168" s="45"/>
    </row>
    <row r="169" spans="1:12" ht="17.100000000000001" customHeight="1">
      <c r="A169" s="43" t="s">
        <v>138</v>
      </c>
      <c r="B169" s="44" t="s">
        <v>144</v>
      </c>
      <c r="C169" s="44" t="s">
        <v>73</v>
      </c>
      <c r="D169" s="85">
        <v>10104922414</v>
      </c>
      <c r="E169" s="44" t="s">
        <v>735</v>
      </c>
      <c r="F169" s="44" t="s">
        <v>219</v>
      </c>
      <c r="G169" s="44" t="s">
        <v>177</v>
      </c>
      <c r="H169" s="44" t="s">
        <v>76</v>
      </c>
      <c r="I169" s="45">
        <v>42786</v>
      </c>
      <c r="J169" s="45">
        <v>42790</v>
      </c>
      <c r="K169" s="45"/>
      <c r="L169" s="45"/>
    </row>
    <row r="170" spans="1:12" ht="17.100000000000001" customHeight="1">
      <c r="A170" s="43" t="s">
        <v>138</v>
      </c>
      <c r="B170" s="44" t="s">
        <v>451</v>
      </c>
      <c r="C170" s="44" t="s">
        <v>73</v>
      </c>
      <c r="D170" s="85">
        <v>10104939702</v>
      </c>
      <c r="E170" s="44" t="s">
        <v>535</v>
      </c>
      <c r="F170" s="44" t="s">
        <v>596</v>
      </c>
      <c r="G170" s="44" t="s">
        <v>178</v>
      </c>
      <c r="H170" s="44" t="s">
        <v>74</v>
      </c>
      <c r="I170" s="45">
        <v>42774</v>
      </c>
      <c r="J170" s="45">
        <v>42774</v>
      </c>
      <c r="K170" s="45"/>
      <c r="L170" s="45"/>
    </row>
    <row r="171" spans="1:12" ht="17.100000000000001" customHeight="1">
      <c r="A171" s="43" t="s">
        <v>138</v>
      </c>
      <c r="B171" s="44" t="s">
        <v>163</v>
      </c>
      <c r="C171" s="44" t="s">
        <v>73</v>
      </c>
      <c r="D171" s="85">
        <v>10104927082</v>
      </c>
      <c r="E171" s="44" t="s">
        <v>644</v>
      </c>
      <c r="F171" s="44" t="s">
        <v>596</v>
      </c>
      <c r="G171" s="44" t="s">
        <v>178</v>
      </c>
      <c r="H171" s="44" t="s">
        <v>74</v>
      </c>
      <c r="I171" s="45">
        <v>42790</v>
      </c>
      <c r="J171" s="45">
        <v>42790</v>
      </c>
      <c r="K171" s="45"/>
      <c r="L171" s="45"/>
    </row>
    <row r="172" spans="1:12" ht="17.100000000000001" customHeight="1">
      <c r="A172" s="43" t="s">
        <v>138</v>
      </c>
      <c r="B172" s="44" t="s">
        <v>179</v>
      </c>
      <c r="C172" s="44" t="s">
        <v>73</v>
      </c>
      <c r="D172" s="85">
        <v>10104911865</v>
      </c>
      <c r="E172" s="44" t="s">
        <v>885</v>
      </c>
      <c r="F172" s="44" t="s">
        <v>222</v>
      </c>
      <c r="G172" s="44" t="s">
        <v>181</v>
      </c>
      <c r="H172" s="44" t="s">
        <v>76</v>
      </c>
      <c r="I172" s="45">
        <v>42777</v>
      </c>
      <c r="J172" s="45">
        <v>42788</v>
      </c>
      <c r="K172" s="45">
        <v>42788</v>
      </c>
      <c r="L172" s="45"/>
    </row>
    <row r="173" spans="1:12" ht="17.100000000000001" customHeight="1">
      <c r="A173" s="43" t="s">
        <v>138</v>
      </c>
      <c r="B173" s="44" t="s">
        <v>163</v>
      </c>
      <c r="C173" s="44" t="s">
        <v>73</v>
      </c>
      <c r="D173" s="85">
        <v>10104958089</v>
      </c>
      <c r="E173" s="44" t="s">
        <v>645</v>
      </c>
      <c r="F173" s="44" t="s">
        <v>596</v>
      </c>
      <c r="G173" s="44" t="s">
        <v>182</v>
      </c>
      <c r="H173" s="44" t="s">
        <v>74</v>
      </c>
      <c r="I173" s="45">
        <v>42790</v>
      </c>
      <c r="J173" s="45">
        <v>42790</v>
      </c>
      <c r="K173" s="45"/>
      <c r="L173" s="45"/>
    </row>
    <row r="174" spans="1:12" ht="17.100000000000001" customHeight="1">
      <c r="A174" s="43" t="s">
        <v>138</v>
      </c>
      <c r="B174" s="44" t="s">
        <v>163</v>
      </c>
      <c r="C174" s="44" t="s">
        <v>73</v>
      </c>
      <c r="D174" s="85">
        <v>10104923796</v>
      </c>
      <c r="E174" s="44" t="s">
        <v>508</v>
      </c>
      <c r="F174" s="44" t="s">
        <v>500</v>
      </c>
      <c r="G174" s="44" t="s">
        <v>509</v>
      </c>
      <c r="H174" s="44" t="s">
        <v>76</v>
      </c>
      <c r="I174" s="45">
        <v>42787</v>
      </c>
      <c r="J174" s="45">
        <v>42787</v>
      </c>
      <c r="K174" s="45"/>
      <c r="L174" s="45"/>
    </row>
    <row r="175" spans="1:12" ht="17.100000000000001" customHeight="1">
      <c r="A175" s="43" t="s">
        <v>138</v>
      </c>
      <c r="B175" s="44" t="s">
        <v>163</v>
      </c>
      <c r="C175" s="44" t="s">
        <v>73</v>
      </c>
      <c r="D175" s="85">
        <v>10104923799</v>
      </c>
      <c r="E175" s="44" t="s">
        <v>563</v>
      </c>
      <c r="F175" s="44" t="s">
        <v>596</v>
      </c>
      <c r="G175" s="44" t="s">
        <v>509</v>
      </c>
      <c r="H175" s="44" t="s">
        <v>74</v>
      </c>
      <c r="I175" s="45">
        <v>42787</v>
      </c>
      <c r="J175" s="45">
        <v>42787</v>
      </c>
      <c r="K175" s="45"/>
      <c r="L175" s="45"/>
    </row>
    <row r="176" spans="1:12" ht="17.100000000000001" customHeight="1">
      <c r="A176" s="43" t="s">
        <v>138</v>
      </c>
      <c r="B176" s="44" t="s">
        <v>179</v>
      </c>
      <c r="C176" s="44" t="s">
        <v>73</v>
      </c>
      <c r="D176" s="85">
        <v>10104907022</v>
      </c>
      <c r="E176" s="44" t="s">
        <v>183</v>
      </c>
      <c r="F176" s="44" t="s">
        <v>180</v>
      </c>
      <c r="G176" s="44" t="s">
        <v>184</v>
      </c>
      <c r="H176" s="44" t="s">
        <v>76</v>
      </c>
      <c r="I176" s="45">
        <v>42773</v>
      </c>
      <c r="J176" s="45">
        <v>42790</v>
      </c>
      <c r="K176" s="45">
        <v>42790</v>
      </c>
      <c r="L176" s="45"/>
    </row>
    <row r="177" spans="1:12" ht="17.100000000000001" customHeight="1">
      <c r="A177" s="43" t="s">
        <v>138</v>
      </c>
      <c r="B177" s="44" t="s">
        <v>179</v>
      </c>
      <c r="C177" s="44" t="s">
        <v>73</v>
      </c>
      <c r="D177" s="85">
        <v>10104907023</v>
      </c>
      <c r="E177" s="44" t="s">
        <v>494</v>
      </c>
      <c r="F177" s="44" t="s">
        <v>75</v>
      </c>
      <c r="G177" s="44" t="s">
        <v>184</v>
      </c>
      <c r="H177" s="44" t="s">
        <v>74</v>
      </c>
      <c r="I177" s="45">
        <v>42773</v>
      </c>
      <c r="J177" s="45">
        <v>42788</v>
      </c>
      <c r="K177" s="45">
        <v>42788</v>
      </c>
      <c r="L177" s="45"/>
    </row>
    <row r="178" spans="1:12" ht="17.100000000000001" customHeight="1">
      <c r="A178" s="43" t="s">
        <v>138</v>
      </c>
      <c r="B178" s="44" t="s">
        <v>179</v>
      </c>
      <c r="C178" s="44" t="s">
        <v>73</v>
      </c>
      <c r="D178" s="85">
        <v>10104911848</v>
      </c>
      <c r="E178" s="44" t="s">
        <v>185</v>
      </c>
      <c r="F178" s="44" t="s">
        <v>180</v>
      </c>
      <c r="G178" s="44" t="s">
        <v>186</v>
      </c>
      <c r="H178" s="44" t="s">
        <v>76</v>
      </c>
      <c r="I178" s="45">
        <v>42777</v>
      </c>
      <c r="J178" s="45">
        <v>42788</v>
      </c>
      <c r="K178" s="45">
        <v>42788</v>
      </c>
      <c r="L178" s="45"/>
    </row>
    <row r="179" spans="1:12" ht="17.100000000000001" customHeight="1">
      <c r="A179" s="43" t="s">
        <v>138</v>
      </c>
      <c r="B179" s="44" t="s">
        <v>163</v>
      </c>
      <c r="C179" s="44" t="s">
        <v>73</v>
      </c>
      <c r="D179" s="85">
        <v>10104900210</v>
      </c>
      <c r="E179" s="44" t="s">
        <v>564</v>
      </c>
      <c r="F179" s="44" t="s">
        <v>596</v>
      </c>
      <c r="G179" s="44" t="s">
        <v>187</v>
      </c>
      <c r="H179" s="44" t="s">
        <v>74</v>
      </c>
      <c r="I179" s="45">
        <v>42771</v>
      </c>
      <c r="J179" s="45">
        <v>42771</v>
      </c>
      <c r="K179" s="45"/>
      <c r="L179" s="45"/>
    </row>
    <row r="180" spans="1:12" ht="17.100000000000001" customHeight="1">
      <c r="A180" s="43" t="s">
        <v>138</v>
      </c>
      <c r="B180" s="44" t="s">
        <v>163</v>
      </c>
      <c r="C180" s="44" t="s">
        <v>73</v>
      </c>
      <c r="D180" s="85">
        <v>10104900209</v>
      </c>
      <c r="E180" s="44" t="s">
        <v>188</v>
      </c>
      <c r="F180" s="44" t="s">
        <v>500</v>
      </c>
      <c r="G180" s="44" t="s">
        <v>187</v>
      </c>
      <c r="H180" s="44" t="s">
        <v>76</v>
      </c>
      <c r="I180" s="45">
        <v>42771</v>
      </c>
      <c r="J180" s="45">
        <v>42771</v>
      </c>
      <c r="K180" s="45"/>
      <c r="L180" s="45"/>
    </row>
    <row r="181" spans="1:12" ht="17.100000000000001" customHeight="1">
      <c r="A181" s="43" t="s">
        <v>138</v>
      </c>
      <c r="B181" s="44" t="s">
        <v>179</v>
      </c>
      <c r="C181" s="44" t="s">
        <v>73</v>
      </c>
      <c r="D181" s="85">
        <v>10104939495</v>
      </c>
      <c r="E181" s="44" t="s">
        <v>189</v>
      </c>
      <c r="F181" s="44" t="s">
        <v>180</v>
      </c>
      <c r="G181" s="44" t="s">
        <v>190</v>
      </c>
      <c r="H181" s="44" t="s">
        <v>76</v>
      </c>
      <c r="I181" s="45">
        <v>42785</v>
      </c>
      <c r="J181" s="45">
        <v>42790</v>
      </c>
      <c r="K181" s="45">
        <v>42790</v>
      </c>
      <c r="L181" s="45"/>
    </row>
    <row r="182" spans="1:12" ht="17.100000000000001" customHeight="1">
      <c r="A182" s="43" t="s">
        <v>138</v>
      </c>
      <c r="B182" s="44" t="s">
        <v>179</v>
      </c>
      <c r="C182" s="44" t="s">
        <v>73</v>
      </c>
      <c r="D182" s="85">
        <v>10104912832</v>
      </c>
      <c r="E182" s="44" t="s">
        <v>495</v>
      </c>
      <c r="F182" s="44" t="s">
        <v>596</v>
      </c>
      <c r="G182" s="44" t="s">
        <v>190</v>
      </c>
      <c r="H182" s="44" t="s">
        <v>74</v>
      </c>
      <c r="I182" s="45">
        <v>42778</v>
      </c>
      <c r="J182" s="45">
        <v>42778</v>
      </c>
      <c r="K182" s="45"/>
      <c r="L182" s="45"/>
    </row>
    <row r="183" spans="1:12" ht="17.100000000000001" customHeight="1">
      <c r="A183" s="43" t="s">
        <v>138</v>
      </c>
      <c r="B183" s="44" t="s">
        <v>179</v>
      </c>
      <c r="C183" s="44" t="s">
        <v>73</v>
      </c>
      <c r="D183" s="85">
        <v>10104918158</v>
      </c>
      <c r="E183" s="44" t="s">
        <v>192</v>
      </c>
      <c r="F183" s="44" t="s">
        <v>180</v>
      </c>
      <c r="G183" s="44" t="s">
        <v>191</v>
      </c>
      <c r="H183" s="44" t="s">
        <v>76</v>
      </c>
      <c r="I183" s="45">
        <v>42783</v>
      </c>
      <c r="J183" s="45">
        <v>42790</v>
      </c>
      <c r="K183" s="45">
        <v>42790</v>
      </c>
      <c r="L183" s="45"/>
    </row>
    <row r="184" spans="1:12" ht="17.100000000000001" customHeight="1">
      <c r="A184" s="43" t="s">
        <v>138</v>
      </c>
      <c r="B184" s="44" t="s">
        <v>179</v>
      </c>
      <c r="C184" s="44" t="s">
        <v>73</v>
      </c>
      <c r="D184" s="85">
        <v>10104911864</v>
      </c>
      <c r="E184" s="44" t="s">
        <v>193</v>
      </c>
      <c r="F184" s="44" t="s">
        <v>75</v>
      </c>
      <c r="G184" s="44" t="s">
        <v>194</v>
      </c>
      <c r="H184" s="44" t="s">
        <v>76</v>
      </c>
      <c r="I184" s="45">
        <v>42777</v>
      </c>
      <c r="J184" s="45">
        <v>42786</v>
      </c>
      <c r="K184" s="45">
        <v>42786</v>
      </c>
      <c r="L184" s="45"/>
    </row>
    <row r="185" spans="1:12" ht="17.100000000000001" customHeight="1">
      <c r="A185" s="43" t="s">
        <v>138</v>
      </c>
      <c r="B185" s="44" t="s">
        <v>179</v>
      </c>
      <c r="C185" s="44" t="s">
        <v>73</v>
      </c>
      <c r="D185" s="85">
        <v>10104911831</v>
      </c>
      <c r="E185" s="44" t="s">
        <v>886</v>
      </c>
      <c r="F185" s="44" t="s">
        <v>75</v>
      </c>
      <c r="G185" s="44" t="s">
        <v>195</v>
      </c>
      <c r="H185" s="44" t="s">
        <v>76</v>
      </c>
      <c r="I185" s="45">
        <v>42777</v>
      </c>
      <c r="J185" s="45">
        <v>42786</v>
      </c>
      <c r="K185" s="45">
        <v>42786</v>
      </c>
      <c r="L185" s="45"/>
    </row>
    <row r="186" spans="1:12" ht="17.100000000000001" customHeight="1">
      <c r="A186" s="43" t="s">
        <v>138</v>
      </c>
      <c r="B186" s="44" t="s">
        <v>179</v>
      </c>
      <c r="C186" s="44" t="s">
        <v>73</v>
      </c>
      <c r="D186" s="85">
        <v>10104900211</v>
      </c>
      <c r="E186" s="44" t="s">
        <v>497</v>
      </c>
      <c r="F186" s="44" t="s">
        <v>887</v>
      </c>
      <c r="G186" s="44" t="s">
        <v>496</v>
      </c>
      <c r="H186" s="44" t="s">
        <v>74</v>
      </c>
      <c r="I186" s="45">
        <v>42771</v>
      </c>
      <c r="J186" s="45">
        <v>42771</v>
      </c>
      <c r="K186" s="45"/>
      <c r="L186" s="45"/>
    </row>
    <row r="187" spans="1:12" ht="17.100000000000001" customHeight="1">
      <c r="A187" s="43" t="s">
        <v>138</v>
      </c>
      <c r="B187" s="44" t="s">
        <v>179</v>
      </c>
      <c r="C187" s="44" t="s">
        <v>73</v>
      </c>
      <c r="D187" s="85">
        <v>10104941215</v>
      </c>
      <c r="E187" s="44" t="s">
        <v>586</v>
      </c>
      <c r="F187" s="44" t="s">
        <v>180</v>
      </c>
      <c r="G187" s="44" t="s">
        <v>496</v>
      </c>
      <c r="H187" s="44" t="s">
        <v>76</v>
      </c>
      <c r="I187" s="45">
        <v>42776</v>
      </c>
      <c r="J187" s="45">
        <v>42790</v>
      </c>
      <c r="K187" s="45">
        <v>42790</v>
      </c>
      <c r="L187" s="45"/>
    </row>
    <row r="188" spans="1:12" ht="17.100000000000001" customHeight="1">
      <c r="A188" s="43" t="s">
        <v>138</v>
      </c>
      <c r="B188" s="44" t="s">
        <v>451</v>
      </c>
      <c r="C188" s="44" t="s">
        <v>73</v>
      </c>
      <c r="D188" s="85">
        <v>10104939760</v>
      </c>
      <c r="E188" s="44" t="s">
        <v>537</v>
      </c>
      <c r="F188" s="44" t="s">
        <v>887</v>
      </c>
      <c r="G188" s="44" t="s">
        <v>496</v>
      </c>
      <c r="H188" s="44" t="s">
        <v>74</v>
      </c>
      <c r="I188" s="45">
        <v>42777</v>
      </c>
      <c r="J188" s="45">
        <v>42777</v>
      </c>
      <c r="K188" s="45"/>
      <c r="L188" s="45"/>
    </row>
    <row r="189" spans="1:12" ht="17.100000000000001" customHeight="1">
      <c r="A189" s="43" t="s">
        <v>138</v>
      </c>
      <c r="B189" s="44" t="s">
        <v>451</v>
      </c>
      <c r="C189" s="44" t="s">
        <v>73</v>
      </c>
      <c r="D189" s="85">
        <v>10104930982</v>
      </c>
      <c r="E189" s="44" t="s">
        <v>537</v>
      </c>
      <c r="F189" s="44" t="s">
        <v>796</v>
      </c>
      <c r="G189" s="44" t="s">
        <v>496</v>
      </c>
      <c r="H189" s="44" t="s">
        <v>74</v>
      </c>
      <c r="I189" s="45">
        <v>42770</v>
      </c>
      <c r="J189" s="45">
        <v>42788</v>
      </c>
      <c r="K189" s="45">
        <v>42788</v>
      </c>
      <c r="L189" s="45"/>
    </row>
    <row r="190" spans="1:12" ht="17.100000000000001" customHeight="1">
      <c r="A190" s="43" t="s">
        <v>138</v>
      </c>
      <c r="B190" s="44" t="s">
        <v>451</v>
      </c>
      <c r="C190" s="44" t="s">
        <v>73</v>
      </c>
      <c r="D190" s="85">
        <v>10104947911</v>
      </c>
      <c r="E190" s="44" t="s">
        <v>537</v>
      </c>
      <c r="F190" s="44" t="s">
        <v>887</v>
      </c>
      <c r="G190" s="44" t="s">
        <v>496</v>
      </c>
      <c r="H190" s="44" t="s">
        <v>74</v>
      </c>
      <c r="I190" s="45">
        <v>42784</v>
      </c>
      <c r="J190" s="45">
        <v>42784</v>
      </c>
      <c r="K190" s="45"/>
      <c r="L190" s="45"/>
    </row>
    <row r="191" spans="1:12" ht="17.100000000000001" customHeight="1">
      <c r="A191" s="43" t="s">
        <v>138</v>
      </c>
      <c r="B191" s="44" t="s">
        <v>451</v>
      </c>
      <c r="C191" s="44" t="s">
        <v>73</v>
      </c>
      <c r="D191" s="85">
        <v>10104956505</v>
      </c>
      <c r="E191" s="44" t="s">
        <v>537</v>
      </c>
      <c r="F191" s="44" t="s">
        <v>887</v>
      </c>
      <c r="G191" s="44" t="s">
        <v>496</v>
      </c>
      <c r="H191" s="44" t="s">
        <v>74</v>
      </c>
      <c r="I191" s="45">
        <v>42791</v>
      </c>
      <c r="J191" s="45">
        <v>42791</v>
      </c>
      <c r="K191" s="45"/>
      <c r="L191" s="45"/>
    </row>
    <row r="192" spans="1:12" ht="17.100000000000001" customHeight="1">
      <c r="A192" s="43" t="s">
        <v>138</v>
      </c>
      <c r="B192" s="44" t="s">
        <v>179</v>
      </c>
      <c r="C192" s="44" t="s">
        <v>73</v>
      </c>
      <c r="D192" s="85">
        <v>10104911866</v>
      </c>
      <c r="E192" s="44" t="s">
        <v>196</v>
      </c>
      <c r="F192" s="44" t="s">
        <v>180</v>
      </c>
      <c r="G192" s="44" t="s">
        <v>197</v>
      </c>
      <c r="H192" s="44" t="s">
        <v>76</v>
      </c>
      <c r="I192" s="45">
        <v>42777</v>
      </c>
      <c r="J192" s="45">
        <v>42786</v>
      </c>
      <c r="K192" s="45">
        <v>42786</v>
      </c>
      <c r="L192" s="45"/>
    </row>
    <row r="193" spans="1:12" ht="17.100000000000001" customHeight="1">
      <c r="A193" s="43" t="s">
        <v>138</v>
      </c>
      <c r="B193" s="44" t="s">
        <v>179</v>
      </c>
      <c r="C193" s="44" t="s">
        <v>73</v>
      </c>
      <c r="D193" s="85">
        <v>10104896321</v>
      </c>
      <c r="E193" s="44" t="s">
        <v>565</v>
      </c>
      <c r="F193" s="44" t="s">
        <v>887</v>
      </c>
      <c r="G193" s="44" t="s">
        <v>198</v>
      </c>
      <c r="H193" s="44" t="s">
        <v>74</v>
      </c>
      <c r="I193" s="45">
        <v>42767</v>
      </c>
      <c r="J193" s="45">
        <v>42767</v>
      </c>
      <c r="K193" s="45"/>
      <c r="L193" s="45"/>
    </row>
    <row r="194" spans="1:12" ht="17.100000000000001" customHeight="1">
      <c r="A194" s="43" t="s">
        <v>138</v>
      </c>
      <c r="B194" s="44" t="s">
        <v>179</v>
      </c>
      <c r="C194" s="44" t="s">
        <v>73</v>
      </c>
      <c r="D194" s="85">
        <v>10104906804</v>
      </c>
      <c r="E194" s="44" t="s">
        <v>888</v>
      </c>
      <c r="F194" s="44" t="s">
        <v>180</v>
      </c>
      <c r="G194" s="44" t="s">
        <v>199</v>
      </c>
      <c r="H194" s="44" t="s">
        <v>76</v>
      </c>
      <c r="I194" s="45">
        <v>42773</v>
      </c>
      <c r="J194" s="45">
        <v>42790</v>
      </c>
      <c r="K194" s="45">
        <v>42790</v>
      </c>
      <c r="L194" s="45"/>
    </row>
    <row r="195" spans="1:12" ht="17.100000000000001" customHeight="1">
      <c r="A195" s="43" t="s">
        <v>138</v>
      </c>
      <c r="B195" s="44" t="s">
        <v>179</v>
      </c>
      <c r="C195" s="44" t="s">
        <v>73</v>
      </c>
      <c r="D195" s="85">
        <v>10104913327</v>
      </c>
      <c r="E195" s="44" t="s">
        <v>200</v>
      </c>
      <c r="F195" s="44" t="s">
        <v>596</v>
      </c>
      <c r="G195" s="44" t="s">
        <v>199</v>
      </c>
      <c r="H195" s="44" t="s">
        <v>74</v>
      </c>
      <c r="I195" s="45">
        <v>42778</v>
      </c>
      <c r="J195" s="45">
        <v>42778</v>
      </c>
      <c r="K195" s="45"/>
      <c r="L195" s="45"/>
    </row>
    <row r="196" spans="1:12" ht="17.100000000000001" customHeight="1">
      <c r="A196" s="43" t="s">
        <v>138</v>
      </c>
      <c r="B196" s="44" t="s">
        <v>179</v>
      </c>
      <c r="C196" s="44" t="s">
        <v>73</v>
      </c>
      <c r="D196" s="85">
        <v>10104918783</v>
      </c>
      <c r="E196" s="44" t="s">
        <v>201</v>
      </c>
      <c r="F196" s="44" t="s">
        <v>596</v>
      </c>
      <c r="G196" s="44" t="s">
        <v>199</v>
      </c>
      <c r="H196" s="44" t="s">
        <v>74</v>
      </c>
      <c r="I196" s="45">
        <v>42783</v>
      </c>
      <c r="J196" s="45">
        <v>42783</v>
      </c>
      <c r="K196" s="45"/>
      <c r="L196" s="45"/>
    </row>
    <row r="197" spans="1:12" ht="17.100000000000001" customHeight="1">
      <c r="A197" s="43" t="s">
        <v>138</v>
      </c>
      <c r="B197" s="44" t="s">
        <v>163</v>
      </c>
      <c r="C197" s="44" t="s">
        <v>73</v>
      </c>
      <c r="D197" s="85">
        <v>10104898887</v>
      </c>
      <c r="E197" s="44" t="s">
        <v>202</v>
      </c>
      <c r="F197" s="44" t="s">
        <v>500</v>
      </c>
      <c r="G197" s="44" t="s">
        <v>203</v>
      </c>
      <c r="H197" s="44" t="s">
        <v>76</v>
      </c>
      <c r="I197" s="45">
        <v>42770</v>
      </c>
      <c r="J197" s="45">
        <v>42770</v>
      </c>
      <c r="K197" s="45"/>
      <c r="L197" s="45"/>
    </row>
    <row r="198" spans="1:12" ht="17.100000000000001" customHeight="1">
      <c r="A198" s="43" t="s">
        <v>138</v>
      </c>
      <c r="B198" s="44" t="s">
        <v>163</v>
      </c>
      <c r="C198" s="44" t="s">
        <v>73</v>
      </c>
      <c r="D198" s="85">
        <v>10104961931</v>
      </c>
      <c r="E198" s="44" t="s">
        <v>510</v>
      </c>
      <c r="F198" s="44" t="s">
        <v>596</v>
      </c>
      <c r="G198" s="44" t="s">
        <v>203</v>
      </c>
      <c r="H198" s="44" t="s">
        <v>74</v>
      </c>
      <c r="I198" s="45">
        <v>42793</v>
      </c>
      <c r="J198" s="45">
        <v>42793</v>
      </c>
      <c r="K198" s="45"/>
      <c r="L198" s="45"/>
    </row>
    <row r="199" spans="1:12" ht="17.100000000000001" customHeight="1">
      <c r="A199" s="43" t="s">
        <v>138</v>
      </c>
      <c r="B199" s="44" t="s">
        <v>179</v>
      </c>
      <c r="C199" s="44" t="s">
        <v>73</v>
      </c>
      <c r="D199" s="85">
        <v>10104925103</v>
      </c>
      <c r="E199" s="44" t="s">
        <v>498</v>
      </c>
      <c r="F199" s="44" t="s">
        <v>596</v>
      </c>
      <c r="G199" s="44" t="s">
        <v>205</v>
      </c>
      <c r="H199" s="44" t="s">
        <v>74</v>
      </c>
      <c r="I199" s="45">
        <v>42774</v>
      </c>
      <c r="J199" s="45">
        <v>42774</v>
      </c>
      <c r="K199" s="45"/>
      <c r="L199" s="45"/>
    </row>
    <row r="200" spans="1:12" ht="17.100000000000001" customHeight="1">
      <c r="A200" s="43" t="s">
        <v>138</v>
      </c>
      <c r="B200" s="44" t="s">
        <v>179</v>
      </c>
      <c r="C200" s="44" t="s">
        <v>73</v>
      </c>
      <c r="D200" s="85">
        <v>10104918157</v>
      </c>
      <c r="E200" s="44" t="s">
        <v>204</v>
      </c>
      <c r="F200" s="44" t="s">
        <v>180</v>
      </c>
      <c r="G200" s="44" t="s">
        <v>205</v>
      </c>
      <c r="H200" s="44" t="s">
        <v>76</v>
      </c>
      <c r="I200" s="45">
        <v>42783</v>
      </c>
      <c r="J200" s="45">
        <v>42790</v>
      </c>
      <c r="K200" s="45">
        <v>42790</v>
      </c>
      <c r="L200" s="45"/>
    </row>
    <row r="201" spans="1:12" ht="17.100000000000001" customHeight="1">
      <c r="A201" s="43" t="s">
        <v>138</v>
      </c>
      <c r="B201" s="44" t="s">
        <v>179</v>
      </c>
      <c r="C201" s="44" t="s">
        <v>73</v>
      </c>
      <c r="D201" s="85">
        <v>10104949410</v>
      </c>
      <c r="E201" s="44" t="s">
        <v>206</v>
      </c>
      <c r="F201" s="44" t="s">
        <v>596</v>
      </c>
      <c r="G201" s="44" t="s">
        <v>207</v>
      </c>
      <c r="H201" s="44" t="s">
        <v>74</v>
      </c>
      <c r="I201" s="45">
        <v>42794</v>
      </c>
      <c r="J201" s="45">
        <v>42794</v>
      </c>
      <c r="K201" s="45"/>
      <c r="L201" s="45"/>
    </row>
    <row r="202" spans="1:12" ht="17.100000000000001" customHeight="1">
      <c r="A202" s="43" t="s">
        <v>138</v>
      </c>
      <c r="B202" s="44" t="s">
        <v>179</v>
      </c>
      <c r="C202" s="44" t="s">
        <v>73</v>
      </c>
      <c r="D202" s="85">
        <v>10104931674</v>
      </c>
      <c r="E202" s="44" t="s">
        <v>208</v>
      </c>
      <c r="F202" s="44" t="s">
        <v>180</v>
      </c>
      <c r="G202" s="44" t="s">
        <v>207</v>
      </c>
      <c r="H202" s="44" t="s">
        <v>76</v>
      </c>
      <c r="I202" s="45">
        <v>42790</v>
      </c>
      <c r="J202" s="45">
        <v>42790</v>
      </c>
      <c r="K202" s="45">
        <v>42790</v>
      </c>
      <c r="L202" s="45"/>
    </row>
    <row r="203" spans="1:12" ht="17.100000000000001" customHeight="1">
      <c r="A203" s="43" t="s">
        <v>138</v>
      </c>
      <c r="B203" s="44" t="s">
        <v>451</v>
      </c>
      <c r="C203" s="44" t="s">
        <v>73</v>
      </c>
      <c r="D203" s="85">
        <v>10104939749</v>
      </c>
      <c r="E203" s="44" t="s">
        <v>538</v>
      </c>
      <c r="F203" s="44" t="s">
        <v>887</v>
      </c>
      <c r="G203" s="44" t="s">
        <v>209</v>
      </c>
      <c r="H203" s="44" t="s">
        <v>74</v>
      </c>
      <c r="I203" s="45">
        <v>42777</v>
      </c>
      <c r="J203" s="45">
        <v>42777</v>
      </c>
      <c r="K203" s="45"/>
      <c r="L203" s="45"/>
    </row>
    <row r="204" spans="1:12" ht="17.100000000000001" customHeight="1">
      <c r="A204" s="43" t="s">
        <v>138</v>
      </c>
      <c r="B204" s="44" t="s">
        <v>179</v>
      </c>
      <c r="C204" s="44" t="s">
        <v>73</v>
      </c>
      <c r="D204" s="85">
        <v>10104911886</v>
      </c>
      <c r="E204" s="44" t="s">
        <v>889</v>
      </c>
      <c r="F204" s="44" t="s">
        <v>180</v>
      </c>
      <c r="G204" s="44" t="s">
        <v>209</v>
      </c>
      <c r="H204" s="44" t="s">
        <v>76</v>
      </c>
      <c r="I204" s="45">
        <v>42777</v>
      </c>
      <c r="J204" s="45">
        <v>42788</v>
      </c>
      <c r="K204" s="45">
        <v>42788</v>
      </c>
      <c r="L204" s="45"/>
    </row>
    <row r="205" spans="1:12" ht="17.100000000000001" customHeight="1">
      <c r="A205" s="43" t="s">
        <v>138</v>
      </c>
      <c r="B205" s="44" t="s">
        <v>451</v>
      </c>
      <c r="C205" s="44" t="s">
        <v>73</v>
      </c>
      <c r="D205" s="85">
        <v>10104947904</v>
      </c>
      <c r="E205" s="44" t="s">
        <v>538</v>
      </c>
      <c r="F205" s="44" t="s">
        <v>887</v>
      </c>
      <c r="G205" s="44" t="s">
        <v>209</v>
      </c>
      <c r="H205" s="44" t="s">
        <v>74</v>
      </c>
      <c r="I205" s="45">
        <v>42784</v>
      </c>
      <c r="J205" s="45">
        <v>42784</v>
      </c>
      <c r="K205" s="45"/>
      <c r="L205" s="45"/>
    </row>
    <row r="206" spans="1:12" ht="17.100000000000001" customHeight="1">
      <c r="A206" s="43" t="s">
        <v>138</v>
      </c>
      <c r="B206" s="44" t="s">
        <v>451</v>
      </c>
      <c r="C206" s="44" t="s">
        <v>73</v>
      </c>
      <c r="D206" s="85">
        <v>10104930975</v>
      </c>
      <c r="E206" s="44" t="s">
        <v>538</v>
      </c>
      <c r="F206" s="44" t="s">
        <v>887</v>
      </c>
      <c r="G206" s="44" t="s">
        <v>209</v>
      </c>
      <c r="H206" s="44" t="s">
        <v>74</v>
      </c>
      <c r="I206" s="45">
        <v>42770</v>
      </c>
      <c r="J206" s="45">
        <v>42770</v>
      </c>
      <c r="K206" s="45"/>
      <c r="L206" s="45"/>
    </row>
    <row r="207" spans="1:12" ht="17.100000000000001" customHeight="1">
      <c r="A207" s="43" t="s">
        <v>138</v>
      </c>
      <c r="B207" s="44" t="s">
        <v>451</v>
      </c>
      <c r="C207" s="44" t="s">
        <v>73</v>
      </c>
      <c r="D207" s="85">
        <v>10104956502</v>
      </c>
      <c r="E207" s="44" t="s">
        <v>538</v>
      </c>
      <c r="F207" s="44" t="s">
        <v>887</v>
      </c>
      <c r="G207" s="44" t="s">
        <v>209</v>
      </c>
      <c r="H207" s="44" t="s">
        <v>74</v>
      </c>
      <c r="I207" s="45">
        <v>42791</v>
      </c>
      <c r="J207" s="45">
        <v>42791</v>
      </c>
      <c r="K207" s="45"/>
      <c r="L207" s="45"/>
    </row>
    <row r="208" spans="1:12" ht="17.100000000000001" customHeight="1">
      <c r="A208" s="43" t="s">
        <v>138</v>
      </c>
      <c r="B208" s="44" t="s">
        <v>451</v>
      </c>
      <c r="C208" s="44" t="s">
        <v>73</v>
      </c>
      <c r="D208" s="85">
        <v>10104930923</v>
      </c>
      <c r="E208" s="44" t="s">
        <v>539</v>
      </c>
      <c r="F208" s="44" t="s">
        <v>887</v>
      </c>
      <c r="G208" s="44" t="s">
        <v>211</v>
      </c>
      <c r="H208" s="44" t="s">
        <v>74</v>
      </c>
      <c r="I208" s="45">
        <v>42767</v>
      </c>
      <c r="J208" s="45">
        <v>42767</v>
      </c>
      <c r="K208" s="45"/>
      <c r="L208" s="45"/>
    </row>
    <row r="209" spans="1:12" ht="17.100000000000001" customHeight="1">
      <c r="A209" s="43" t="s">
        <v>138</v>
      </c>
      <c r="B209" s="44" t="s">
        <v>179</v>
      </c>
      <c r="C209" s="44" t="s">
        <v>73</v>
      </c>
      <c r="D209" s="85">
        <v>10104915067</v>
      </c>
      <c r="E209" s="44" t="s">
        <v>212</v>
      </c>
      <c r="F209" s="44" t="s">
        <v>596</v>
      </c>
      <c r="G209" s="44" t="s">
        <v>211</v>
      </c>
      <c r="H209" s="44" t="s">
        <v>74</v>
      </c>
      <c r="I209" s="45">
        <v>42780</v>
      </c>
      <c r="J209" s="45">
        <v>42780</v>
      </c>
      <c r="K209" s="45"/>
      <c r="L209" s="45"/>
    </row>
    <row r="210" spans="1:12" ht="17.100000000000001" customHeight="1">
      <c r="A210" s="43" t="s">
        <v>138</v>
      </c>
      <c r="B210" s="44" t="s">
        <v>179</v>
      </c>
      <c r="C210" s="44" t="s">
        <v>73</v>
      </c>
      <c r="D210" s="85">
        <v>10104938216</v>
      </c>
      <c r="E210" s="44" t="s">
        <v>210</v>
      </c>
      <c r="F210" s="44" t="s">
        <v>180</v>
      </c>
      <c r="G210" s="44" t="s">
        <v>211</v>
      </c>
      <c r="H210" s="44" t="s">
        <v>76</v>
      </c>
      <c r="I210" s="45">
        <v>42784</v>
      </c>
      <c r="J210" s="45">
        <v>42786</v>
      </c>
      <c r="K210" s="45">
        <v>42786</v>
      </c>
      <c r="L210" s="45"/>
    </row>
    <row r="211" spans="1:12" ht="17.100000000000001" customHeight="1">
      <c r="A211" s="43" t="s">
        <v>138</v>
      </c>
      <c r="B211" s="44" t="s">
        <v>139</v>
      </c>
      <c r="C211" s="44" t="s">
        <v>120</v>
      </c>
      <c r="D211" s="85">
        <v>10104875610</v>
      </c>
      <c r="E211" s="44" t="s">
        <v>1027</v>
      </c>
      <c r="F211" s="44" t="s">
        <v>1028</v>
      </c>
      <c r="G211" s="44" t="s">
        <v>140</v>
      </c>
      <c r="H211" s="44" t="s">
        <v>130</v>
      </c>
      <c r="I211" s="45">
        <v>42794</v>
      </c>
      <c r="J211" s="45">
        <v>42796</v>
      </c>
      <c r="K211" s="45">
        <v>42796</v>
      </c>
      <c r="L211" s="45"/>
    </row>
    <row r="212" spans="1:12" ht="17.100000000000001" customHeight="1">
      <c r="A212" s="43" t="s">
        <v>138</v>
      </c>
      <c r="B212" s="44" t="s">
        <v>148</v>
      </c>
      <c r="C212" s="44" t="s">
        <v>120</v>
      </c>
      <c r="D212" s="85">
        <v>10104913355</v>
      </c>
      <c r="E212" s="44" t="s">
        <v>1029</v>
      </c>
      <c r="F212" s="44" t="s">
        <v>1030</v>
      </c>
      <c r="G212" s="44" t="s">
        <v>149</v>
      </c>
      <c r="H212" s="44" t="s">
        <v>76</v>
      </c>
      <c r="I212" s="45">
        <v>42794</v>
      </c>
      <c r="J212" s="45">
        <v>42767</v>
      </c>
      <c r="K212" s="45"/>
      <c r="L212" s="45"/>
    </row>
    <row r="213" spans="1:12" ht="17.100000000000001" customHeight="1">
      <c r="A213" s="43" t="s">
        <v>138</v>
      </c>
      <c r="B213" s="44" t="s">
        <v>148</v>
      </c>
      <c r="C213" s="44" t="s">
        <v>120</v>
      </c>
      <c r="D213" s="85">
        <v>10104910320</v>
      </c>
      <c r="E213" s="44" t="s">
        <v>214</v>
      </c>
      <c r="F213" s="44" t="s">
        <v>124</v>
      </c>
      <c r="G213" s="44" t="s">
        <v>149</v>
      </c>
      <c r="H213" s="44" t="s">
        <v>122</v>
      </c>
      <c r="I213" s="45">
        <v>42776</v>
      </c>
      <c r="J213" s="45">
        <v>42796</v>
      </c>
      <c r="K213" s="45"/>
      <c r="L213" s="45"/>
    </row>
    <row r="214" spans="1:12" ht="17.100000000000001" customHeight="1">
      <c r="A214" s="43" t="s">
        <v>138</v>
      </c>
      <c r="B214" s="44" t="s">
        <v>148</v>
      </c>
      <c r="C214" s="44" t="s">
        <v>120</v>
      </c>
      <c r="D214" s="85">
        <v>10104913308</v>
      </c>
      <c r="E214" s="44" t="s">
        <v>1031</v>
      </c>
      <c r="F214" s="44" t="s">
        <v>213</v>
      </c>
      <c r="G214" s="44" t="s">
        <v>149</v>
      </c>
      <c r="H214" s="44" t="s">
        <v>74</v>
      </c>
      <c r="I214" s="45">
        <v>42794</v>
      </c>
      <c r="J214" s="45">
        <v>42796</v>
      </c>
      <c r="K214" s="45">
        <v>42796</v>
      </c>
      <c r="L214" s="45"/>
    </row>
    <row r="215" spans="1:12" ht="17.100000000000001" customHeight="1">
      <c r="A215" s="43" t="s">
        <v>138</v>
      </c>
      <c r="B215" s="44" t="s">
        <v>148</v>
      </c>
      <c r="C215" s="44" t="s">
        <v>120</v>
      </c>
      <c r="D215" s="85">
        <v>10104914357</v>
      </c>
      <c r="E215" s="44" t="s">
        <v>1032</v>
      </c>
      <c r="F215" s="44" t="s">
        <v>213</v>
      </c>
      <c r="G215" s="44" t="s">
        <v>150</v>
      </c>
      <c r="H215" s="44" t="s">
        <v>74</v>
      </c>
      <c r="I215" s="45">
        <v>42794</v>
      </c>
      <c r="J215" s="45">
        <v>42796</v>
      </c>
      <c r="K215" s="45">
        <v>42796</v>
      </c>
      <c r="L215" s="45"/>
    </row>
    <row r="216" spans="1:12" ht="17.100000000000001" customHeight="1">
      <c r="A216" s="43" t="s">
        <v>138</v>
      </c>
      <c r="B216" s="44" t="s">
        <v>148</v>
      </c>
      <c r="C216" s="44" t="s">
        <v>120</v>
      </c>
      <c r="D216" s="85">
        <v>10104910432</v>
      </c>
      <c r="E216" s="44" t="s">
        <v>1033</v>
      </c>
      <c r="F216" s="44" t="s">
        <v>1030</v>
      </c>
      <c r="G216" s="44" t="s">
        <v>150</v>
      </c>
      <c r="H216" s="44" t="s">
        <v>76</v>
      </c>
      <c r="I216" s="45">
        <v>42776</v>
      </c>
      <c r="J216" s="45">
        <v>42776</v>
      </c>
      <c r="K216" s="45"/>
      <c r="L216" s="45"/>
    </row>
    <row r="217" spans="1:12" ht="17.100000000000001" customHeight="1">
      <c r="A217" s="43" t="s">
        <v>138</v>
      </c>
      <c r="B217" s="44" t="s">
        <v>148</v>
      </c>
      <c r="C217" s="44" t="s">
        <v>120</v>
      </c>
      <c r="D217" s="85">
        <v>10104931734</v>
      </c>
      <c r="E217" s="44" t="s">
        <v>914</v>
      </c>
      <c r="F217" s="44" t="s">
        <v>124</v>
      </c>
      <c r="G217" s="44" t="s">
        <v>151</v>
      </c>
      <c r="H217" s="44" t="s">
        <v>129</v>
      </c>
      <c r="I217" s="45">
        <v>42779</v>
      </c>
      <c r="J217" s="45">
        <v>42796</v>
      </c>
      <c r="K217" s="45"/>
      <c r="L217" s="45"/>
    </row>
    <row r="218" spans="1:12" ht="17.100000000000001" customHeight="1">
      <c r="A218" s="43" t="s">
        <v>138</v>
      </c>
      <c r="B218" s="44" t="s">
        <v>148</v>
      </c>
      <c r="C218" s="44" t="s">
        <v>120</v>
      </c>
      <c r="D218" s="85">
        <v>10104910336</v>
      </c>
      <c r="E218" s="44" t="s">
        <v>215</v>
      </c>
      <c r="F218" s="44" t="s">
        <v>124</v>
      </c>
      <c r="G218" s="44" t="s">
        <v>154</v>
      </c>
      <c r="H218" s="44" t="s">
        <v>122</v>
      </c>
      <c r="I218" s="45">
        <v>42776</v>
      </c>
      <c r="J218" s="45">
        <v>42796</v>
      </c>
      <c r="K218" s="45"/>
      <c r="L218" s="45"/>
    </row>
    <row r="219" spans="1:12" ht="17.100000000000001" customHeight="1">
      <c r="A219" s="43" t="s">
        <v>138</v>
      </c>
      <c r="B219" s="44" t="s">
        <v>148</v>
      </c>
      <c r="C219" s="44" t="s">
        <v>120</v>
      </c>
      <c r="D219" s="85">
        <v>10104910453</v>
      </c>
      <c r="E219" s="44" t="s">
        <v>1034</v>
      </c>
      <c r="F219" s="44" t="s">
        <v>1030</v>
      </c>
      <c r="G219" s="44" t="s">
        <v>154</v>
      </c>
      <c r="H219" s="44" t="s">
        <v>76</v>
      </c>
      <c r="I219" s="45">
        <v>42776</v>
      </c>
      <c r="J219" s="45">
        <v>42776</v>
      </c>
      <c r="K219" s="45"/>
      <c r="L219" s="45"/>
    </row>
    <row r="220" spans="1:12" ht="17.100000000000001" customHeight="1">
      <c r="A220" s="43" t="s">
        <v>138</v>
      </c>
      <c r="B220" s="44" t="s">
        <v>144</v>
      </c>
      <c r="C220" s="44" t="s">
        <v>120</v>
      </c>
      <c r="D220" s="85">
        <v>10104923801</v>
      </c>
      <c r="E220" s="44" t="s">
        <v>511</v>
      </c>
      <c r="F220" s="44" t="s">
        <v>124</v>
      </c>
      <c r="G220" s="44" t="s">
        <v>507</v>
      </c>
      <c r="H220" s="44" t="s">
        <v>74</v>
      </c>
      <c r="I220" s="45">
        <v>42787</v>
      </c>
      <c r="J220" s="45">
        <v>42796</v>
      </c>
      <c r="K220" s="45"/>
      <c r="L220" s="45"/>
    </row>
    <row r="221" spans="1:12" ht="17.100000000000001" customHeight="1">
      <c r="A221" s="43" t="s">
        <v>138</v>
      </c>
      <c r="B221" s="44" t="s">
        <v>148</v>
      </c>
      <c r="C221" s="44" t="s">
        <v>120</v>
      </c>
      <c r="D221" s="85">
        <v>10104915074</v>
      </c>
      <c r="E221" s="44" t="s">
        <v>1035</v>
      </c>
      <c r="F221" s="44" t="s">
        <v>180</v>
      </c>
      <c r="G221" s="44" t="s">
        <v>156</v>
      </c>
      <c r="H221" s="44" t="s">
        <v>129</v>
      </c>
      <c r="I221" s="45">
        <v>42794</v>
      </c>
      <c r="J221" s="45">
        <v>42796</v>
      </c>
      <c r="K221" s="45">
        <v>42796</v>
      </c>
      <c r="L221" s="45"/>
    </row>
    <row r="222" spans="1:12" ht="17.100000000000001" customHeight="1">
      <c r="A222" s="43" t="s">
        <v>138</v>
      </c>
      <c r="B222" s="44" t="s">
        <v>148</v>
      </c>
      <c r="C222" s="44" t="s">
        <v>120</v>
      </c>
      <c r="D222" s="85">
        <v>10104907012</v>
      </c>
      <c r="E222" s="44" t="s">
        <v>218</v>
      </c>
      <c r="F222" s="44" t="s">
        <v>124</v>
      </c>
      <c r="G222" s="44" t="s">
        <v>159</v>
      </c>
      <c r="H222" s="44" t="s">
        <v>122</v>
      </c>
      <c r="I222" s="45">
        <v>42773</v>
      </c>
      <c r="J222" s="45">
        <v>42796</v>
      </c>
      <c r="K222" s="45"/>
      <c r="L222" s="45"/>
    </row>
    <row r="223" spans="1:12" ht="17.100000000000001" customHeight="1">
      <c r="A223" s="43" t="s">
        <v>138</v>
      </c>
      <c r="B223" s="44" t="s">
        <v>148</v>
      </c>
      <c r="C223" s="44" t="s">
        <v>120</v>
      </c>
      <c r="D223" s="85">
        <v>10104910318</v>
      </c>
      <c r="E223" s="44" t="s">
        <v>220</v>
      </c>
      <c r="F223" s="44" t="s">
        <v>124</v>
      </c>
      <c r="G223" s="44" t="s">
        <v>160</v>
      </c>
      <c r="H223" s="44" t="s">
        <v>122</v>
      </c>
      <c r="I223" s="45">
        <v>42776</v>
      </c>
      <c r="J223" s="45">
        <v>42796</v>
      </c>
      <c r="K223" s="45"/>
      <c r="L223" s="45"/>
    </row>
    <row r="224" spans="1:12" ht="17.100000000000001" customHeight="1">
      <c r="A224" s="43" t="s">
        <v>138</v>
      </c>
      <c r="B224" s="44" t="s">
        <v>139</v>
      </c>
      <c r="C224" s="44" t="s">
        <v>120</v>
      </c>
      <c r="D224" s="85">
        <v>10104913005</v>
      </c>
      <c r="E224" s="44" t="s">
        <v>1036</v>
      </c>
      <c r="F224" s="44" t="s">
        <v>213</v>
      </c>
      <c r="G224" s="44" t="s">
        <v>161</v>
      </c>
      <c r="H224" s="44" t="s">
        <v>130</v>
      </c>
      <c r="I224" s="45">
        <v>42794</v>
      </c>
      <c r="J224" s="45">
        <v>42796</v>
      </c>
      <c r="K224" s="45">
        <v>42796</v>
      </c>
      <c r="L224" s="45"/>
    </row>
    <row r="225" spans="1:12" ht="17.100000000000001" customHeight="1">
      <c r="A225" s="43" t="s">
        <v>138</v>
      </c>
      <c r="B225" s="44" t="s">
        <v>139</v>
      </c>
      <c r="C225" s="44" t="s">
        <v>120</v>
      </c>
      <c r="D225" s="85">
        <v>10104895509</v>
      </c>
      <c r="E225" s="44" t="s">
        <v>1037</v>
      </c>
      <c r="F225" s="44" t="s">
        <v>180</v>
      </c>
      <c r="G225" s="44" t="s">
        <v>1038</v>
      </c>
      <c r="H225" s="44" t="s">
        <v>332</v>
      </c>
      <c r="I225" s="45">
        <v>42767</v>
      </c>
      <c r="J225" s="45">
        <v>42767</v>
      </c>
      <c r="K225" s="45">
        <v>42767</v>
      </c>
      <c r="L225" s="45"/>
    </row>
    <row r="226" spans="1:12" ht="17.100000000000001" customHeight="1">
      <c r="A226" s="43" t="s">
        <v>138</v>
      </c>
      <c r="B226" s="44" t="s">
        <v>139</v>
      </c>
      <c r="C226" s="44" t="s">
        <v>120</v>
      </c>
      <c r="D226" s="85">
        <v>10104878702</v>
      </c>
      <c r="E226" s="44" t="s">
        <v>1039</v>
      </c>
      <c r="F226" s="44" t="s">
        <v>890</v>
      </c>
      <c r="G226" s="44" t="s">
        <v>1040</v>
      </c>
      <c r="H226" s="44" t="s">
        <v>223</v>
      </c>
      <c r="I226" s="45">
        <v>42794</v>
      </c>
      <c r="J226" s="45">
        <v>42767</v>
      </c>
      <c r="K226" s="45"/>
      <c r="L226" s="45"/>
    </row>
    <row r="227" spans="1:12" ht="17.100000000000001" customHeight="1">
      <c r="A227" s="43" t="s">
        <v>138</v>
      </c>
      <c r="B227" s="44" t="s">
        <v>139</v>
      </c>
      <c r="C227" s="44" t="s">
        <v>120</v>
      </c>
      <c r="D227" s="85">
        <v>10104878703</v>
      </c>
      <c r="E227" s="44" t="s">
        <v>1041</v>
      </c>
      <c r="F227" s="44" t="s">
        <v>216</v>
      </c>
      <c r="G227" s="44" t="s">
        <v>1042</v>
      </c>
      <c r="H227" s="44" t="s">
        <v>223</v>
      </c>
      <c r="I227" s="45">
        <v>42791</v>
      </c>
      <c r="J227" s="45">
        <v>42767</v>
      </c>
      <c r="K227" s="45"/>
      <c r="L227" s="45"/>
    </row>
    <row r="228" spans="1:12" ht="17.100000000000001" customHeight="1">
      <c r="A228" s="43" t="s">
        <v>138</v>
      </c>
      <c r="B228" s="44" t="s">
        <v>139</v>
      </c>
      <c r="C228" s="44" t="s">
        <v>120</v>
      </c>
      <c r="D228" s="85">
        <v>10104878704</v>
      </c>
      <c r="E228" s="44" t="s">
        <v>1041</v>
      </c>
      <c r="F228" s="44" t="s">
        <v>216</v>
      </c>
      <c r="G228" s="44" t="s">
        <v>1043</v>
      </c>
      <c r="H228" s="44" t="s">
        <v>223</v>
      </c>
      <c r="I228" s="45">
        <v>42791</v>
      </c>
      <c r="J228" s="45">
        <v>42767</v>
      </c>
      <c r="K228" s="45"/>
      <c r="L228" s="45"/>
    </row>
    <row r="229" spans="1:12" ht="17.100000000000001" customHeight="1">
      <c r="A229" s="43" t="s">
        <v>138</v>
      </c>
      <c r="B229" s="44" t="s">
        <v>163</v>
      </c>
      <c r="C229" s="44" t="s">
        <v>120</v>
      </c>
      <c r="D229" s="85">
        <v>10104918779</v>
      </c>
      <c r="E229" s="44" t="s">
        <v>224</v>
      </c>
      <c r="F229" s="44" t="s">
        <v>124</v>
      </c>
      <c r="G229" s="44" t="s">
        <v>225</v>
      </c>
      <c r="H229" s="44" t="s">
        <v>74</v>
      </c>
      <c r="I229" s="45">
        <v>42783</v>
      </c>
      <c r="J229" s="45">
        <v>42796</v>
      </c>
      <c r="K229" s="45"/>
      <c r="L229" s="45"/>
    </row>
    <row r="230" spans="1:12" ht="17.100000000000001" customHeight="1">
      <c r="A230" s="43" t="s">
        <v>138</v>
      </c>
      <c r="B230" s="44" t="s">
        <v>144</v>
      </c>
      <c r="C230" s="44" t="s">
        <v>120</v>
      </c>
      <c r="D230" s="85">
        <v>10104916730</v>
      </c>
      <c r="E230" s="44" t="s">
        <v>915</v>
      </c>
      <c r="F230" s="44" t="s">
        <v>917</v>
      </c>
      <c r="G230" s="44" t="s">
        <v>165</v>
      </c>
      <c r="H230" s="44" t="s">
        <v>130</v>
      </c>
      <c r="I230" s="45">
        <v>42794</v>
      </c>
      <c r="J230" s="45">
        <v>42797</v>
      </c>
      <c r="K230" s="45"/>
      <c r="L230" s="45"/>
    </row>
    <row r="231" spans="1:12" ht="17.100000000000001" customHeight="1">
      <c r="A231" s="43" t="s">
        <v>138</v>
      </c>
      <c r="B231" s="44" t="s">
        <v>144</v>
      </c>
      <c r="C231" s="44" t="s">
        <v>120</v>
      </c>
      <c r="D231" s="85">
        <v>10104916731</v>
      </c>
      <c r="E231" s="44" t="s">
        <v>916</v>
      </c>
      <c r="F231" s="44" t="s">
        <v>917</v>
      </c>
      <c r="G231" s="44" t="s">
        <v>166</v>
      </c>
      <c r="H231" s="44" t="s">
        <v>130</v>
      </c>
      <c r="I231" s="45">
        <v>42794</v>
      </c>
      <c r="J231" s="45">
        <v>42797</v>
      </c>
      <c r="K231" s="45"/>
      <c r="L231" s="45"/>
    </row>
    <row r="232" spans="1:12" ht="17.100000000000001" customHeight="1">
      <c r="A232" s="43" t="s">
        <v>138</v>
      </c>
      <c r="B232" s="44" t="s">
        <v>144</v>
      </c>
      <c r="C232" s="44" t="s">
        <v>120</v>
      </c>
      <c r="D232" s="85">
        <v>10104916732</v>
      </c>
      <c r="E232" s="44" t="s">
        <v>1044</v>
      </c>
      <c r="F232" s="44" t="s">
        <v>213</v>
      </c>
      <c r="G232" s="44" t="s">
        <v>167</v>
      </c>
      <c r="H232" s="44" t="s">
        <v>76</v>
      </c>
      <c r="I232" s="45">
        <v>42794</v>
      </c>
      <c r="J232" s="45">
        <v>42797</v>
      </c>
      <c r="K232" s="45">
        <v>42757</v>
      </c>
      <c r="L232" s="45"/>
    </row>
    <row r="233" spans="1:12" ht="17.100000000000001" customHeight="1">
      <c r="A233" s="43" t="s">
        <v>138</v>
      </c>
      <c r="B233" s="44" t="s">
        <v>144</v>
      </c>
      <c r="C233" s="44" t="s">
        <v>120</v>
      </c>
      <c r="D233" s="85">
        <v>10104916733</v>
      </c>
      <c r="E233" s="44" t="s">
        <v>1045</v>
      </c>
      <c r="F233" s="44" t="s">
        <v>213</v>
      </c>
      <c r="G233" s="44" t="s">
        <v>168</v>
      </c>
      <c r="H233" s="44" t="s">
        <v>76</v>
      </c>
      <c r="I233" s="45">
        <v>42794</v>
      </c>
      <c r="J233" s="45">
        <v>42797</v>
      </c>
      <c r="K233" s="45">
        <v>42795</v>
      </c>
      <c r="L233" s="45"/>
    </row>
    <row r="234" spans="1:12" ht="17.100000000000001" customHeight="1">
      <c r="A234" s="43" t="s">
        <v>138</v>
      </c>
      <c r="B234" s="44" t="s">
        <v>144</v>
      </c>
      <c r="C234" s="44" t="s">
        <v>120</v>
      </c>
      <c r="D234" s="85">
        <v>10104722317</v>
      </c>
      <c r="E234" s="44" t="s">
        <v>1046</v>
      </c>
      <c r="F234" s="44" t="s">
        <v>146</v>
      </c>
      <c r="G234" s="44" t="s">
        <v>170</v>
      </c>
      <c r="H234" s="44" t="s">
        <v>129</v>
      </c>
      <c r="I234" s="45">
        <v>42794</v>
      </c>
      <c r="J234" s="45">
        <v>42796</v>
      </c>
      <c r="K234" s="45"/>
      <c r="L234" s="45"/>
    </row>
    <row r="235" spans="1:12" ht="17.100000000000001" customHeight="1">
      <c r="A235" s="43" t="s">
        <v>138</v>
      </c>
      <c r="B235" s="44" t="s">
        <v>144</v>
      </c>
      <c r="C235" s="44" t="s">
        <v>120</v>
      </c>
      <c r="D235" s="85">
        <v>10104722319</v>
      </c>
      <c r="E235" s="44" t="s">
        <v>1047</v>
      </c>
      <c r="F235" s="44" t="s">
        <v>146</v>
      </c>
      <c r="G235" s="44" t="s">
        <v>172</v>
      </c>
      <c r="H235" s="44" t="s">
        <v>129</v>
      </c>
      <c r="I235" s="45">
        <v>42794</v>
      </c>
      <c r="J235" s="45">
        <v>42796</v>
      </c>
      <c r="K235" s="45"/>
      <c r="L235" s="45"/>
    </row>
    <row r="236" spans="1:12" ht="17.100000000000001" customHeight="1">
      <c r="A236" s="43" t="s">
        <v>138</v>
      </c>
      <c r="B236" s="44" t="s">
        <v>144</v>
      </c>
      <c r="C236" s="44" t="s">
        <v>120</v>
      </c>
      <c r="D236" s="85">
        <v>10104722321</v>
      </c>
      <c r="E236" s="44" t="s">
        <v>1048</v>
      </c>
      <c r="F236" s="44" t="s">
        <v>146</v>
      </c>
      <c r="G236" s="44" t="s">
        <v>173</v>
      </c>
      <c r="H236" s="44" t="s">
        <v>129</v>
      </c>
      <c r="I236" s="45">
        <v>42794</v>
      </c>
      <c r="J236" s="45">
        <v>42796</v>
      </c>
      <c r="K236" s="45"/>
      <c r="L236" s="45"/>
    </row>
    <row r="237" spans="1:12" ht="17.100000000000001" customHeight="1">
      <c r="A237" s="43" t="s">
        <v>138</v>
      </c>
      <c r="B237" s="44" t="s">
        <v>144</v>
      </c>
      <c r="C237" s="44" t="s">
        <v>120</v>
      </c>
      <c r="D237" s="85">
        <v>10104722323</v>
      </c>
      <c r="E237" s="44" t="s">
        <v>1049</v>
      </c>
      <c r="F237" s="44" t="s">
        <v>146</v>
      </c>
      <c r="G237" s="44" t="s">
        <v>175</v>
      </c>
      <c r="H237" s="44" t="s">
        <v>129</v>
      </c>
      <c r="I237" s="45">
        <v>42794</v>
      </c>
      <c r="J237" s="45">
        <v>42796</v>
      </c>
      <c r="K237" s="45"/>
      <c r="L237" s="45"/>
    </row>
    <row r="238" spans="1:12" ht="17.100000000000001" customHeight="1">
      <c r="A238" s="43" t="s">
        <v>138</v>
      </c>
      <c r="B238" s="44" t="s">
        <v>144</v>
      </c>
      <c r="C238" s="44" t="s">
        <v>120</v>
      </c>
      <c r="D238" s="85">
        <v>10104878611</v>
      </c>
      <c r="E238" s="44" t="s">
        <v>1050</v>
      </c>
      <c r="F238" s="44" t="s">
        <v>1028</v>
      </c>
      <c r="G238" s="44" t="s">
        <v>175</v>
      </c>
      <c r="H238" s="44" t="s">
        <v>130</v>
      </c>
      <c r="I238" s="45">
        <v>42794</v>
      </c>
      <c r="J238" s="45">
        <v>42796</v>
      </c>
      <c r="K238" s="45">
        <v>42795</v>
      </c>
      <c r="L238" s="45"/>
    </row>
    <row r="239" spans="1:12" ht="17.100000000000001" customHeight="1">
      <c r="A239" s="43" t="s">
        <v>138</v>
      </c>
      <c r="B239" s="44" t="s">
        <v>144</v>
      </c>
      <c r="C239" s="44" t="s">
        <v>120</v>
      </c>
      <c r="D239" s="85">
        <v>10104722325</v>
      </c>
      <c r="E239" s="44" t="s">
        <v>1051</v>
      </c>
      <c r="F239" s="44" t="s">
        <v>146</v>
      </c>
      <c r="G239" s="44" t="s">
        <v>177</v>
      </c>
      <c r="H239" s="44" t="s">
        <v>129</v>
      </c>
      <c r="I239" s="45">
        <v>42794</v>
      </c>
      <c r="J239" s="45">
        <v>42796</v>
      </c>
      <c r="K239" s="45"/>
      <c r="L239" s="45"/>
    </row>
    <row r="240" spans="1:12" ht="17.100000000000001" customHeight="1">
      <c r="A240" s="43" t="s">
        <v>138</v>
      </c>
      <c r="B240" s="44" t="s">
        <v>163</v>
      </c>
      <c r="C240" s="44" t="s">
        <v>120</v>
      </c>
      <c r="D240" s="85">
        <v>10104914154</v>
      </c>
      <c r="E240" s="44" t="s">
        <v>827</v>
      </c>
      <c r="F240" s="44" t="s">
        <v>217</v>
      </c>
      <c r="G240" s="44" t="s">
        <v>178</v>
      </c>
      <c r="H240" s="44" t="s">
        <v>129</v>
      </c>
      <c r="I240" s="45">
        <v>42779</v>
      </c>
      <c r="J240" s="45">
        <v>42796</v>
      </c>
      <c r="K240" s="45"/>
      <c r="L240" s="45"/>
    </row>
    <row r="241" spans="1:12" ht="17.100000000000001" customHeight="1">
      <c r="A241" s="43" t="s">
        <v>138</v>
      </c>
      <c r="B241" s="44" t="s">
        <v>163</v>
      </c>
      <c r="C241" s="44" t="s">
        <v>120</v>
      </c>
      <c r="D241" s="85">
        <v>10104927079</v>
      </c>
      <c r="E241" s="44" t="s">
        <v>810</v>
      </c>
      <c r="F241" s="44" t="s">
        <v>217</v>
      </c>
      <c r="G241" s="44" t="s">
        <v>178</v>
      </c>
      <c r="H241" s="44" t="s">
        <v>74</v>
      </c>
      <c r="I241" s="45">
        <v>42790</v>
      </c>
      <c r="J241" s="45">
        <v>42796</v>
      </c>
      <c r="K241" s="45"/>
      <c r="L241" s="45"/>
    </row>
    <row r="242" spans="1:12" ht="17.100000000000001" customHeight="1">
      <c r="A242" s="43" t="s">
        <v>138</v>
      </c>
      <c r="B242" s="44" t="s">
        <v>179</v>
      </c>
      <c r="C242" s="44" t="s">
        <v>120</v>
      </c>
      <c r="D242" s="85">
        <v>10104927101</v>
      </c>
      <c r="E242" s="44" t="s">
        <v>811</v>
      </c>
      <c r="F242" s="44" t="s">
        <v>124</v>
      </c>
      <c r="G242" s="44" t="s">
        <v>646</v>
      </c>
      <c r="H242" s="44" t="s">
        <v>122</v>
      </c>
      <c r="I242" s="45">
        <v>42790</v>
      </c>
      <c r="J242" s="45">
        <v>42796</v>
      </c>
      <c r="K242" s="45"/>
      <c r="L242" s="45"/>
    </row>
    <row r="243" spans="1:12" ht="17.100000000000001" customHeight="1">
      <c r="A243" s="43" t="s">
        <v>138</v>
      </c>
      <c r="B243" s="44" t="s">
        <v>163</v>
      </c>
      <c r="C243" s="44" t="s">
        <v>120</v>
      </c>
      <c r="D243" s="85">
        <v>10104927142</v>
      </c>
      <c r="E243" s="44" t="s">
        <v>647</v>
      </c>
      <c r="F243" s="44" t="s">
        <v>124</v>
      </c>
      <c r="G243" s="44" t="s">
        <v>646</v>
      </c>
      <c r="H243" s="44" t="s">
        <v>122</v>
      </c>
      <c r="I243" s="45">
        <v>42790</v>
      </c>
      <c r="J243" s="45">
        <v>42796</v>
      </c>
      <c r="K243" s="45"/>
      <c r="L243" s="45"/>
    </row>
    <row r="244" spans="1:12" ht="17.100000000000001" customHeight="1">
      <c r="A244" s="43" t="s">
        <v>138</v>
      </c>
      <c r="B244" s="44" t="s">
        <v>163</v>
      </c>
      <c r="C244" s="44" t="s">
        <v>120</v>
      </c>
      <c r="D244" s="85">
        <v>10104914233</v>
      </c>
      <c r="E244" s="44" t="s">
        <v>227</v>
      </c>
      <c r="F244" s="44" t="s">
        <v>124</v>
      </c>
      <c r="G244" s="44" t="s">
        <v>182</v>
      </c>
      <c r="H244" s="44" t="s">
        <v>228</v>
      </c>
      <c r="I244" s="45">
        <v>42779</v>
      </c>
      <c r="J244" s="45">
        <v>42796</v>
      </c>
      <c r="K244" s="45"/>
      <c r="L244" s="45"/>
    </row>
    <row r="245" spans="1:12" ht="17.100000000000001" customHeight="1">
      <c r="A245" s="43" t="s">
        <v>138</v>
      </c>
      <c r="B245" s="44" t="s">
        <v>163</v>
      </c>
      <c r="C245" s="44" t="s">
        <v>120</v>
      </c>
      <c r="D245" s="85">
        <v>10104914234</v>
      </c>
      <c r="E245" s="44" t="s">
        <v>522</v>
      </c>
      <c r="F245" s="44" t="s">
        <v>75</v>
      </c>
      <c r="G245" s="44" t="s">
        <v>182</v>
      </c>
      <c r="H245" s="44" t="s">
        <v>129</v>
      </c>
      <c r="I245" s="45">
        <v>42779</v>
      </c>
      <c r="J245" s="45">
        <v>42796</v>
      </c>
      <c r="K245" s="45">
        <v>42796</v>
      </c>
      <c r="L245" s="45"/>
    </row>
    <row r="246" spans="1:12" ht="17.100000000000001" customHeight="1">
      <c r="A246" s="43" t="s">
        <v>138</v>
      </c>
      <c r="B246" s="44" t="s">
        <v>163</v>
      </c>
      <c r="C246" s="44" t="s">
        <v>120</v>
      </c>
      <c r="D246" s="85">
        <v>10104377652</v>
      </c>
      <c r="E246" s="44" t="s">
        <v>1052</v>
      </c>
      <c r="F246" s="44" t="s">
        <v>917</v>
      </c>
      <c r="G246" s="44" t="s">
        <v>182</v>
      </c>
      <c r="H246" s="44" t="s">
        <v>74</v>
      </c>
      <c r="I246" s="45">
        <v>42769</v>
      </c>
      <c r="J246" s="45">
        <v>42769</v>
      </c>
      <c r="K246" s="45"/>
      <c r="L246" s="45"/>
    </row>
    <row r="247" spans="1:12" ht="17.100000000000001" customHeight="1">
      <c r="A247" s="43" t="s">
        <v>138</v>
      </c>
      <c r="B247" s="44" t="s">
        <v>163</v>
      </c>
      <c r="C247" s="44" t="s">
        <v>120</v>
      </c>
      <c r="D247" s="85">
        <v>10104928297</v>
      </c>
      <c r="E247" s="44" t="s">
        <v>229</v>
      </c>
      <c r="F247" s="44" t="s">
        <v>124</v>
      </c>
      <c r="G247" s="44" t="s">
        <v>182</v>
      </c>
      <c r="H247" s="44" t="s">
        <v>129</v>
      </c>
      <c r="I247" s="45">
        <v>42791</v>
      </c>
      <c r="J247" s="45">
        <v>42796</v>
      </c>
      <c r="K247" s="45"/>
      <c r="L247" s="45"/>
    </row>
    <row r="248" spans="1:12" ht="17.100000000000001" customHeight="1">
      <c r="A248" s="43" t="s">
        <v>138</v>
      </c>
      <c r="B248" s="44" t="s">
        <v>163</v>
      </c>
      <c r="C248" s="44" t="s">
        <v>120</v>
      </c>
      <c r="D248" s="85">
        <v>10104907517</v>
      </c>
      <c r="E248" s="44" t="s">
        <v>1053</v>
      </c>
      <c r="F248" s="44" t="s">
        <v>213</v>
      </c>
      <c r="G248" s="44" t="s">
        <v>182</v>
      </c>
      <c r="H248" s="44" t="s">
        <v>868</v>
      </c>
      <c r="I248" s="45">
        <v>42794</v>
      </c>
      <c r="J248" s="45">
        <v>42797</v>
      </c>
      <c r="K248" s="45">
        <v>42797</v>
      </c>
      <c r="L248" s="45"/>
    </row>
    <row r="249" spans="1:12" ht="17.100000000000001" customHeight="1">
      <c r="A249" s="43" t="s">
        <v>138</v>
      </c>
      <c r="B249" s="44" t="s">
        <v>163</v>
      </c>
      <c r="C249" s="44" t="s">
        <v>120</v>
      </c>
      <c r="D249" s="85">
        <v>10104472279</v>
      </c>
      <c r="E249" s="44" t="s">
        <v>1054</v>
      </c>
      <c r="F249" s="44" t="s">
        <v>901</v>
      </c>
      <c r="G249" s="44" t="s">
        <v>182</v>
      </c>
      <c r="H249" s="44" t="s">
        <v>122</v>
      </c>
      <c r="I249" s="45">
        <v>42769</v>
      </c>
      <c r="J249" s="45">
        <v>42769</v>
      </c>
      <c r="K249" s="45"/>
      <c r="L249" s="45"/>
    </row>
    <row r="250" spans="1:12" ht="17.100000000000001" customHeight="1">
      <c r="A250" s="43" t="s">
        <v>138</v>
      </c>
      <c r="B250" s="44" t="s">
        <v>163</v>
      </c>
      <c r="C250" s="44" t="s">
        <v>120</v>
      </c>
      <c r="D250" s="85">
        <v>10104923793</v>
      </c>
      <c r="E250" s="44" t="s">
        <v>828</v>
      </c>
      <c r="F250" s="44" t="s">
        <v>1030</v>
      </c>
      <c r="G250" s="44" t="s">
        <v>509</v>
      </c>
      <c r="H250" s="44" t="s">
        <v>76</v>
      </c>
      <c r="I250" s="45">
        <v>42794</v>
      </c>
      <c r="J250" s="45">
        <v>42767</v>
      </c>
      <c r="K250" s="45"/>
      <c r="L250" s="45"/>
    </row>
    <row r="251" spans="1:12" ht="17.100000000000001" customHeight="1">
      <c r="A251" s="43" t="s">
        <v>138</v>
      </c>
      <c r="B251" s="44" t="s">
        <v>163</v>
      </c>
      <c r="C251" s="44" t="s">
        <v>120</v>
      </c>
      <c r="D251" s="85">
        <v>10104923800</v>
      </c>
      <c r="E251" s="44" t="s">
        <v>523</v>
      </c>
      <c r="F251" s="44" t="s">
        <v>124</v>
      </c>
      <c r="G251" s="44" t="s">
        <v>509</v>
      </c>
      <c r="H251" s="44" t="s">
        <v>74</v>
      </c>
      <c r="I251" s="45">
        <v>42787</v>
      </c>
      <c r="J251" s="45">
        <v>42796</v>
      </c>
      <c r="K251" s="45"/>
      <c r="L251" s="45"/>
    </row>
    <row r="252" spans="1:12" ht="17.100000000000001" customHeight="1">
      <c r="A252" s="43" t="s">
        <v>138</v>
      </c>
      <c r="B252" s="44" t="s">
        <v>179</v>
      </c>
      <c r="C252" s="44" t="s">
        <v>120</v>
      </c>
      <c r="D252" s="85">
        <v>10104907024</v>
      </c>
      <c r="E252" s="44" t="s">
        <v>230</v>
      </c>
      <c r="F252" s="44" t="s">
        <v>124</v>
      </c>
      <c r="G252" s="44" t="s">
        <v>184</v>
      </c>
      <c r="H252" s="44" t="s">
        <v>74</v>
      </c>
      <c r="I252" s="45">
        <v>42773</v>
      </c>
      <c r="J252" s="45">
        <v>42796</v>
      </c>
      <c r="K252" s="45"/>
      <c r="L252" s="45"/>
    </row>
    <row r="253" spans="1:12" ht="17.100000000000001" customHeight="1">
      <c r="A253" s="43" t="s">
        <v>138</v>
      </c>
      <c r="B253" s="44" t="s">
        <v>163</v>
      </c>
      <c r="C253" s="44" t="s">
        <v>120</v>
      </c>
      <c r="D253" s="85">
        <v>10104929810</v>
      </c>
      <c r="E253" s="44" t="s">
        <v>1055</v>
      </c>
      <c r="F253" s="44" t="s">
        <v>213</v>
      </c>
      <c r="G253" s="44" t="s">
        <v>187</v>
      </c>
      <c r="H253" s="44" t="s">
        <v>76</v>
      </c>
      <c r="I253" s="45">
        <v>42794</v>
      </c>
      <c r="J253" s="45">
        <v>42797</v>
      </c>
      <c r="K253" s="45">
        <v>42797</v>
      </c>
      <c r="L253" s="45"/>
    </row>
    <row r="254" spans="1:12" ht="17.100000000000001" customHeight="1">
      <c r="A254" s="43" t="s">
        <v>138</v>
      </c>
      <c r="B254" s="44" t="s">
        <v>451</v>
      </c>
      <c r="C254" s="44" t="s">
        <v>120</v>
      </c>
      <c r="D254" s="85">
        <v>10104924796</v>
      </c>
      <c r="E254" s="44" t="s">
        <v>572</v>
      </c>
      <c r="F254" s="44" t="s">
        <v>912</v>
      </c>
      <c r="G254" s="44" t="s">
        <v>496</v>
      </c>
      <c r="H254" s="44" t="s">
        <v>74</v>
      </c>
      <c r="I254" s="45">
        <v>42788</v>
      </c>
      <c r="J254" s="45">
        <v>42796</v>
      </c>
      <c r="K254" s="45"/>
      <c r="L254" s="45"/>
    </row>
    <row r="255" spans="1:12" ht="17.100000000000001" customHeight="1">
      <c r="A255" s="43" t="s">
        <v>138</v>
      </c>
      <c r="B255" s="44" t="s">
        <v>179</v>
      </c>
      <c r="C255" s="44" t="s">
        <v>120</v>
      </c>
      <c r="D255" s="85">
        <v>10104904601</v>
      </c>
      <c r="E255" s="44" t="s">
        <v>503</v>
      </c>
      <c r="F255" s="44" t="s">
        <v>124</v>
      </c>
      <c r="G255" s="44" t="s">
        <v>199</v>
      </c>
      <c r="H255" s="44" t="s">
        <v>74</v>
      </c>
      <c r="I255" s="45">
        <v>42772</v>
      </c>
      <c r="J255" s="45">
        <v>42796</v>
      </c>
      <c r="K255" s="45"/>
      <c r="L255" s="45"/>
    </row>
    <row r="256" spans="1:12" ht="17.100000000000001" customHeight="1">
      <c r="A256" s="43" t="s">
        <v>138</v>
      </c>
      <c r="B256" s="44" t="s">
        <v>179</v>
      </c>
      <c r="C256" s="44" t="s">
        <v>120</v>
      </c>
      <c r="D256" s="85">
        <v>10104913371</v>
      </c>
      <c r="E256" s="44" t="s">
        <v>750</v>
      </c>
      <c r="F256" s="44" t="s">
        <v>124</v>
      </c>
      <c r="G256" s="44" t="s">
        <v>199</v>
      </c>
      <c r="H256" s="44" t="s">
        <v>74</v>
      </c>
      <c r="I256" s="45">
        <v>42778</v>
      </c>
      <c r="J256" s="45">
        <v>42796</v>
      </c>
      <c r="K256" s="45"/>
      <c r="L256" s="45"/>
    </row>
    <row r="257" spans="1:12" ht="17.100000000000001" customHeight="1">
      <c r="A257" s="43" t="s">
        <v>138</v>
      </c>
      <c r="B257" s="44" t="s">
        <v>163</v>
      </c>
      <c r="C257" s="44" t="s">
        <v>120</v>
      </c>
      <c r="D257" s="85">
        <v>10104913352</v>
      </c>
      <c r="E257" s="44" t="s">
        <v>822</v>
      </c>
      <c r="F257" s="44" t="s">
        <v>124</v>
      </c>
      <c r="G257" s="44" t="s">
        <v>203</v>
      </c>
      <c r="H257" s="44" t="s">
        <v>122</v>
      </c>
      <c r="I257" s="45">
        <v>42778</v>
      </c>
      <c r="J257" s="45">
        <v>42796</v>
      </c>
      <c r="K257" s="45"/>
      <c r="L257" s="45"/>
    </row>
    <row r="258" spans="1:12" ht="17.100000000000001" customHeight="1">
      <c r="A258" s="43" t="s">
        <v>138</v>
      </c>
      <c r="B258" s="44" t="s">
        <v>163</v>
      </c>
      <c r="C258" s="44" t="s">
        <v>120</v>
      </c>
      <c r="D258" s="85">
        <v>10104914156</v>
      </c>
      <c r="E258" s="44" t="s">
        <v>1056</v>
      </c>
      <c r="F258" s="44" t="s">
        <v>213</v>
      </c>
      <c r="G258" s="44" t="s">
        <v>203</v>
      </c>
      <c r="H258" s="44" t="s">
        <v>868</v>
      </c>
      <c r="I258" s="45">
        <v>42794</v>
      </c>
      <c r="J258" s="45">
        <v>42797</v>
      </c>
      <c r="K258" s="45">
        <v>42797</v>
      </c>
      <c r="L258" s="45"/>
    </row>
    <row r="259" spans="1:12" ht="17.100000000000001" customHeight="1">
      <c r="A259" s="43" t="s">
        <v>138</v>
      </c>
      <c r="B259" s="44" t="s">
        <v>163</v>
      </c>
      <c r="C259" s="44" t="s">
        <v>120</v>
      </c>
      <c r="D259" s="85">
        <v>10104914157</v>
      </c>
      <c r="E259" s="44" t="s">
        <v>524</v>
      </c>
      <c r="F259" s="44" t="s">
        <v>749</v>
      </c>
      <c r="G259" s="44" t="s">
        <v>203</v>
      </c>
      <c r="H259" s="44" t="s">
        <v>129</v>
      </c>
      <c r="I259" s="45">
        <v>42779</v>
      </c>
      <c r="J259" s="45">
        <v>42796</v>
      </c>
      <c r="K259" s="45">
        <v>42796</v>
      </c>
      <c r="L259" s="45"/>
    </row>
    <row r="260" spans="1:12" ht="17.100000000000001" customHeight="1">
      <c r="A260" s="43" t="s">
        <v>138</v>
      </c>
      <c r="B260" s="44" t="s">
        <v>163</v>
      </c>
      <c r="C260" s="44" t="s">
        <v>120</v>
      </c>
      <c r="D260" s="85">
        <v>10104925838</v>
      </c>
      <c r="E260" s="44" t="s">
        <v>1057</v>
      </c>
      <c r="F260" s="44" t="s">
        <v>180</v>
      </c>
      <c r="G260" s="44" t="s">
        <v>203</v>
      </c>
      <c r="H260" s="44" t="s">
        <v>221</v>
      </c>
      <c r="I260" s="45">
        <v>42787</v>
      </c>
      <c r="J260" s="45">
        <v>42787</v>
      </c>
      <c r="K260" s="45">
        <v>42787</v>
      </c>
      <c r="L260" s="45"/>
    </row>
    <row r="261" spans="1:12" ht="17.100000000000001" customHeight="1">
      <c r="A261" s="43" t="s">
        <v>138</v>
      </c>
      <c r="B261" s="44" t="s">
        <v>163</v>
      </c>
      <c r="C261" s="44" t="s">
        <v>120</v>
      </c>
      <c r="D261" s="85">
        <v>10104896293</v>
      </c>
      <c r="E261" s="44" t="s">
        <v>566</v>
      </c>
      <c r="F261" s="44" t="s">
        <v>180</v>
      </c>
      <c r="G261" s="44" t="s">
        <v>203</v>
      </c>
      <c r="H261" s="44" t="s">
        <v>131</v>
      </c>
      <c r="I261" s="45">
        <v>42787</v>
      </c>
      <c r="J261" s="45">
        <v>42787</v>
      </c>
      <c r="K261" s="45">
        <v>42787</v>
      </c>
      <c r="L261" s="45"/>
    </row>
    <row r="262" spans="1:12" ht="17.100000000000001" customHeight="1">
      <c r="A262" s="43" t="s">
        <v>138</v>
      </c>
      <c r="B262" s="44" t="s">
        <v>179</v>
      </c>
      <c r="C262" s="44" t="s">
        <v>120</v>
      </c>
      <c r="D262" s="85">
        <v>10104898025</v>
      </c>
      <c r="E262" s="44" t="s">
        <v>231</v>
      </c>
      <c r="F262" s="44" t="s">
        <v>124</v>
      </c>
      <c r="G262" s="44" t="s">
        <v>211</v>
      </c>
      <c r="H262" s="44" t="s">
        <v>74</v>
      </c>
      <c r="I262" s="45">
        <v>42769</v>
      </c>
      <c r="J262" s="45">
        <v>42796</v>
      </c>
      <c r="K262" s="45"/>
      <c r="L262" s="45"/>
    </row>
    <row r="263" spans="1:12" ht="17.100000000000001" customHeight="1">
      <c r="A263" s="43" t="s">
        <v>138</v>
      </c>
      <c r="B263" s="44" t="s">
        <v>179</v>
      </c>
      <c r="C263" s="44" t="s">
        <v>120</v>
      </c>
      <c r="D263" s="85">
        <v>10104914159</v>
      </c>
      <c r="E263" s="44" t="s">
        <v>804</v>
      </c>
      <c r="F263" s="44" t="s">
        <v>213</v>
      </c>
      <c r="G263" s="44" t="s">
        <v>211</v>
      </c>
      <c r="H263" s="44" t="s">
        <v>74</v>
      </c>
      <c r="I263" s="45">
        <v>42794</v>
      </c>
      <c r="J263" s="45">
        <v>42796</v>
      </c>
      <c r="K263" s="45">
        <v>42796</v>
      </c>
      <c r="L263" s="45"/>
    </row>
    <row r="264" spans="1:12" ht="17.100000000000001" customHeight="1">
      <c r="A264" s="43" t="s">
        <v>138</v>
      </c>
      <c r="B264" s="44" t="s">
        <v>179</v>
      </c>
      <c r="C264" s="44" t="s">
        <v>120</v>
      </c>
      <c r="D264" s="85">
        <v>10104927086</v>
      </c>
      <c r="E264" s="44" t="s">
        <v>1058</v>
      </c>
      <c r="F264" s="44" t="s">
        <v>180</v>
      </c>
      <c r="G264" s="44" t="s">
        <v>211</v>
      </c>
      <c r="H264" s="44" t="s">
        <v>332</v>
      </c>
      <c r="I264" s="45">
        <v>42787</v>
      </c>
      <c r="J264" s="45">
        <v>42787</v>
      </c>
      <c r="K264" s="45">
        <v>42787</v>
      </c>
      <c r="L264" s="45"/>
    </row>
    <row r="265" spans="1:12" ht="17.100000000000001" customHeight="1">
      <c r="A265" s="43" t="s">
        <v>232</v>
      </c>
      <c r="B265" s="44" t="s">
        <v>233</v>
      </c>
      <c r="C265" s="44" t="s">
        <v>73</v>
      </c>
      <c r="D265" s="85">
        <v>10104945329</v>
      </c>
      <c r="E265" s="44" t="s">
        <v>234</v>
      </c>
      <c r="F265" s="44" t="s">
        <v>596</v>
      </c>
      <c r="G265" s="44" t="s">
        <v>235</v>
      </c>
      <c r="H265" s="44" t="s">
        <v>74</v>
      </c>
      <c r="I265" s="45">
        <v>42787</v>
      </c>
      <c r="J265" s="45">
        <v>42787</v>
      </c>
      <c r="K265" s="45"/>
      <c r="L265" s="45"/>
    </row>
    <row r="266" spans="1:12" ht="17.100000000000001" customHeight="1">
      <c r="A266" s="43" t="s">
        <v>232</v>
      </c>
      <c r="B266" s="44" t="s">
        <v>233</v>
      </c>
      <c r="C266" s="44" t="s">
        <v>73</v>
      </c>
      <c r="D266" s="85">
        <v>10104900291</v>
      </c>
      <c r="E266" s="44" t="s">
        <v>236</v>
      </c>
      <c r="F266" s="44" t="s">
        <v>887</v>
      </c>
      <c r="G266" s="44" t="s">
        <v>237</v>
      </c>
      <c r="H266" s="44" t="s">
        <v>74</v>
      </c>
      <c r="I266" s="45">
        <v>42771</v>
      </c>
      <c r="J266" s="45">
        <v>42771</v>
      </c>
      <c r="K266" s="45"/>
      <c r="L266" s="45"/>
    </row>
    <row r="267" spans="1:12" ht="17.100000000000001" customHeight="1">
      <c r="A267" s="43" t="s">
        <v>232</v>
      </c>
      <c r="B267" s="44" t="s">
        <v>233</v>
      </c>
      <c r="C267" s="44" t="s">
        <v>73</v>
      </c>
      <c r="D267" s="85">
        <v>10104923332</v>
      </c>
      <c r="E267" s="44" t="s">
        <v>238</v>
      </c>
      <c r="F267" s="44" t="s">
        <v>596</v>
      </c>
      <c r="G267" s="44" t="s">
        <v>239</v>
      </c>
      <c r="H267" s="44" t="s">
        <v>74</v>
      </c>
      <c r="I267" s="45">
        <v>42787</v>
      </c>
      <c r="J267" s="45">
        <v>42787</v>
      </c>
      <c r="K267" s="45"/>
      <c r="L267" s="45"/>
    </row>
    <row r="268" spans="1:12" ht="17.100000000000001" customHeight="1">
      <c r="A268" s="43" t="s">
        <v>232</v>
      </c>
      <c r="B268" s="44" t="s">
        <v>233</v>
      </c>
      <c r="C268" s="44" t="s">
        <v>73</v>
      </c>
      <c r="D268" s="85">
        <v>10104930704</v>
      </c>
      <c r="E268" s="44" t="s">
        <v>240</v>
      </c>
      <c r="F268" s="44" t="s">
        <v>596</v>
      </c>
      <c r="G268" s="44" t="s">
        <v>241</v>
      </c>
      <c r="H268" s="44" t="s">
        <v>76</v>
      </c>
      <c r="I268" s="45">
        <v>42767</v>
      </c>
      <c r="J268" s="45">
        <v>42767</v>
      </c>
      <c r="K268" s="45"/>
      <c r="L268" s="45"/>
    </row>
    <row r="269" spans="1:12" ht="17.100000000000001" customHeight="1">
      <c r="A269" s="43" t="s">
        <v>232</v>
      </c>
      <c r="B269" s="44" t="s">
        <v>233</v>
      </c>
      <c r="C269" s="44" t="s">
        <v>73</v>
      </c>
      <c r="D269" s="85">
        <v>10104930705</v>
      </c>
      <c r="E269" s="44" t="s">
        <v>242</v>
      </c>
      <c r="F269" s="44" t="s">
        <v>596</v>
      </c>
      <c r="G269" s="44" t="s">
        <v>241</v>
      </c>
      <c r="H269" s="44" t="s">
        <v>74</v>
      </c>
      <c r="I269" s="45">
        <v>42793</v>
      </c>
      <c r="J269" s="45">
        <v>42793</v>
      </c>
      <c r="K269" s="45"/>
      <c r="L269" s="45"/>
    </row>
    <row r="270" spans="1:12" ht="17.100000000000001" customHeight="1">
      <c r="A270" s="43" t="s">
        <v>232</v>
      </c>
      <c r="B270" s="44" t="s">
        <v>233</v>
      </c>
      <c r="C270" s="44" t="s">
        <v>73</v>
      </c>
      <c r="D270" s="85">
        <v>10104932620</v>
      </c>
      <c r="E270" s="44" t="s">
        <v>243</v>
      </c>
      <c r="F270" s="44" t="s">
        <v>596</v>
      </c>
      <c r="G270" s="44" t="s">
        <v>244</v>
      </c>
      <c r="H270" s="44" t="s">
        <v>74</v>
      </c>
      <c r="I270" s="45">
        <v>42779</v>
      </c>
      <c r="J270" s="45">
        <v>42779</v>
      </c>
      <c r="K270" s="45"/>
      <c r="L270" s="45"/>
    </row>
    <row r="271" spans="1:12" ht="17.100000000000001" customHeight="1">
      <c r="A271" s="43" t="s">
        <v>232</v>
      </c>
      <c r="B271" s="44" t="s">
        <v>233</v>
      </c>
      <c r="C271" s="44" t="s">
        <v>73</v>
      </c>
      <c r="D271" s="85">
        <v>10104949459</v>
      </c>
      <c r="E271" s="44" t="s">
        <v>243</v>
      </c>
      <c r="F271" s="44" t="s">
        <v>596</v>
      </c>
      <c r="G271" s="44" t="s">
        <v>244</v>
      </c>
      <c r="H271" s="44" t="s">
        <v>74</v>
      </c>
      <c r="I271" s="45">
        <v>42793</v>
      </c>
      <c r="J271" s="45">
        <v>42793</v>
      </c>
      <c r="K271" s="45"/>
      <c r="L271" s="45"/>
    </row>
    <row r="272" spans="1:12" ht="17.100000000000001" customHeight="1">
      <c r="A272" s="43" t="s">
        <v>232</v>
      </c>
      <c r="B272" s="44" t="s">
        <v>233</v>
      </c>
      <c r="C272" s="44" t="s">
        <v>73</v>
      </c>
      <c r="D272" s="85">
        <v>10104931680</v>
      </c>
      <c r="E272" s="44" t="s">
        <v>245</v>
      </c>
      <c r="F272" s="44" t="s">
        <v>596</v>
      </c>
      <c r="G272" s="44" t="s">
        <v>246</v>
      </c>
      <c r="H272" s="44" t="s">
        <v>74</v>
      </c>
      <c r="I272" s="45">
        <v>42794</v>
      </c>
      <c r="J272" s="45">
        <v>42794</v>
      </c>
      <c r="K272" s="45"/>
      <c r="L272" s="45"/>
    </row>
    <row r="273" spans="1:12" ht="17.100000000000001" customHeight="1">
      <c r="A273" s="43" t="s">
        <v>232</v>
      </c>
      <c r="B273" s="44" t="s">
        <v>233</v>
      </c>
      <c r="C273" s="44" t="s">
        <v>73</v>
      </c>
      <c r="D273" s="85">
        <v>10104931677</v>
      </c>
      <c r="E273" s="44" t="s">
        <v>247</v>
      </c>
      <c r="F273" s="44" t="s">
        <v>596</v>
      </c>
      <c r="G273" s="44" t="s">
        <v>248</v>
      </c>
      <c r="H273" s="44" t="s">
        <v>74</v>
      </c>
      <c r="I273" s="45">
        <v>42794</v>
      </c>
      <c r="J273" s="45">
        <v>42794</v>
      </c>
      <c r="K273" s="45"/>
      <c r="L273" s="45"/>
    </row>
    <row r="274" spans="1:12" ht="17.100000000000001" customHeight="1">
      <c r="A274" s="43" t="s">
        <v>232</v>
      </c>
      <c r="B274" s="44" t="s">
        <v>233</v>
      </c>
      <c r="C274" s="44" t="s">
        <v>73</v>
      </c>
      <c r="D274" s="85">
        <v>10104930786</v>
      </c>
      <c r="E274" s="44" t="s">
        <v>601</v>
      </c>
      <c r="F274" s="44" t="s">
        <v>596</v>
      </c>
      <c r="G274" s="44" t="s">
        <v>249</v>
      </c>
      <c r="H274" s="44" t="s">
        <v>74</v>
      </c>
      <c r="I274" s="45">
        <v>42793</v>
      </c>
      <c r="J274" s="45">
        <v>42793</v>
      </c>
      <c r="K274" s="45"/>
      <c r="L274" s="45"/>
    </row>
    <row r="275" spans="1:12" ht="17.100000000000001" customHeight="1">
      <c r="A275" s="43" t="s">
        <v>232</v>
      </c>
      <c r="B275" s="44" t="s">
        <v>233</v>
      </c>
      <c r="C275" s="44" t="s">
        <v>73</v>
      </c>
      <c r="D275" s="85">
        <v>10104921314</v>
      </c>
      <c r="E275" s="44" t="s">
        <v>892</v>
      </c>
      <c r="F275" s="44" t="s">
        <v>596</v>
      </c>
      <c r="G275" s="44" t="s">
        <v>249</v>
      </c>
      <c r="H275" s="44" t="s">
        <v>250</v>
      </c>
      <c r="I275" s="45">
        <v>42770</v>
      </c>
      <c r="J275" s="45">
        <v>42770</v>
      </c>
      <c r="K275" s="45"/>
      <c r="L275" s="45"/>
    </row>
    <row r="276" spans="1:12" ht="17.100000000000001" customHeight="1">
      <c r="A276" s="43" t="s">
        <v>232</v>
      </c>
      <c r="B276" s="44" t="s">
        <v>233</v>
      </c>
      <c r="C276" s="44" t="s">
        <v>73</v>
      </c>
      <c r="D276" s="85">
        <v>10104930703</v>
      </c>
      <c r="E276" s="44" t="s">
        <v>251</v>
      </c>
      <c r="F276" s="44" t="s">
        <v>596</v>
      </c>
      <c r="G276" s="44" t="s">
        <v>252</v>
      </c>
      <c r="H276" s="44" t="s">
        <v>74</v>
      </c>
      <c r="I276" s="45">
        <v>42793</v>
      </c>
      <c r="J276" s="45">
        <v>42793</v>
      </c>
      <c r="K276" s="45"/>
      <c r="L276" s="45"/>
    </row>
    <row r="277" spans="1:12" ht="17.100000000000001" customHeight="1">
      <c r="A277" s="43" t="s">
        <v>232</v>
      </c>
      <c r="B277" s="44" t="s">
        <v>233</v>
      </c>
      <c r="C277" s="44" t="s">
        <v>73</v>
      </c>
      <c r="D277" s="85">
        <v>10104906808</v>
      </c>
      <c r="E277" s="44" t="s">
        <v>1059</v>
      </c>
      <c r="F277" s="44" t="s">
        <v>596</v>
      </c>
      <c r="G277" s="44" t="s">
        <v>1060</v>
      </c>
      <c r="H277" s="44" t="s">
        <v>74</v>
      </c>
      <c r="I277" s="45">
        <v>42770</v>
      </c>
      <c r="J277" s="45">
        <v>42770</v>
      </c>
      <c r="K277" s="45"/>
      <c r="L277" s="45"/>
    </row>
    <row r="278" spans="1:12" ht="17.100000000000001" customHeight="1">
      <c r="A278" s="43" t="s">
        <v>232</v>
      </c>
      <c r="B278" s="44" t="s">
        <v>233</v>
      </c>
      <c r="C278" s="44" t="s">
        <v>73</v>
      </c>
      <c r="D278" s="85">
        <v>10104923339</v>
      </c>
      <c r="E278" s="44" t="s">
        <v>499</v>
      </c>
      <c r="F278" s="44" t="s">
        <v>596</v>
      </c>
      <c r="G278" s="44" t="s">
        <v>253</v>
      </c>
      <c r="H278" s="44" t="s">
        <v>74</v>
      </c>
      <c r="I278" s="45">
        <v>42787</v>
      </c>
      <c r="J278" s="45">
        <v>42787</v>
      </c>
      <c r="K278" s="45"/>
      <c r="L278" s="45"/>
    </row>
    <row r="279" spans="1:12" ht="17.100000000000001" customHeight="1">
      <c r="A279" s="43" t="s">
        <v>232</v>
      </c>
      <c r="B279" s="44" t="s">
        <v>233</v>
      </c>
      <c r="C279" s="44" t="s">
        <v>73</v>
      </c>
      <c r="D279" s="85">
        <v>10104898955</v>
      </c>
      <c r="E279" s="44" t="s">
        <v>751</v>
      </c>
      <c r="F279" s="44" t="s">
        <v>887</v>
      </c>
      <c r="G279" s="44" t="s">
        <v>254</v>
      </c>
      <c r="H279" s="44" t="s">
        <v>74</v>
      </c>
      <c r="I279" s="45">
        <v>42770</v>
      </c>
      <c r="J279" s="45">
        <v>42770</v>
      </c>
      <c r="K279" s="45"/>
      <c r="L279" s="45"/>
    </row>
    <row r="280" spans="1:12" ht="17.100000000000001" customHeight="1">
      <c r="A280" s="43" t="s">
        <v>232</v>
      </c>
      <c r="B280" s="44" t="s">
        <v>233</v>
      </c>
      <c r="C280" s="44" t="s">
        <v>73</v>
      </c>
      <c r="D280" s="85">
        <v>10104916886</v>
      </c>
      <c r="E280" s="44" t="s">
        <v>512</v>
      </c>
      <c r="F280" s="44" t="s">
        <v>596</v>
      </c>
      <c r="G280" s="44" t="s">
        <v>255</v>
      </c>
      <c r="H280" s="44" t="s">
        <v>74</v>
      </c>
      <c r="I280" s="45">
        <v>42782</v>
      </c>
      <c r="J280" s="45">
        <v>42782</v>
      </c>
      <c r="K280" s="45"/>
      <c r="L280" s="45"/>
    </row>
    <row r="281" spans="1:12" ht="17.100000000000001" customHeight="1">
      <c r="A281" s="43" t="s">
        <v>232</v>
      </c>
      <c r="B281" s="44" t="s">
        <v>233</v>
      </c>
      <c r="C281" s="44" t="s">
        <v>73</v>
      </c>
      <c r="D281" s="85">
        <v>10104906257</v>
      </c>
      <c r="E281" s="44" t="s">
        <v>1061</v>
      </c>
      <c r="F281" s="44" t="s">
        <v>887</v>
      </c>
      <c r="G281" s="44" t="s">
        <v>1062</v>
      </c>
      <c r="H281" s="44" t="s">
        <v>74</v>
      </c>
      <c r="I281" s="45">
        <v>42773</v>
      </c>
      <c r="J281" s="45">
        <v>42773</v>
      </c>
      <c r="K281" s="45"/>
      <c r="L281" s="45"/>
    </row>
    <row r="282" spans="1:12" ht="17.100000000000001" customHeight="1">
      <c r="A282" s="43" t="s">
        <v>232</v>
      </c>
      <c r="B282" s="44" t="s">
        <v>233</v>
      </c>
      <c r="C282" s="44" t="s">
        <v>73</v>
      </c>
      <c r="D282" s="85">
        <v>10104897740</v>
      </c>
      <c r="E282" s="44" t="s">
        <v>1063</v>
      </c>
      <c r="F282" s="44" t="s">
        <v>887</v>
      </c>
      <c r="G282" s="44" t="s">
        <v>1064</v>
      </c>
      <c r="H282" s="44" t="s">
        <v>74</v>
      </c>
      <c r="I282" s="45">
        <v>42770</v>
      </c>
      <c r="J282" s="45">
        <v>42770</v>
      </c>
      <c r="K282" s="45"/>
      <c r="L282" s="45"/>
    </row>
    <row r="283" spans="1:12" ht="17.100000000000001" customHeight="1">
      <c r="A283" s="43" t="s">
        <v>232</v>
      </c>
      <c r="B283" s="44" t="s">
        <v>233</v>
      </c>
      <c r="C283" s="44" t="s">
        <v>73</v>
      </c>
      <c r="D283" s="85">
        <v>10104897742</v>
      </c>
      <c r="E283" s="44" t="s">
        <v>1065</v>
      </c>
      <c r="F283" s="44" t="s">
        <v>887</v>
      </c>
      <c r="G283" s="44" t="s">
        <v>1066</v>
      </c>
      <c r="H283" s="44" t="s">
        <v>74</v>
      </c>
      <c r="I283" s="45">
        <v>42770</v>
      </c>
      <c r="J283" s="45">
        <v>42770</v>
      </c>
      <c r="K283" s="45"/>
      <c r="L283" s="45"/>
    </row>
    <row r="284" spans="1:12" ht="17.100000000000001" customHeight="1">
      <c r="A284" s="43" t="s">
        <v>232</v>
      </c>
      <c r="B284" s="44" t="s">
        <v>233</v>
      </c>
      <c r="C284" s="44" t="s">
        <v>73</v>
      </c>
      <c r="D284" s="85">
        <v>10104915069</v>
      </c>
      <c r="E284" s="44" t="s">
        <v>256</v>
      </c>
      <c r="F284" s="44" t="s">
        <v>596</v>
      </c>
      <c r="G284" s="44" t="s">
        <v>257</v>
      </c>
      <c r="H284" s="44" t="s">
        <v>74</v>
      </c>
      <c r="I284" s="45">
        <v>42780</v>
      </c>
      <c r="J284" s="45">
        <v>42780</v>
      </c>
      <c r="K284" s="45"/>
      <c r="L284" s="45"/>
    </row>
    <row r="285" spans="1:12" ht="17.100000000000001" customHeight="1">
      <c r="A285" s="43" t="s">
        <v>232</v>
      </c>
      <c r="B285" s="44" t="s">
        <v>233</v>
      </c>
      <c r="C285" s="44" t="s">
        <v>73</v>
      </c>
      <c r="D285" s="85">
        <v>10104915068</v>
      </c>
      <c r="E285" s="44" t="s">
        <v>567</v>
      </c>
      <c r="F285" s="44" t="s">
        <v>596</v>
      </c>
      <c r="G285" s="44" t="s">
        <v>258</v>
      </c>
      <c r="H285" s="44" t="s">
        <v>74</v>
      </c>
      <c r="I285" s="45">
        <v>42780</v>
      </c>
      <c r="J285" s="45">
        <v>42780</v>
      </c>
      <c r="K285" s="45"/>
      <c r="L285" s="45"/>
    </row>
    <row r="286" spans="1:12" ht="17.100000000000001" customHeight="1">
      <c r="A286" s="43" t="s">
        <v>232</v>
      </c>
      <c r="B286" s="44" t="s">
        <v>233</v>
      </c>
      <c r="C286" s="44" t="s">
        <v>73</v>
      </c>
      <c r="D286" s="85">
        <v>10104923337</v>
      </c>
      <c r="E286" s="44" t="s">
        <v>261</v>
      </c>
      <c r="F286" s="44" t="s">
        <v>596</v>
      </c>
      <c r="G286" s="44" t="s">
        <v>260</v>
      </c>
      <c r="H286" s="44" t="s">
        <v>74</v>
      </c>
      <c r="I286" s="45">
        <v>42787</v>
      </c>
      <c r="J286" s="45">
        <v>42787</v>
      </c>
      <c r="K286" s="45"/>
      <c r="L286" s="45"/>
    </row>
    <row r="287" spans="1:12" ht="17.100000000000001" customHeight="1">
      <c r="A287" s="43" t="s">
        <v>232</v>
      </c>
      <c r="B287" s="44" t="s">
        <v>233</v>
      </c>
      <c r="C287" s="44" t="s">
        <v>73</v>
      </c>
      <c r="D287" s="85">
        <v>10104923336</v>
      </c>
      <c r="E287" s="44" t="s">
        <v>259</v>
      </c>
      <c r="F287" s="44" t="s">
        <v>596</v>
      </c>
      <c r="G287" s="44" t="s">
        <v>260</v>
      </c>
      <c r="H287" s="44" t="s">
        <v>74</v>
      </c>
      <c r="I287" s="45">
        <v>42787</v>
      </c>
      <c r="J287" s="45">
        <v>42787</v>
      </c>
      <c r="K287" s="45"/>
      <c r="L287" s="45"/>
    </row>
    <row r="288" spans="1:12" ht="17.100000000000001" customHeight="1">
      <c r="A288" s="43" t="s">
        <v>232</v>
      </c>
      <c r="B288" s="44" t="s">
        <v>233</v>
      </c>
      <c r="C288" s="44" t="s">
        <v>73</v>
      </c>
      <c r="D288" s="85">
        <v>10104930711</v>
      </c>
      <c r="E288" s="44" t="s">
        <v>736</v>
      </c>
      <c r="F288" s="44" t="s">
        <v>596</v>
      </c>
      <c r="G288" s="44" t="s">
        <v>262</v>
      </c>
      <c r="H288" s="44" t="s">
        <v>74</v>
      </c>
      <c r="I288" s="45">
        <v>42793</v>
      </c>
      <c r="J288" s="45">
        <v>42793</v>
      </c>
      <c r="K288" s="45"/>
      <c r="L288" s="45"/>
    </row>
    <row r="289" spans="1:12" ht="17.100000000000001" customHeight="1">
      <c r="A289" s="43" t="s">
        <v>232</v>
      </c>
      <c r="B289" s="44" t="s">
        <v>233</v>
      </c>
      <c r="C289" s="44" t="s">
        <v>73</v>
      </c>
      <c r="D289" s="85">
        <v>10104923346</v>
      </c>
      <c r="E289" s="44" t="s">
        <v>1067</v>
      </c>
      <c r="F289" s="44" t="s">
        <v>596</v>
      </c>
      <c r="G289" s="44" t="s">
        <v>262</v>
      </c>
      <c r="H289" s="44" t="s">
        <v>76</v>
      </c>
      <c r="I289" s="45">
        <v>42787</v>
      </c>
      <c r="J289" s="45">
        <v>42787</v>
      </c>
      <c r="K289" s="45"/>
      <c r="L289" s="45"/>
    </row>
    <row r="290" spans="1:12" ht="17.100000000000001" customHeight="1">
      <c r="A290" s="43" t="s">
        <v>232</v>
      </c>
      <c r="B290" s="44" t="s">
        <v>233</v>
      </c>
      <c r="C290" s="44" t="s">
        <v>73</v>
      </c>
      <c r="D290" s="85">
        <v>10104926778</v>
      </c>
      <c r="E290" s="44" t="s">
        <v>1068</v>
      </c>
      <c r="F290" s="44" t="s">
        <v>596</v>
      </c>
      <c r="G290" s="44" t="s">
        <v>264</v>
      </c>
      <c r="H290" s="44" t="s">
        <v>76</v>
      </c>
      <c r="I290" s="45">
        <v>42790</v>
      </c>
      <c r="J290" s="45">
        <v>42790</v>
      </c>
      <c r="K290" s="45"/>
      <c r="L290" s="45"/>
    </row>
    <row r="291" spans="1:12" ht="17.100000000000001" customHeight="1">
      <c r="A291" s="43" t="s">
        <v>232</v>
      </c>
      <c r="B291" s="44" t="s">
        <v>233</v>
      </c>
      <c r="C291" s="44" t="s">
        <v>73</v>
      </c>
      <c r="D291" s="85">
        <v>10104947742</v>
      </c>
      <c r="E291" s="44" t="s">
        <v>263</v>
      </c>
      <c r="F291" s="44" t="s">
        <v>596</v>
      </c>
      <c r="G291" s="44" t="s">
        <v>264</v>
      </c>
      <c r="H291" s="44" t="s">
        <v>74</v>
      </c>
      <c r="I291" s="45">
        <v>42791</v>
      </c>
      <c r="J291" s="45">
        <v>42791</v>
      </c>
      <c r="K291" s="45"/>
      <c r="L291" s="45"/>
    </row>
    <row r="292" spans="1:12" ht="17.100000000000001" customHeight="1">
      <c r="A292" s="43" t="s">
        <v>232</v>
      </c>
      <c r="B292" s="44" t="s">
        <v>233</v>
      </c>
      <c r="C292" s="44" t="s">
        <v>73</v>
      </c>
      <c r="D292" s="85">
        <v>10104930765</v>
      </c>
      <c r="E292" s="44" t="s">
        <v>263</v>
      </c>
      <c r="F292" s="44" t="s">
        <v>596</v>
      </c>
      <c r="G292" s="44" t="s">
        <v>264</v>
      </c>
      <c r="H292" s="44" t="s">
        <v>74</v>
      </c>
      <c r="I292" s="45">
        <v>42777</v>
      </c>
      <c r="J292" s="45">
        <v>42777</v>
      </c>
      <c r="K292" s="45"/>
      <c r="L292" s="45"/>
    </row>
    <row r="293" spans="1:12" ht="17.100000000000001" customHeight="1">
      <c r="A293" s="43" t="s">
        <v>232</v>
      </c>
      <c r="B293" s="44" t="s">
        <v>233</v>
      </c>
      <c r="C293" s="44" t="s">
        <v>73</v>
      </c>
      <c r="D293" s="85">
        <v>10104931679</v>
      </c>
      <c r="E293" s="44" t="s">
        <v>265</v>
      </c>
      <c r="F293" s="44" t="s">
        <v>596</v>
      </c>
      <c r="G293" s="44" t="s">
        <v>266</v>
      </c>
      <c r="H293" s="44" t="s">
        <v>74</v>
      </c>
      <c r="I293" s="45">
        <v>42794</v>
      </c>
      <c r="J293" s="45">
        <v>42794</v>
      </c>
      <c r="K293" s="45"/>
      <c r="L293" s="45"/>
    </row>
    <row r="294" spans="1:12" ht="17.100000000000001" customHeight="1">
      <c r="A294" s="43" t="s">
        <v>232</v>
      </c>
      <c r="B294" s="44" t="s">
        <v>233</v>
      </c>
      <c r="C294" s="44" t="s">
        <v>73</v>
      </c>
      <c r="D294" s="85">
        <v>10104926773</v>
      </c>
      <c r="E294" s="44" t="s">
        <v>648</v>
      </c>
      <c r="F294" s="44" t="s">
        <v>596</v>
      </c>
      <c r="G294" s="44" t="s">
        <v>266</v>
      </c>
      <c r="H294" s="44" t="s">
        <v>76</v>
      </c>
      <c r="I294" s="45">
        <v>42790</v>
      </c>
      <c r="J294" s="45">
        <v>42790</v>
      </c>
      <c r="K294" s="45"/>
      <c r="L294" s="45"/>
    </row>
    <row r="295" spans="1:12" ht="17.100000000000001" customHeight="1">
      <c r="A295" s="43" t="s">
        <v>232</v>
      </c>
      <c r="B295" s="44" t="s">
        <v>233</v>
      </c>
      <c r="C295" s="44" t="s">
        <v>73</v>
      </c>
      <c r="D295" s="85">
        <v>10104915070</v>
      </c>
      <c r="E295" s="44" t="s">
        <v>267</v>
      </c>
      <c r="F295" s="44" t="s">
        <v>596</v>
      </c>
      <c r="G295" s="44" t="s">
        <v>268</v>
      </c>
      <c r="H295" s="44" t="s">
        <v>74</v>
      </c>
      <c r="I295" s="45">
        <v>42780</v>
      </c>
      <c r="J295" s="45">
        <v>42780</v>
      </c>
      <c r="K295" s="45"/>
      <c r="L295" s="45"/>
    </row>
    <row r="296" spans="1:12" ht="17.100000000000001" customHeight="1">
      <c r="A296" s="43" t="s">
        <v>232</v>
      </c>
      <c r="B296" s="44" t="s">
        <v>233</v>
      </c>
      <c r="C296" s="44" t="s">
        <v>73</v>
      </c>
      <c r="D296" s="85">
        <v>10104900260</v>
      </c>
      <c r="E296" s="44" t="s">
        <v>269</v>
      </c>
      <c r="F296" s="44" t="s">
        <v>887</v>
      </c>
      <c r="G296" s="44" t="s">
        <v>270</v>
      </c>
      <c r="H296" s="44" t="s">
        <v>74</v>
      </c>
      <c r="I296" s="45">
        <v>42771</v>
      </c>
      <c r="J296" s="45">
        <v>42771</v>
      </c>
      <c r="K296" s="45"/>
      <c r="L296" s="45"/>
    </row>
    <row r="297" spans="1:12" ht="17.100000000000001" customHeight="1">
      <c r="A297" s="43" t="s">
        <v>232</v>
      </c>
      <c r="B297" s="44" t="s">
        <v>233</v>
      </c>
      <c r="C297" s="44" t="s">
        <v>73</v>
      </c>
      <c r="D297" s="85">
        <v>10104912921</v>
      </c>
      <c r="E297" s="44" t="s">
        <v>271</v>
      </c>
      <c r="F297" s="44" t="s">
        <v>596</v>
      </c>
      <c r="G297" s="44" t="s">
        <v>272</v>
      </c>
      <c r="H297" s="44" t="s">
        <v>74</v>
      </c>
      <c r="I297" s="45">
        <v>42778</v>
      </c>
      <c r="J297" s="45">
        <v>42778</v>
      </c>
      <c r="K297" s="45"/>
      <c r="L297" s="45"/>
    </row>
    <row r="298" spans="1:12" ht="17.100000000000001" customHeight="1">
      <c r="A298" s="43" t="s">
        <v>232</v>
      </c>
      <c r="B298" s="44" t="s">
        <v>233</v>
      </c>
      <c r="C298" s="44" t="s">
        <v>73</v>
      </c>
      <c r="D298" s="85">
        <v>10104931676</v>
      </c>
      <c r="E298" s="44" t="s">
        <v>273</v>
      </c>
      <c r="F298" s="44" t="s">
        <v>596</v>
      </c>
      <c r="G298" s="44" t="s">
        <v>274</v>
      </c>
      <c r="H298" s="44" t="s">
        <v>74</v>
      </c>
      <c r="I298" s="45">
        <v>42794</v>
      </c>
      <c r="J298" s="45">
        <v>42794</v>
      </c>
      <c r="K298" s="45"/>
      <c r="L298" s="45"/>
    </row>
    <row r="299" spans="1:12" ht="17.100000000000001" customHeight="1">
      <c r="A299" s="43" t="s">
        <v>232</v>
      </c>
      <c r="B299" s="44" t="s">
        <v>233</v>
      </c>
      <c r="C299" s="44" t="s">
        <v>73</v>
      </c>
      <c r="D299" s="85">
        <v>10104923381</v>
      </c>
      <c r="E299" s="44" t="s">
        <v>275</v>
      </c>
      <c r="F299" s="44" t="s">
        <v>596</v>
      </c>
      <c r="G299" s="44" t="s">
        <v>276</v>
      </c>
      <c r="H299" s="44" t="s">
        <v>74</v>
      </c>
      <c r="I299" s="45">
        <v>42771</v>
      </c>
      <c r="J299" s="45">
        <v>42771</v>
      </c>
      <c r="K299" s="45"/>
      <c r="L299" s="45"/>
    </row>
    <row r="300" spans="1:12" ht="17.100000000000001" customHeight="1">
      <c r="A300" s="43" t="s">
        <v>232</v>
      </c>
      <c r="B300" s="44" t="s">
        <v>233</v>
      </c>
      <c r="C300" s="44" t="s">
        <v>73</v>
      </c>
      <c r="D300" s="85">
        <v>10104940458</v>
      </c>
      <c r="E300" s="44" t="s">
        <v>275</v>
      </c>
      <c r="F300" s="44" t="s">
        <v>596</v>
      </c>
      <c r="G300" s="44" t="s">
        <v>276</v>
      </c>
      <c r="H300" s="44" t="s">
        <v>74</v>
      </c>
      <c r="I300" s="45">
        <v>42785</v>
      </c>
      <c r="J300" s="45">
        <v>42785</v>
      </c>
      <c r="K300" s="45"/>
      <c r="L300" s="45"/>
    </row>
    <row r="301" spans="1:12" ht="17.100000000000001" customHeight="1">
      <c r="A301" s="43" t="s">
        <v>232</v>
      </c>
      <c r="B301" s="44" t="s">
        <v>233</v>
      </c>
      <c r="C301" s="44" t="s">
        <v>73</v>
      </c>
      <c r="D301" s="85">
        <v>10104865399</v>
      </c>
      <c r="E301" s="44" t="s">
        <v>1069</v>
      </c>
      <c r="F301" s="44" t="s">
        <v>887</v>
      </c>
      <c r="G301" s="44" t="s">
        <v>276</v>
      </c>
      <c r="H301" s="44" t="s">
        <v>76</v>
      </c>
      <c r="I301" s="45">
        <v>42768</v>
      </c>
      <c r="J301" s="45">
        <v>42768</v>
      </c>
      <c r="K301" s="45"/>
      <c r="L301" s="45"/>
    </row>
    <row r="302" spans="1:12" ht="17.100000000000001" customHeight="1">
      <c r="A302" s="43" t="s">
        <v>232</v>
      </c>
      <c r="B302" s="44" t="s">
        <v>233</v>
      </c>
      <c r="C302" s="44" t="s">
        <v>73</v>
      </c>
      <c r="D302" s="85">
        <v>10104930971</v>
      </c>
      <c r="E302" s="44" t="s">
        <v>823</v>
      </c>
      <c r="F302" s="44" t="s">
        <v>596</v>
      </c>
      <c r="G302" s="44" t="s">
        <v>755</v>
      </c>
      <c r="H302" s="44" t="s">
        <v>74</v>
      </c>
      <c r="I302" s="45">
        <v>42793</v>
      </c>
      <c r="J302" s="45">
        <v>42793</v>
      </c>
      <c r="K302" s="45"/>
      <c r="L302" s="45"/>
    </row>
    <row r="303" spans="1:12" ht="17.100000000000001" customHeight="1">
      <c r="A303" s="43" t="s">
        <v>232</v>
      </c>
      <c r="B303" s="44" t="s">
        <v>233</v>
      </c>
      <c r="C303" s="44" t="s">
        <v>73</v>
      </c>
      <c r="D303" s="85">
        <v>10104923335</v>
      </c>
      <c r="E303" s="44" t="s">
        <v>576</v>
      </c>
      <c r="F303" s="44" t="s">
        <v>596</v>
      </c>
      <c r="G303" s="44" t="s">
        <v>277</v>
      </c>
      <c r="H303" s="44" t="s">
        <v>74</v>
      </c>
      <c r="I303" s="45">
        <v>42787</v>
      </c>
      <c r="J303" s="45">
        <v>42787</v>
      </c>
      <c r="K303" s="45"/>
      <c r="L303" s="45"/>
    </row>
    <row r="304" spans="1:12" ht="17.100000000000001" customHeight="1">
      <c r="A304" s="43" t="s">
        <v>232</v>
      </c>
      <c r="B304" s="44" t="s">
        <v>233</v>
      </c>
      <c r="C304" s="44" t="s">
        <v>73</v>
      </c>
      <c r="D304" s="85">
        <v>10104930772</v>
      </c>
      <c r="E304" s="44" t="s">
        <v>752</v>
      </c>
      <c r="F304" s="44" t="s">
        <v>596</v>
      </c>
      <c r="G304" s="44" t="s">
        <v>279</v>
      </c>
      <c r="H304" s="44" t="s">
        <v>74</v>
      </c>
      <c r="I304" s="45">
        <v>42793</v>
      </c>
      <c r="J304" s="45">
        <v>42793</v>
      </c>
      <c r="K304" s="45"/>
      <c r="L304" s="45"/>
    </row>
    <row r="305" spans="1:12" ht="17.100000000000001" customHeight="1">
      <c r="A305" s="43" t="s">
        <v>232</v>
      </c>
      <c r="B305" s="44" t="s">
        <v>233</v>
      </c>
      <c r="C305" s="44" t="s">
        <v>73</v>
      </c>
      <c r="D305" s="85">
        <v>10104930771</v>
      </c>
      <c r="E305" s="44" t="s">
        <v>278</v>
      </c>
      <c r="F305" s="44" t="s">
        <v>596</v>
      </c>
      <c r="G305" s="44" t="s">
        <v>279</v>
      </c>
      <c r="H305" s="44" t="s">
        <v>74</v>
      </c>
      <c r="I305" s="45">
        <v>42793</v>
      </c>
      <c r="J305" s="45">
        <v>42793</v>
      </c>
      <c r="K305" s="45"/>
      <c r="L305" s="45"/>
    </row>
    <row r="306" spans="1:12" ht="17.100000000000001" customHeight="1">
      <c r="A306" s="43" t="s">
        <v>232</v>
      </c>
      <c r="B306" s="44" t="s">
        <v>233</v>
      </c>
      <c r="C306" s="44" t="s">
        <v>73</v>
      </c>
      <c r="D306" s="85">
        <v>10104932618</v>
      </c>
      <c r="E306" s="44" t="s">
        <v>280</v>
      </c>
      <c r="F306" s="44" t="s">
        <v>596</v>
      </c>
      <c r="G306" s="44" t="s">
        <v>281</v>
      </c>
      <c r="H306" s="44" t="s">
        <v>250</v>
      </c>
      <c r="I306" s="45">
        <v>42780</v>
      </c>
      <c r="J306" s="45">
        <v>42780</v>
      </c>
      <c r="K306" s="45"/>
      <c r="L306" s="45"/>
    </row>
    <row r="307" spans="1:12" ht="17.100000000000001" customHeight="1">
      <c r="A307" s="43" t="s">
        <v>232</v>
      </c>
      <c r="B307" s="44" t="s">
        <v>233</v>
      </c>
      <c r="C307" s="44" t="s">
        <v>73</v>
      </c>
      <c r="D307" s="85">
        <v>10104931678</v>
      </c>
      <c r="E307" s="44" t="s">
        <v>282</v>
      </c>
      <c r="F307" s="44" t="s">
        <v>596</v>
      </c>
      <c r="G307" s="44" t="s">
        <v>281</v>
      </c>
      <c r="H307" s="44" t="s">
        <v>74</v>
      </c>
      <c r="I307" s="45">
        <v>42794</v>
      </c>
      <c r="J307" s="45">
        <v>42794</v>
      </c>
      <c r="K307" s="45"/>
      <c r="L307" s="45"/>
    </row>
    <row r="308" spans="1:12" ht="17.100000000000001" customHeight="1">
      <c r="A308" s="43" t="s">
        <v>232</v>
      </c>
      <c r="B308" s="44" t="s">
        <v>233</v>
      </c>
      <c r="C308" s="44" t="s">
        <v>73</v>
      </c>
      <c r="D308" s="85">
        <v>10104929804</v>
      </c>
      <c r="E308" s="44" t="s">
        <v>283</v>
      </c>
      <c r="F308" s="44" t="s">
        <v>596</v>
      </c>
      <c r="G308" s="44" t="s">
        <v>284</v>
      </c>
      <c r="H308" s="44" t="s">
        <v>74</v>
      </c>
      <c r="I308" s="45">
        <v>42792</v>
      </c>
      <c r="J308" s="45">
        <v>42792</v>
      </c>
      <c r="K308" s="45"/>
      <c r="L308" s="45"/>
    </row>
    <row r="309" spans="1:12" ht="17.100000000000001" customHeight="1">
      <c r="A309" s="43" t="s">
        <v>232</v>
      </c>
      <c r="B309" s="44" t="s">
        <v>233</v>
      </c>
      <c r="C309" s="44" t="s">
        <v>73</v>
      </c>
      <c r="D309" s="85">
        <v>10104960584</v>
      </c>
      <c r="E309" s="44" t="s">
        <v>525</v>
      </c>
      <c r="F309" s="44" t="s">
        <v>596</v>
      </c>
      <c r="G309" s="44" t="s">
        <v>526</v>
      </c>
      <c r="H309" s="44" t="s">
        <v>76</v>
      </c>
      <c r="I309" s="45">
        <v>42792</v>
      </c>
      <c r="J309" s="45">
        <v>42792</v>
      </c>
      <c r="K309" s="45"/>
      <c r="L309" s="45"/>
    </row>
    <row r="310" spans="1:12" ht="17.100000000000001" customHeight="1">
      <c r="A310" s="43" t="s">
        <v>232</v>
      </c>
      <c r="B310" s="44" t="s">
        <v>233</v>
      </c>
      <c r="C310" s="44" t="s">
        <v>73</v>
      </c>
      <c r="D310" s="85">
        <v>10104956186</v>
      </c>
      <c r="E310" s="44" t="s">
        <v>285</v>
      </c>
      <c r="F310" s="44" t="s">
        <v>596</v>
      </c>
      <c r="G310" s="44" t="s">
        <v>286</v>
      </c>
      <c r="H310" s="44" t="s">
        <v>250</v>
      </c>
      <c r="I310" s="45">
        <v>42791</v>
      </c>
      <c r="J310" s="45">
        <v>42791</v>
      </c>
      <c r="K310" s="45"/>
      <c r="L310" s="45"/>
    </row>
    <row r="311" spans="1:12" ht="17.100000000000001" customHeight="1">
      <c r="A311" s="43" t="s">
        <v>232</v>
      </c>
      <c r="B311" s="44" t="s">
        <v>233</v>
      </c>
      <c r="C311" s="44" t="s">
        <v>73</v>
      </c>
      <c r="D311" s="85">
        <v>10104895025</v>
      </c>
      <c r="E311" s="44" t="s">
        <v>1070</v>
      </c>
      <c r="F311" s="44" t="s">
        <v>887</v>
      </c>
      <c r="G311" s="44" t="s">
        <v>286</v>
      </c>
      <c r="H311" s="44" t="s">
        <v>74</v>
      </c>
      <c r="I311" s="45">
        <v>42767</v>
      </c>
      <c r="J311" s="45">
        <v>42767</v>
      </c>
      <c r="K311" s="45"/>
      <c r="L311" s="45"/>
    </row>
    <row r="312" spans="1:12" ht="17.100000000000001" customHeight="1">
      <c r="A312" s="43" t="s">
        <v>232</v>
      </c>
      <c r="B312" s="44" t="s">
        <v>233</v>
      </c>
      <c r="C312" s="44" t="s">
        <v>73</v>
      </c>
      <c r="D312" s="85">
        <v>10104939503</v>
      </c>
      <c r="E312" s="44" t="s">
        <v>285</v>
      </c>
      <c r="F312" s="44" t="s">
        <v>596</v>
      </c>
      <c r="G312" s="44" t="s">
        <v>286</v>
      </c>
      <c r="H312" s="44" t="s">
        <v>250</v>
      </c>
      <c r="I312" s="45">
        <v>42777</v>
      </c>
      <c r="J312" s="45">
        <v>42777</v>
      </c>
      <c r="K312" s="45"/>
      <c r="L312" s="45"/>
    </row>
    <row r="313" spans="1:12" ht="17.100000000000001" customHeight="1">
      <c r="A313" s="43" t="s">
        <v>232</v>
      </c>
      <c r="B313" s="44" t="s">
        <v>233</v>
      </c>
      <c r="C313" s="44" t="s">
        <v>73</v>
      </c>
      <c r="D313" s="85">
        <v>10104930709</v>
      </c>
      <c r="E313" s="44" t="s">
        <v>287</v>
      </c>
      <c r="F313" s="44" t="s">
        <v>596</v>
      </c>
      <c r="G313" s="44" t="s">
        <v>288</v>
      </c>
      <c r="H313" s="44" t="s">
        <v>250</v>
      </c>
      <c r="I313" s="45">
        <v>42770</v>
      </c>
      <c r="J313" s="45">
        <v>42770</v>
      </c>
      <c r="K313" s="45"/>
      <c r="L313" s="45"/>
    </row>
    <row r="314" spans="1:12" ht="17.100000000000001" customHeight="1">
      <c r="A314" s="43" t="s">
        <v>232</v>
      </c>
      <c r="B314" s="44" t="s">
        <v>233</v>
      </c>
      <c r="C314" s="44" t="s">
        <v>73</v>
      </c>
      <c r="D314" s="85">
        <v>10104895026</v>
      </c>
      <c r="E314" s="44" t="s">
        <v>1071</v>
      </c>
      <c r="F314" s="44" t="s">
        <v>887</v>
      </c>
      <c r="G314" s="44" t="s">
        <v>288</v>
      </c>
      <c r="H314" s="44" t="s">
        <v>74</v>
      </c>
      <c r="I314" s="45">
        <v>42767</v>
      </c>
      <c r="J314" s="45">
        <v>42767</v>
      </c>
      <c r="K314" s="45"/>
      <c r="L314" s="45"/>
    </row>
    <row r="315" spans="1:12" ht="17.100000000000001" customHeight="1">
      <c r="A315" s="43" t="s">
        <v>232</v>
      </c>
      <c r="B315" s="44" t="s">
        <v>233</v>
      </c>
      <c r="C315" s="44" t="s">
        <v>73</v>
      </c>
      <c r="D315" s="85">
        <v>10104947710</v>
      </c>
      <c r="E315" s="44" t="s">
        <v>287</v>
      </c>
      <c r="F315" s="44" t="s">
        <v>596</v>
      </c>
      <c r="G315" s="44" t="s">
        <v>288</v>
      </c>
      <c r="H315" s="44" t="s">
        <v>250</v>
      </c>
      <c r="I315" s="45">
        <v>42784</v>
      </c>
      <c r="J315" s="45">
        <v>42784</v>
      </c>
      <c r="K315" s="45"/>
      <c r="L315" s="45"/>
    </row>
    <row r="316" spans="1:12" ht="17.100000000000001" customHeight="1">
      <c r="A316" s="43" t="s">
        <v>232</v>
      </c>
      <c r="B316" s="44" t="s">
        <v>233</v>
      </c>
      <c r="C316" s="44" t="s">
        <v>73</v>
      </c>
      <c r="D316" s="85">
        <v>10104906811</v>
      </c>
      <c r="E316" s="44" t="s">
        <v>1072</v>
      </c>
      <c r="F316" s="44" t="s">
        <v>596</v>
      </c>
      <c r="G316" s="44" t="s">
        <v>290</v>
      </c>
      <c r="H316" s="44" t="s">
        <v>74</v>
      </c>
      <c r="I316" s="45">
        <v>42774</v>
      </c>
      <c r="J316" s="45">
        <v>42774</v>
      </c>
      <c r="K316" s="45"/>
      <c r="L316" s="45"/>
    </row>
    <row r="317" spans="1:12" ht="17.100000000000001" customHeight="1">
      <c r="A317" s="43" t="s">
        <v>232</v>
      </c>
      <c r="B317" s="44" t="s">
        <v>233</v>
      </c>
      <c r="C317" s="44" t="s">
        <v>73</v>
      </c>
      <c r="D317" s="85">
        <v>10104956187</v>
      </c>
      <c r="E317" s="44" t="s">
        <v>289</v>
      </c>
      <c r="F317" s="44" t="s">
        <v>596</v>
      </c>
      <c r="G317" s="44" t="s">
        <v>290</v>
      </c>
      <c r="H317" s="44" t="s">
        <v>250</v>
      </c>
      <c r="I317" s="45">
        <v>42791</v>
      </c>
      <c r="J317" s="45">
        <v>42791</v>
      </c>
      <c r="K317" s="45"/>
      <c r="L317" s="45"/>
    </row>
    <row r="318" spans="1:12" ht="17.100000000000001" customHeight="1">
      <c r="A318" s="43" t="s">
        <v>232</v>
      </c>
      <c r="B318" s="44" t="s">
        <v>233</v>
      </c>
      <c r="C318" s="44" t="s">
        <v>73</v>
      </c>
      <c r="D318" s="85">
        <v>10104939504</v>
      </c>
      <c r="E318" s="44" t="s">
        <v>289</v>
      </c>
      <c r="F318" s="44" t="s">
        <v>596</v>
      </c>
      <c r="G318" s="44" t="s">
        <v>290</v>
      </c>
      <c r="H318" s="44" t="s">
        <v>250</v>
      </c>
      <c r="I318" s="45">
        <v>42777</v>
      </c>
      <c r="J318" s="45">
        <v>42777</v>
      </c>
      <c r="K318" s="45"/>
      <c r="L318" s="45"/>
    </row>
    <row r="319" spans="1:12" ht="17.100000000000001" customHeight="1">
      <c r="A319" s="43" t="s">
        <v>232</v>
      </c>
      <c r="B319" s="44" t="s">
        <v>451</v>
      </c>
      <c r="C319" s="44" t="s">
        <v>73</v>
      </c>
      <c r="D319" s="85">
        <v>10104906812</v>
      </c>
      <c r="E319" s="44" t="s">
        <v>1073</v>
      </c>
      <c r="F319" s="44" t="s">
        <v>887</v>
      </c>
      <c r="G319" s="44" t="s">
        <v>531</v>
      </c>
      <c r="H319" s="44" t="s">
        <v>74</v>
      </c>
      <c r="I319" s="45">
        <v>42774</v>
      </c>
      <c r="J319" s="45">
        <v>42774</v>
      </c>
      <c r="K319" s="45"/>
      <c r="L319" s="45"/>
    </row>
    <row r="320" spans="1:12" ht="17.100000000000001" customHeight="1">
      <c r="A320" s="43" t="s">
        <v>232</v>
      </c>
      <c r="B320" s="44" t="s">
        <v>451</v>
      </c>
      <c r="C320" s="44" t="s">
        <v>73</v>
      </c>
      <c r="D320" s="85">
        <v>10104947880</v>
      </c>
      <c r="E320" s="44" t="s">
        <v>570</v>
      </c>
      <c r="F320" s="44" t="s">
        <v>887</v>
      </c>
      <c r="G320" s="44" t="s">
        <v>531</v>
      </c>
      <c r="H320" s="44" t="s">
        <v>74</v>
      </c>
      <c r="I320" s="45">
        <v>42784</v>
      </c>
      <c r="J320" s="45">
        <v>42784</v>
      </c>
      <c r="K320" s="45"/>
      <c r="L320" s="45"/>
    </row>
    <row r="321" spans="1:12" ht="17.100000000000001" customHeight="1">
      <c r="A321" s="43" t="s">
        <v>232</v>
      </c>
      <c r="B321" s="44" t="s">
        <v>451</v>
      </c>
      <c r="C321" s="44" t="s">
        <v>73</v>
      </c>
      <c r="D321" s="85">
        <v>10104930945</v>
      </c>
      <c r="E321" s="44" t="s">
        <v>570</v>
      </c>
      <c r="F321" s="44" t="s">
        <v>887</v>
      </c>
      <c r="G321" s="44" t="s">
        <v>531</v>
      </c>
      <c r="H321" s="44" t="s">
        <v>74</v>
      </c>
      <c r="I321" s="45">
        <v>42770</v>
      </c>
      <c r="J321" s="45">
        <v>42770</v>
      </c>
      <c r="K321" s="45"/>
      <c r="L321" s="45"/>
    </row>
    <row r="322" spans="1:12" ht="17.100000000000001" customHeight="1">
      <c r="A322" s="43" t="s">
        <v>232</v>
      </c>
      <c r="B322" s="44" t="s">
        <v>451</v>
      </c>
      <c r="C322" s="44" t="s">
        <v>73</v>
      </c>
      <c r="D322" s="85">
        <v>10104939722</v>
      </c>
      <c r="E322" s="44" t="s">
        <v>570</v>
      </c>
      <c r="F322" s="44" t="s">
        <v>887</v>
      </c>
      <c r="G322" s="44" t="s">
        <v>531</v>
      </c>
      <c r="H322" s="44" t="s">
        <v>74</v>
      </c>
      <c r="I322" s="45">
        <v>42777</v>
      </c>
      <c r="J322" s="45">
        <v>42777</v>
      </c>
      <c r="K322" s="45"/>
      <c r="L322" s="45"/>
    </row>
    <row r="323" spans="1:12" ht="17.100000000000001" customHeight="1">
      <c r="A323" s="43" t="s">
        <v>232</v>
      </c>
      <c r="B323" s="44" t="s">
        <v>451</v>
      </c>
      <c r="C323" s="44" t="s">
        <v>73</v>
      </c>
      <c r="D323" s="85">
        <v>10104956482</v>
      </c>
      <c r="E323" s="44" t="s">
        <v>570</v>
      </c>
      <c r="F323" s="44" t="s">
        <v>887</v>
      </c>
      <c r="G323" s="44" t="s">
        <v>531</v>
      </c>
      <c r="H323" s="44" t="s">
        <v>74</v>
      </c>
      <c r="I323" s="45">
        <v>42791</v>
      </c>
      <c r="J323" s="45">
        <v>42791</v>
      </c>
      <c r="K323" s="45"/>
      <c r="L323" s="45"/>
    </row>
    <row r="324" spans="1:12" ht="17.100000000000001" customHeight="1">
      <c r="A324" s="43" t="s">
        <v>232</v>
      </c>
      <c r="B324" s="44" t="s">
        <v>233</v>
      </c>
      <c r="C324" s="44" t="s">
        <v>73</v>
      </c>
      <c r="D324" s="85">
        <v>10104931675</v>
      </c>
      <c r="E324" s="44" t="s">
        <v>918</v>
      </c>
      <c r="F324" s="44" t="s">
        <v>596</v>
      </c>
      <c r="G324" s="44" t="s">
        <v>919</v>
      </c>
      <c r="H324" s="44" t="s">
        <v>74</v>
      </c>
      <c r="I324" s="45">
        <v>42794</v>
      </c>
      <c r="J324" s="45">
        <v>42794</v>
      </c>
      <c r="K324" s="45"/>
      <c r="L324" s="45"/>
    </row>
    <row r="325" spans="1:12" ht="17.100000000000001" customHeight="1">
      <c r="A325" s="43" t="s">
        <v>232</v>
      </c>
      <c r="B325" s="44" t="s">
        <v>233</v>
      </c>
      <c r="C325" s="44" t="s">
        <v>73</v>
      </c>
      <c r="D325" s="85">
        <v>10104945330</v>
      </c>
      <c r="E325" s="44" t="s">
        <v>291</v>
      </c>
      <c r="F325" s="44" t="s">
        <v>596</v>
      </c>
      <c r="G325" s="44" t="s">
        <v>292</v>
      </c>
      <c r="H325" s="44" t="s">
        <v>74</v>
      </c>
      <c r="I325" s="45">
        <v>42787</v>
      </c>
      <c r="J325" s="45">
        <v>42787</v>
      </c>
      <c r="K325" s="45"/>
      <c r="L325" s="45"/>
    </row>
    <row r="326" spans="1:12" ht="17.100000000000001" customHeight="1">
      <c r="A326" s="43" t="s">
        <v>232</v>
      </c>
      <c r="B326" s="44" t="s">
        <v>233</v>
      </c>
      <c r="C326" s="44" t="s">
        <v>73</v>
      </c>
      <c r="D326" s="85">
        <v>10104911840</v>
      </c>
      <c r="E326" s="44" t="s">
        <v>293</v>
      </c>
      <c r="F326" s="44" t="s">
        <v>596</v>
      </c>
      <c r="G326" s="44" t="s">
        <v>294</v>
      </c>
      <c r="H326" s="44" t="s">
        <v>74</v>
      </c>
      <c r="I326" s="45">
        <v>42777</v>
      </c>
      <c r="J326" s="45">
        <v>42777</v>
      </c>
      <c r="K326" s="45"/>
      <c r="L326" s="45"/>
    </row>
    <row r="327" spans="1:12" ht="17.100000000000001" customHeight="1">
      <c r="A327" s="43" t="s">
        <v>232</v>
      </c>
      <c r="B327" s="44" t="s">
        <v>233</v>
      </c>
      <c r="C327" s="44" t="s">
        <v>73</v>
      </c>
      <c r="D327" s="85">
        <v>10104930715</v>
      </c>
      <c r="E327" s="44" t="s">
        <v>295</v>
      </c>
      <c r="F327" s="44" t="s">
        <v>596</v>
      </c>
      <c r="G327" s="44" t="s">
        <v>296</v>
      </c>
      <c r="H327" s="44" t="s">
        <v>76</v>
      </c>
      <c r="I327" s="45">
        <v>42793</v>
      </c>
      <c r="J327" s="45">
        <v>42793</v>
      </c>
      <c r="K327" s="45"/>
      <c r="L327" s="45"/>
    </row>
    <row r="328" spans="1:12" ht="17.100000000000001" customHeight="1">
      <c r="A328" s="43" t="s">
        <v>232</v>
      </c>
      <c r="B328" s="44" t="s">
        <v>233</v>
      </c>
      <c r="C328" s="44" t="s">
        <v>73</v>
      </c>
      <c r="D328" s="85">
        <v>10104932054</v>
      </c>
      <c r="E328" s="44" t="s">
        <v>753</v>
      </c>
      <c r="F328" s="44" t="s">
        <v>596</v>
      </c>
      <c r="G328" s="44" t="s">
        <v>297</v>
      </c>
      <c r="H328" s="44" t="s">
        <v>74</v>
      </c>
      <c r="I328" s="45">
        <v>42794</v>
      </c>
      <c r="J328" s="45">
        <v>42794</v>
      </c>
      <c r="K328" s="45"/>
      <c r="L328" s="45"/>
    </row>
    <row r="329" spans="1:12" ht="17.100000000000001" customHeight="1">
      <c r="A329" s="43" t="s">
        <v>232</v>
      </c>
      <c r="B329" s="44" t="s">
        <v>233</v>
      </c>
      <c r="C329" s="44" t="s">
        <v>73</v>
      </c>
      <c r="D329" s="85">
        <v>10104911876</v>
      </c>
      <c r="E329" s="44" t="s">
        <v>1074</v>
      </c>
      <c r="F329" s="44" t="s">
        <v>596</v>
      </c>
      <c r="G329" s="44" t="s">
        <v>1075</v>
      </c>
      <c r="H329" s="44" t="s">
        <v>76</v>
      </c>
      <c r="I329" s="45">
        <v>42777</v>
      </c>
      <c r="J329" s="45">
        <v>42777</v>
      </c>
      <c r="K329" s="45"/>
      <c r="L329" s="45"/>
    </row>
    <row r="330" spans="1:12" ht="17.100000000000001" customHeight="1">
      <c r="A330" s="43" t="s">
        <v>232</v>
      </c>
      <c r="B330" s="44" t="s">
        <v>233</v>
      </c>
      <c r="C330" s="44" t="s">
        <v>73</v>
      </c>
      <c r="D330" s="85">
        <v>10104896295</v>
      </c>
      <c r="E330" s="44" t="s">
        <v>1076</v>
      </c>
      <c r="F330" s="44" t="s">
        <v>887</v>
      </c>
      <c r="G330" s="44" t="s">
        <v>830</v>
      </c>
      <c r="H330" s="44" t="s">
        <v>74</v>
      </c>
      <c r="I330" s="45">
        <v>42767</v>
      </c>
      <c r="J330" s="45">
        <v>42767</v>
      </c>
      <c r="K330" s="45"/>
      <c r="L330" s="45"/>
    </row>
    <row r="331" spans="1:12" ht="17.100000000000001" customHeight="1">
      <c r="A331" s="43" t="s">
        <v>232</v>
      </c>
      <c r="B331" s="44" t="s">
        <v>233</v>
      </c>
      <c r="C331" s="44" t="s">
        <v>73</v>
      </c>
      <c r="D331" s="85">
        <v>10104896250</v>
      </c>
      <c r="E331" s="44" t="s">
        <v>1077</v>
      </c>
      <c r="F331" s="44" t="s">
        <v>887</v>
      </c>
      <c r="G331" s="44" t="s">
        <v>299</v>
      </c>
      <c r="H331" s="44" t="s">
        <v>76</v>
      </c>
      <c r="I331" s="45">
        <v>42767</v>
      </c>
      <c r="J331" s="45">
        <v>42767</v>
      </c>
      <c r="K331" s="45"/>
      <c r="L331" s="45"/>
    </row>
    <row r="332" spans="1:12" ht="17.100000000000001" customHeight="1">
      <c r="A332" s="43" t="s">
        <v>232</v>
      </c>
      <c r="B332" s="44" t="s">
        <v>233</v>
      </c>
      <c r="C332" s="44" t="s">
        <v>73</v>
      </c>
      <c r="D332" s="85">
        <v>10104932053</v>
      </c>
      <c r="E332" s="44" t="s">
        <v>298</v>
      </c>
      <c r="F332" s="44" t="s">
        <v>596</v>
      </c>
      <c r="G332" s="44" t="s">
        <v>299</v>
      </c>
      <c r="H332" s="44" t="s">
        <v>74</v>
      </c>
      <c r="I332" s="45">
        <v>42794</v>
      </c>
      <c r="J332" s="45">
        <v>42794</v>
      </c>
      <c r="K332" s="45"/>
      <c r="L332" s="45"/>
    </row>
    <row r="333" spans="1:12" ht="17.100000000000001" customHeight="1">
      <c r="A333" s="43" t="s">
        <v>232</v>
      </c>
      <c r="B333" s="44" t="s">
        <v>233</v>
      </c>
      <c r="C333" s="44" t="s">
        <v>73</v>
      </c>
      <c r="D333" s="85">
        <v>10104932055</v>
      </c>
      <c r="E333" s="44" t="s">
        <v>300</v>
      </c>
      <c r="F333" s="44" t="s">
        <v>596</v>
      </c>
      <c r="G333" s="44" t="s">
        <v>301</v>
      </c>
      <c r="H333" s="44" t="s">
        <v>74</v>
      </c>
      <c r="I333" s="45">
        <v>42794</v>
      </c>
      <c r="J333" s="45">
        <v>42794</v>
      </c>
      <c r="K333" s="45"/>
      <c r="L333" s="45"/>
    </row>
    <row r="334" spans="1:12" ht="17.100000000000001" customHeight="1">
      <c r="A334" s="43" t="s">
        <v>232</v>
      </c>
      <c r="B334" s="44" t="s">
        <v>233</v>
      </c>
      <c r="C334" s="44" t="s">
        <v>73</v>
      </c>
      <c r="D334" s="85">
        <v>10104932056</v>
      </c>
      <c r="E334" s="44" t="s">
        <v>302</v>
      </c>
      <c r="F334" s="44" t="s">
        <v>596</v>
      </c>
      <c r="G334" s="44" t="s">
        <v>303</v>
      </c>
      <c r="H334" s="44" t="s">
        <v>74</v>
      </c>
      <c r="I334" s="45">
        <v>42794</v>
      </c>
      <c r="J334" s="45">
        <v>42794</v>
      </c>
      <c r="K334" s="45"/>
      <c r="L334" s="45"/>
    </row>
    <row r="335" spans="1:12" ht="17.100000000000001" customHeight="1">
      <c r="A335" s="43" t="s">
        <v>232</v>
      </c>
      <c r="B335" s="44" t="s">
        <v>233</v>
      </c>
      <c r="C335" s="44" t="s">
        <v>73</v>
      </c>
      <c r="D335" s="85">
        <v>10104932016</v>
      </c>
      <c r="E335" s="44" t="s">
        <v>513</v>
      </c>
      <c r="F335" s="44" t="s">
        <v>596</v>
      </c>
      <c r="G335" s="44" t="s">
        <v>304</v>
      </c>
      <c r="H335" s="44" t="s">
        <v>74</v>
      </c>
      <c r="I335" s="45">
        <v>42794</v>
      </c>
      <c r="J335" s="45">
        <v>42794</v>
      </c>
      <c r="K335" s="45"/>
      <c r="L335" s="45"/>
    </row>
    <row r="336" spans="1:12" ht="17.100000000000001" customHeight="1">
      <c r="A336" s="43" t="s">
        <v>232</v>
      </c>
      <c r="B336" s="44" t="s">
        <v>233</v>
      </c>
      <c r="C336" s="44" t="s">
        <v>73</v>
      </c>
      <c r="D336" s="85">
        <v>10104932017</v>
      </c>
      <c r="E336" s="44" t="s">
        <v>306</v>
      </c>
      <c r="F336" s="44" t="s">
        <v>596</v>
      </c>
      <c r="G336" s="44" t="s">
        <v>305</v>
      </c>
      <c r="H336" s="44" t="s">
        <v>74</v>
      </c>
      <c r="I336" s="45">
        <v>42794</v>
      </c>
      <c r="J336" s="45">
        <v>42794</v>
      </c>
      <c r="K336" s="45"/>
      <c r="L336" s="45"/>
    </row>
    <row r="337" spans="1:12" ht="17.100000000000001" customHeight="1">
      <c r="A337" s="43" t="s">
        <v>232</v>
      </c>
      <c r="B337" s="44" t="s">
        <v>233</v>
      </c>
      <c r="C337" s="44" t="s">
        <v>73</v>
      </c>
      <c r="D337" s="85">
        <v>10104911394</v>
      </c>
      <c r="E337" s="44" t="s">
        <v>1078</v>
      </c>
      <c r="F337" s="44" t="s">
        <v>596</v>
      </c>
      <c r="G337" s="44" t="s">
        <v>308</v>
      </c>
      <c r="H337" s="44" t="s">
        <v>76</v>
      </c>
      <c r="I337" s="45">
        <v>42774</v>
      </c>
      <c r="J337" s="45">
        <v>42774</v>
      </c>
      <c r="K337" s="45"/>
      <c r="L337" s="45"/>
    </row>
    <row r="338" spans="1:12" ht="17.100000000000001" customHeight="1">
      <c r="A338" s="43" t="s">
        <v>232</v>
      </c>
      <c r="B338" s="44" t="s">
        <v>233</v>
      </c>
      <c r="C338" s="44" t="s">
        <v>73</v>
      </c>
      <c r="D338" s="85">
        <v>10104900289</v>
      </c>
      <c r="E338" s="44" t="s">
        <v>307</v>
      </c>
      <c r="F338" s="44" t="s">
        <v>887</v>
      </c>
      <c r="G338" s="44" t="s">
        <v>308</v>
      </c>
      <c r="H338" s="44" t="s">
        <v>74</v>
      </c>
      <c r="I338" s="45">
        <v>42771</v>
      </c>
      <c r="J338" s="45">
        <v>42771</v>
      </c>
      <c r="K338" s="45"/>
      <c r="L338" s="45"/>
    </row>
    <row r="339" spans="1:12" ht="17.100000000000001" customHeight="1">
      <c r="A339" s="43" t="s">
        <v>232</v>
      </c>
      <c r="B339" s="44" t="s">
        <v>233</v>
      </c>
      <c r="C339" s="44" t="s">
        <v>73</v>
      </c>
      <c r="D339" s="85">
        <v>10104949481</v>
      </c>
      <c r="E339" s="44" t="s">
        <v>309</v>
      </c>
      <c r="F339" s="44" t="s">
        <v>596</v>
      </c>
      <c r="G339" s="44" t="s">
        <v>308</v>
      </c>
      <c r="H339" s="44" t="s">
        <v>74</v>
      </c>
      <c r="I339" s="45">
        <v>42784</v>
      </c>
      <c r="J339" s="45">
        <v>42784</v>
      </c>
      <c r="K339" s="45"/>
      <c r="L339" s="45"/>
    </row>
    <row r="340" spans="1:12" ht="17.100000000000001" customHeight="1">
      <c r="A340" s="43" t="s">
        <v>232</v>
      </c>
      <c r="B340" s="44" t="s">
        <v>233</v>
      </c>
      <c r="C340" s="44" t="s">
        <v>73</v>
      </c>
      <c r="D340" s="85">
        <v>10104932625</v>
      </c>
      <c r="E340" s="44" t="s">
        <v>309</v>
      </c>
      <c r="F340" s="44" t="s">
        <v>596</v>
      </c>
      <c r="G340" s="44" t="s">
        <v>308</v>
      </c>
      <c r="H340" s="44" t="s">
        <v>74</v>
      </c>
      <c r="I340" s="45">
        <v>42770</v>
      </c>
      <c r="J340" s="45">
        <v>42770</v>
      </c>
      <c r="K340" s="45"/>
      <c r="L340" s="45"/>
    </row>
    <row r="341" spans="1:12" ht="17.100000000000001" customHeight="1">
      <c r="A341" s="43" t="s">
        <v>232</v>
      </c>
      <c r="B341" s="44" t="s">
        <v>233</v>
      </c>
      <c r="C341" s="44" t="s">
        <v>73</v>
      </c>
      <c r="D341" s="85">
        <v>10104926780</v>
      </c>
      <c r="E341" s="44" t="s">
        <v>1079</v>
      </c>
      <c r="F341" s="44" t="s">
        <v>596</v>
      </c>
      <c r="G341" s="44" t="s">
        <v>1080</v>
      </c>
      <c r="H341" s="44" t="s">
        <v>76</v>
      </c>
      <c r="I341" s="45">
        <v>42787</v>
      </c>
      <c r="J341" s="45">
        <v>42787</v>
      </c>
      <c r="K341" s="45"/>
      <c r="L341" s="45"/>
    </row>
    <row r="342" spans="1:12" ht="17.100000000000001" customHeight="1">
      <c r="A342" s="43" t="s">
        <v>232</v>
      </c>
      <c r="B342" s="44" t="s">
        <v>233</v>
      </c>
      <c r="C342" s="44" t="s">
        <v>73</v>
      </c>
      <c r="D342" s="85">
        <v>10104953365</v>
      </c>
      <c r="E342" s="44" t="s">
        <v>310</v>
      </c>
      <c r="F342" s="44" t="s">
        <v>596</v>
      </c>
      <c r="G342" s="44" t="s">
        <v>311</v>
      </c>
      <c r="H342" s="44" t="s">
        <v>74</v>
      </c>
      <c r="I342" s="45">
        <v>42786</v>
      </c>
      <c r="J342" s="45">
        <v>42786</v>
      </c>
      <c r="K342" s="45"/>
      <c r="L342" s="45"/>
    </row>
    <row r="343" spans="1:12" ht="17.100000000000001" customHeight="1">
      <c r="A343" s="43" t="s">
        <v>232</v>
      </c>
      <c r="B343" s="44" t="s">
        <v>233</v>
      </c>
      <c r="C343" s="44" t="s">
        <v>73</v>
      </c>
      <c r="D343" s="85">
        <v>10104930713</v>
      </c>
      <c r="E343" s="44" t="s">
        <v>312</v>
      </c>
      <c r="F343" s="44" t="s">
        <v>596</v>
      </c>
      <c r="G343" s="44" t="s">
        <v>313</v>
      </c>
      <c r="H343" s="44" t="s">
        <v>74</v>
      </c>
      <c r="I343" s="45">
        <v>42793</v>
      </c>
      <c r="J343" s="45">
        <v>42793</v>
      </c>
      <c r="K343" s="45"/>
      <c r="L343" s="45"/>
    </row>
    <row r="344" spans="1:12" ht="17.100000000000001" customHeight="1">
      <c r="A344" s="43" t="s">
        <v>232</v>
      </c>
      <c r="B344" s="44" t="s">
        <v>233</v>
      </c>
      <c r="C344" s="44" t="s">
        <v>73</v>
      </c>
      <c r="D344" s="85">
        <v>10104928301</v>
      </c>
      <c r="E344" s="44" t="s">
        <v>314</v>
      </c>
      <c r="F344" s="44" t="s">
        <v>596</v>
      </c>
      <c r="G344" s="44" t="s">
        <v>315</v>
      </c>
      <c r="H344" s="44" t="s">
        <v>74</v>
      </c>
      <c r="I344" s="45">
        <v>42769</v>
      </c>
      <c r="J344" s="45">
        <v>42769</v>
      </c>
      <c r="K344" s="45"/>
      <c r="L344" s="45"/>
    </row>
    <row r="345" spans="1:12" ht="17.100000000000001" customHeight="1">
      <c r="A345" s="43" t="s">
        <v>232</v>
      </c>
      <c r="B345" s="44" t="s">
        <v>451</v>
      </c>
      <c r="C345" s="44" t="s">
        <v>73</v>
      </c>
      <c r="D345" s="85">
        <v>10104947747</v>
      </c>
      <c r="E345" s="44" t="s">
        <v>533</v>
      </c>
      <c r="F345" s="44" t="s">
        <v>596</v>
      </c>
      <c r="G345" s="44" t="s">
        <v>315</v>
      </c>
      <c r="H345" s="44" t="s">
        <v>74</v>
      </c>
      <c r="I345" s="45">
        <v>42784</v>
      </c>
      <c r="J345" s="45">
        <v>42784</v>
      </c>
      <c r="K345" s="45"/>
      <c r="L345" s="45"/>
    </row>
    <row r="346" spans="1:12" ht="17.100000000000001" customHeight="1">
      <c r="A346" s="43" t="s">
        <v>232</v>
      </c>
      <c r="B346" s="44" t="s">
        <v>451</v>
      </c>
      <c r="C346" s="44" t="s">
        <v>73</v>
      </c>
      <c r="D346" s="85">
        <v>10104932033</v>
      </c>
      <c r="E346" s="44" t="s">
        <v>533</v>
      </c>
      <c r="F346" s="44" t="s">
        <v>596</v>
      </c>
      <c r="G346" s="44" t="s">
        <v>315</v>
      </c>
      <c r="H346" s="44" t="s">
        <v>74</v>
      </c>
      <c r="I346" s="45">
        <v>42770</v>
      </c>
      <c r="J346" s="45">
        <v>42770</v>
      </c>
      <c r="K346" s="45"/>
      <c r="L346" s="45"/>
    </row>
    <row r="347" spans="1:12" ht="17.100000000000001" customHeight="1">
      <c r="A347" s="43" t="s">
        <v>232</v>
      </c>
      <c r="B347" s="44" t="s">
        <v>233</v>
      </c>
      <c r="C347" s="44" t="s">
        <v>73</v>
      </c>
      <c r="D347" s="85">
        <v>10104938562</v>
      </c>
      <c r="E347" s="44" t="s">
        <v>314</v>
      </c>
      <c r="F347" s="44" t="s">
        <v>596</v>
      </c>
      <c r="G347" s="44" t="s">
        <v>315</v>
      </c>
      <c r="H347" s="44" t="s">
        <v>74</v>
      </c>
      <c r="I347" s="45">
        <v>42783</v>
      </c>
      <c r="J347" s="45">
        <v>42783</v>
      </c>
      <c r="K347" s="45"/>
      <c r="L347" s="45"/>
    </row>
    <row r="348" spans="1:12" ht="17.100000000000001" customHeight="1">
      <c r="A348" s="43" t="s">
        <v>232</v>
      </c>
      <c r="B348" s="44" t="s">
        <v>451</v>
      </c>
      <c r="C348" s="44" t="s">
        <v>73</v>
      </c>
      <c r="D348" s="85">
        <v>10104956296</v>
      </c>
      <c r="E348" s="44" t="s">
        <v>533</v>
      </c>
      <c r="F348" s="44" t="s">
        <v>596</v>
      </c>
      <c r="G348" s="44" t="s">
        <v>315</v>
      </c>
      <c r="H348" s="44" t="s">
        <v>74</v>
      </c>
      <c r="I348" s="45">
        <v>42791</v>
      </c>
      <c r="J348" s="45">
        <v>42791</v>
      </c>
      <c r="K348" s="45"/>
      <c r="L348" s="45"/>
    </row>
    <row r="349" spans="1:12" ht="17.100000000000001" customHeight="1">
      <c r="A349" s="43" t="s">
        <v>232</v>
      </c>
      <c r="B349" s="44" t="s">
        <v>451</v>
      </c>
      <c r="C349" s="44" t="s">
        <v>73</v>
      </c>
      <c r="D349" s="85">
        <v>10104939591</v>
      </c>
      <c r="E349" s="44" t="s">
        <v>533</v>
      </c>
      <c r="F349" s="44" t="s">
        <v>596</v>
      </c>
      <c r="G349" s="44" t="s">
        <v>315</v>
      </c>
      <c r="H349" s="44" t="s">
        <v>74</v>
      </c>
      <c r="I349" s="45">
        <v>42777</v>
      </c>
      <c r="J349" s="45">
        <v>42777</v>
      </c>
      <c r="K349" s="45"/>
      <c r="L349" s="45"/>
    </row>
    <row r="350" spans="1:12" ht="17.100000000000001" customHeight="1">
      <c r="A350" s="43" t="s">
        <v>232</v>
      </c>
      <c r="B350" s="44" t="s">
        <v>451</v>
      </c>
      <c r="C350" s="44" t="s">
        <v>73</v>
      </c>
      <c r="D350" s="85">
        <v>10104939750</v>
      </c>
      <c r="E350" s="44" t="s">
        <v>541</v>
      </c>
      <c r="F350" s="44" t="s">
        <v>887</v>
      </c>
      <c r="G350" s="44" t="s">
        <v>347</v>
      </c>
      <c r="H350" s="44" t="s">
        <v>74</v>
      </c>
      <c r="I350" s="45">
        <v>42777</v>
      </c>
      <c r="J350" s="45">
        <v>42777</v>
      </c>
      <c r="K350" s="45"/>
      <c r="L350" s="45"/>
    </row>
    <row r="351" spans="1:12" ht="17.100000000000001" customHeight="1">
      <c r="A351" s="43" t="s">
        <v>232</v>
      </c>
      <c r="B351" s="44" t="s">
        <v>451</v>
      </c>
      <c r="C351" s="44" t="s">
        <v>73</v>
      </c>
      <c r="D351" s="85">
        <v>10104930976</v>
      </c>
      <c r="E351" s="44" t="s">
        <v>541</v>
      </c>
      <c r="F351" s="44" t="s">
        <v>887</v>
      </c>
      <c r="G351" s="44" t="s">
        <v>347</v>
      </c>
      <c r="H351" s="44" t="s">
        <v>74</v>
      </c>
      <c r="I351" s="45">
        <v>42770</v>
      </c>
      <c r="J351" s="45">
        <v>42770</v>
      </c>
      <c r="K351" s="45"/>
      <c r="L351" s="45"/>
    </row>
    <row r="352" spans="1:12" ht="17.100000000000001" customHeight="1">
      <c r="A352" s="43" t="s">
        <v>232</v>
      </c>
      <c r="B352" s="44" t="s">
        <v>451</v>
      </c>
      <c r="C352" s="44" t="s">
        <v>73</v>
      </c>
      <c r="D352" s="85">
        <v>10104956503</v>
      </c>
      <c r="E352" s="44" t="s">
        <v>541</v>
      </c>
      <c r="F352" s="44" t="s">
        <v>887</v>
      </c>
      <c r="G352" s="44" t="s">
        <v>347</v>
      </c>
      <c r="H352" s="44" t="s">
        <v>74</v>
      </c>
      <c r="I352" s="45">
        <v>42791</v>
      </c>
      <c r="J352" s="45">
        <v>42791</v>
      </c>
      <c r="K352" s="45"/>
      <c r="L352" s="45"/>
    </row>
    <row r="353" spans="1:12" ht="17.100000000000001" customHeight="1">
      <c r="A353" s="43" t="s">
        <v>232</v>
      </c>
      <c r="B353" s="44" t="s">
        <v>451</v>
      </c>
      <c r="C353" s="44" t="s">
        <v>73</v>
      </c>
      <c r="D353" s="85">
        <v>10104947905</v>
      </c>
      <c r="E353" s="44" t="s">
        <v>541</v>
      </c>
      <c r="F353" s="44" t="s">
        <v>887</v>
      </c>
      <c r="G353" s="44" t="s">
        <v>347</v>
      </c>
      <c r="H353" s="44" t="s">
        <v>74</v>
      </c>
      <c r="I353" s="45">
        <v>42784</v>
      </c>
      <c r="J353" s="45">
        <v>42784</v>
      </c>
      <c r="K353" s="45"/>
      <c r="L353" s="45"/>
    </row>
    <row r="354" spans="1:12" ht="17.100000000000001" customHeight="1">
      <c r="A354" s="43" t="s">
        <v>232</v>
      </c>
      <c r="B354" s="44" t="s">
        <v>233</v>
      </c>
      <c r="C354" s="44" t="s">
        <v>73</v>
      </c>
      <c r="D354" s="85">
        <v>10104914430</v>
      </c>
      <c r="E354" s="44" t="s">
        <v>316</v>
      </c>
      <c r="F354" s="44" t="s">
        <v>180</v>
      </c>
      <c r="G354" s="44" t="s">
        <v>317</v>
      </c>
      <c r="H354" s="44" t="s">
        <v>74</v>
      </c>
      <c r="I354" s="45">
        <v>42779</v>
      </c>
      <c r="J354" s="45">
        <v>42789</v>
      </c>
      <c r="K354" s="45">
        <v>42787</v>
      </c>
      <c r="L354" s="45"/>
    </row>
    <row r="355" spans="1:12" ht="17.100000000000001" customHeight="1">
      <c r="A355" s="43" t="s">
        <v>232</v>
      </c>
      <c r="B355" s="44" t="s">
        <v>233</v>
      </c>
      <c r="C355" s="44" t="s">
        <v>73</v>
      </c>
      <c r="D355" s="85">
        <v>10104899251</v>
      </c>
      <c r="E355" s="44" t="s">
        <v>318</v>
      </c>
      <c r="F355" s="44" t="s">
        <v>180</v>
      </c>
      <c r="G355" s="44" t="s">
        <v>319</v>
      </c>
      <c r="H355" s="44" t="s">
        <v>129</v>
      </c>
      <c r="I355" s="45">
        <v>42770</v>
      </c>
      <c r="J355" s="45">
        <v>42789</v>
      </c>
      <c r="K355" s="45">
        <v>42787</v>
      </c>
      <c r="L355" s="45"/>
    </row>
    <row r="356" spans="1:12" ht="17.100000000000001" customHeight="1">
      <c r="A356" s="43" t="s">
        <v>232</v>
      </c>
      <c r="B356" s="44" t="s">
        <v>233</v>
      </c>
      <c r="C356" s="44" t="s">
        <v>73</v>
      </c>
      <c r="D356" s="85">
        <v>10104947878</v>
      </c>
      <c r="E356" s="44" t="s">
        <v>893</v>
      </c>
      <c r="F356" s="44" t="s">
        <v>180</v>
      </c>
      <c r="G356" s="44" t="s">
        <v>894</v>
      </c>
      <c r="H356" s="44" t="s">
        <v>76</v>
      </c>
      <c r="I356" s="45">
        <v>42789</v>
      </c>
      <c r="J356" s="45">
        <v>42789</v>
      </c>
      <c r="K356" s="45">
        <v>42787</v>
      </c>
      <c r="L356" s="45"/>
    </row>
    <row r="357" spans="1:12" ht="17.100000000000001" customHeight="1">
      <c r="A357" s="43" t="s">
        <v>232</v>
      </c>
      <c r="B357" s="44" t="s">
        <v>233</v>
      </c>
      <c r="C357" s="44" t="s">
        <v>73</v>
      </c>
      <c r="D357" s="85">
        <v>10104930943</v>
      </c>
      <c r="E357" s="44" t="s">
        <v>893</v>
      </c>
      <c r="F357" s="44" t="s">
        <v>75</v>
      </c>
      <c r="G357" s="44" t="s">
        <v>894</v>
      </c>
      <c r="H357" s="44" t="s">
        <v>76</v>
      </c>
      <c r="I357" s="45">
        <v>42777</v>
      </c>
      <c r="J357" s="45">
        <v>42789</v>
      </c>
      <c r="K357" s="45">
        <v>42789</v>
      </c>
      <c r="L357" s="45"/>
    </row>
    <row r="358" spans="1:12" ht="17.100000000000001" customHeight="1">
      <c r="A358" s="43" t="s">
        <v>232</v>
      </c>
      <c r="B358" s="44" t="s">
        <v>233</v>
      </c>
      <c r="C358" s="44" t="s">
        <v>73</v>
      </c>
      <c r="D358" s="85">
        <v>10104947879</v>
      </c>
      <c r="E358" s="44" t="s">
        <v>895</v>
      </c>
      <c r="F358" s="44" t="s">
        <v>180</v>
      </c>
      <c r="G358" s="44" t="s">
        <v>896</v>
      </c>
      <c r="H358" s="44" t="s">
        <v>76</v>
      </c>
      <c r="I358" s="45">
        <v>42789</v>
      </c>
      <c r="J358" s="45">
        <v>42789</v>
      </c>
      <c r="K358" s="45">
        <v>42787</v>
      </c>
      <c r="L358" s="45"/>
    </row>
    <row r="359" spans="1:12" ht="17.100000000000001" customHeight="1">
      <c r="A359" s="43" t="s">
        <v>232</v>
      </c>
      <c r="B359" s="44" t="s">
        <v>233</v>
      </c>
      <c r="C359" s="44" t="s">
        <v>73</v>
      </c>
      <c r="D359" s="85">
        <v>10104930944</v>
      </c>
      <c r="E359" s="44" t="s">
        <v>895</v>
      </c>
      <c r="F359" s="44" t="s">
        <v>75</v>
      </c>
      <c r="G359" s="44" t="s">
        <v>896</v>
      </c>
      <c r="H359" s="44" t="s">
        <v>76</v>
      </c>
      <c r="I359" s="45">
        <v>42777</v>
      </c>
      <c r="J359" s="45">
        <v>42789</v>
      </c>
      <c r="K359" s="45">
        <v>42789</v>
      </c>
      <c r="L359" s="45"/>
    </row>
    <row r="360" spans="1:12" ht="17.100000000000001" customHeight="1">
      <c r="A360" s="43" t="s">
        <v>232</v>
      </c>
      <c r="B360" s="44" t="s">
        <v>233</v>
      </c>
      <c r="C360" s="44" t="s">
        <v>73</v>
      </c>
      <c r="D360" s="85">
        <v>10104947894</v>
      </c>
      <c r="E360" s="44" t="s">
        <v>897</v>
      </c>
      <c r="F360" s="44" t="s">
        <v>180</v>
      </c>
      <c r="G360" s="44" t="s">
        <v>321</v>
      </c>
      <c r="H360" s="44" t="s">
        <v>76</v>
      </c>
      <c r="I360" s="45">
        <v>42789</v>
      </c>
      <c r="J360" s="45">
        <v>42789</v>
      </c>
      <c r="K360" s="45">
        <v>42787</v>
      </c>
      <c r="L360" s="45"/>
    </row>
    <row r="361" spans="1:12" ht="17.100000000000001" customHeight="1">
      <c r="A361" s="43" t="s">
        <v>232</v>
      </c>
      <c r="B361" s="44" t="s">
        <v>233</v>
      </c>
      <c r="C361" s="44" t="s">
        <v>73</v>
      </c>
      <c r="D361" s="85">
        <v>10104899264</v>
      </c>
      <c r="E361" s="44" t="s">
        <v>320</v>
      </c>
      <c r="F361" s="44" t="s">
        <v>180</v>
      </c>
      <c r="G361" s="44" t="s">
        <v>321</v>
      </c>
      <c r="H361" s="44" t="s">
        <v>129</v>
      </c>
      <c r="I361" s="45">
        <v>42770</v>
      </c>
      <c r="J361" s="45">
        <v>42789</v>
      </c>
      <c r="K361" s="45">
        <v>42787</v>
      </c>
      <c r="L361" s="45"/>
    </row>
    <row r="362" spans="1:12" ht="17.100000000000001" customHeight="1">
      <c r="A362" s="43" t="s">
        <v>232</v>
      </c>
      <c r="B362" s="44" t="s">
        <v>233</v>
      </c>
      <c r="C362" s="44" t="s">
        <v>73</v>
      </c>
      <c r="D362" s="85">
        <v>10104930961</v>
      </c>
      <c r="E362" s="44" t="s">
        <v>897</v>
      </c>
      <c r="F362" s="44" t="s">
        <v>75</v>
      </c>
      <c r="G362" s="44" t="s">
        <v>321</v>
      </c>
      <c r="H362" s="44" t="s">
        <v>76</v>
      </c>
      <c r="I362" s="45">
        <v>42777</v>
      </c>
      <c r="J362" s="45">
        <v>42789</v>
      </c>
      <c r="K362" s="45">
        <v>42789</v>
      </c>
      <c r="L362" s="45"/>
    </row>
    <row r="363" spans="1:12" ht="17.100000000000001" customHeight="1">
      <c r="A363" s="43" t="s">
        <v>232</v>
      </c>
      <c r="B363" s="44" t="s">
        <v>233</v>
      </c>
      <c r="C363" s="44" t="s">
        <v>73</v>
      </c>
      <c r="D363" s="85">
        <v>10104947877</v>
      </c>
      <c r="E363" s="44" t="s">
        <v>898</v>
      </c>
      <c r="F363" s="44" t="s">
        <v>180</v>
      </c>
      <c r="G363" s="44" t="s">
        <v>323</v>
      </c>
      <c r="H363" s="44" t="s">
        <v>76</v>
      </c>
      <c r="I363" s="45">
        <v>42789</v>
      </c>
      <c r="J363" s="45">
        <v>42789</v>
      </c>
      <c r="K363" s="45">
        <v>42789</v>
      </c>
      <c r="L363" s="45"/>
    </row>
    <row r="364" spans="1:12" ht="17.100000000000001" customHeight="1">
      <c r="A364" s="43" t="s">
        <v>232</v>
      </c>
      <c r="B364" s="44" t="s">
        <v>233</v>
      </c>
      <c r="C364" s="44" t="s">
        <v>73</v>
      </c>
      <c r="D364" s="85">
        <v>10104930942</v>
      </c>
      <c r="E364" s="44" t="s">
        <v>898</v>
      </c>
      <c r="F364" s="44" t="s">
        <v>75</v>
      </c>
      <c r="G364" s="44" t="s">
        <v>323</v>
      </c>
      <c r="H364" s="44" t="s">
        <v>76</v>
      </c>
      <c r="I364" s="45">
        <v>42777</v>
      </c>
      <c r="J364" s="45">
        <v>42789</v>
      </c>
      <c r="K364" s="45">
        <v>42789</v>
      </c>
      <c r="L364" s="45"/>
    </row>
    <row r="365" spans="1:12" ht="17.100000000000001" customHeight="1">
      <c r="A365" s="43" t="s">
        <v>232</v>
      </c>
      <c r="B365" s="44" t="s">
        <v>233</v>
      </c>
      <c r="C365" s="44" t="s">
        <v>73</v>
      </c>
      <c r="D365" s="85">
        <v>10104899216</v>
      </c>
      <c r="E365" s="44" t="s">
        <v>322</v>
      </c>
      <c r="F365" s="44" t="s">
        <v>180</v>
      </c>
      <c r="G365" s="44" t="s">
        <v>323</v>
      </c>
      <c r="H365" s="44" t="s">
        <v>129</v>
      </c>
      <c r="I365" s="45">
        <v>42770</v>
      </c>
      <c r="J365" s="45">
        <v>42789</v>
      </c>
      <c r="K365" s="45">
        <v>42787</v>
      </c>
      <c r="L365" s="45"/>
    </row>
    <row r="366" spans="1:12" ht="17.100000000000001" customHeight="1">
      <c r="A366" s="43" t="s">
        <v>232</v>
      </c>
      <c r="B366" s="44" t="s">
        <v>233</v>
      </c>
      <c r="C366" s="44" t="s">
        <v>120</v>
      </c>
      <c r="D366" s="85">
        <v>10104922367</v>
      </c>
      <c r="E366" s="44" t="s">
        <v>328</v>
      </c>
      <c r="F366" s="44" t="s">
        <v>890</v>
      </c>
      <c r="G366" s="44" t="s">
        <v>325</v>
      </c>
      <c r="H366" s="44" t="s">
        <v>122</v>
      </c>
      <c r="I366" s="45">
        <v>42784</v>
      </c>
      <c r="J366" s="45">
        <v>42784</v>
      </c>
      <c r="K366" s="45"/>
      <c r="L366" s="45"/>
    </row>
    <row r="367" spans="1:12" ht="17.100000000000001" customHeight="1">
      <c r="A367" s="43" t="s">
        <v>232</v>
      </c>
      <c r="B367" s="44" t="s">
        <v>233</v>
      </c>
      <c r="C367" s="44" t="s">
        <v>120</v>
      </c>
      <c r="D367" s="85">
        <v>10104906271</v>
      </c>
      <c r="E367" s="44" t="s">
        <v>324</v>
      </c>
      <c r="F367" s="44" t="s">
        <v>891</v>
      </c>
      <c r="G367" s="44" t="s">
        <v>325</v>
      </c>
      <c r="H367" s="44" t="s">
        <v>122</v>
      </c>
      <c r="I367" s="45">
        <v>42770</v>
      </c>
      <c r="J367" s="45">
        <v>42770</v>
      </c>
      <c r="K367" s="45"/>
      <c r="L367" s="45"/>
    </row>
    <row r="368" spans="1:12" ht="17.100000000000001" customHeight="1">
      <c r="A368" s="43" t="s">
        <v>232</v>
      </c>
      <c r="B368" s="44" t="s">
        <v>233</v>
      </c>
      <c r="C368" s="44" t="s">
        <v>120</v>
      </c>
      <c r="D368" s="85">
        <v>10104914250</v>
      </c>
      <c r="E368" s="44" t="s">
        <v>326</v>
      </c>
      <c r="F368" s="44" t="s">
        <v>890</v>
      </c>
      <c r="G368" s="44" t="s">
        <v>325</v>
      </c>
      <c r="H368" s="44" t="s">
        <v>122</v>
      </c>
      <c r="I368" s="45">
        <v>42777</v>
      </c>
      <c r="J368" s="45">
        <v>42777</v>
      </c>
      <c r="K368" s="45"/>
      <c r="L368" s="45"/>
    </row>
    <row r="369" spans="1:12" ht="17.100000000000001" customHeight="1">
      <c r="A369" s="43" t="s">
        <v>232</v>
      </c>
      <c r="B369" s="44" t="s">
        <v>233</v>
      </c>
      <c r="C369" s="44" t="s">
        <v>120</v>
      </c>
      <c r="D369" s="85">
        <v>10104930734</v>
      </c>
      <c r="E369" s="44" t="s">
        <v>327</v>
      </c>
      <c r="F369" s="44" t="s">
        <v>890</v>
      </c>
      <c r="G369" s="44" t="s">
        <v>325</v>
      </c>
      <c r="H369" s="44" t="s">
        <v>122</v>
      </c>
      <c r="I369" s="45">
        <v>42785</v>
      </c>
      <c r="J369" s="45">
        <v>42785</v>
      </c>
      <c r="K369" s="45"/>
      <c r="L369" s="45"/>
    </row>
    <row r="370" spans="1:12" ht="17.100000000000001" customHeight="1">
      <c r="A370" s="43" t="s">
        <v>232</v>
      </c>
      <c r="B370" s="44" t="s">
        <v>233</v>
      </c>
      <c r="C370" s="44" t="s">
        <v>120</v>
      </c>
      <c r="D370" s="85">
        <v>10104957237</v>
      </c>
      <c r="E370" s="44" t="s">
        <v>327</v>
      </c>
      <c r="F370" s="44" t="s">
        <v>216</v>
      </c>
      <c r="G370" s="44" t="s">
        <v>325</v>
      </c>
      <c r="H370" s="44" t="s">
        <v>122</v>
      </c>
      <c r="I370" s="45">
        <v>42791</v>
      </c>
      <c r="J370" s="45">
        <v>42791</v>
      </c>
      <c r="K370" s="45"/>
      <c r="L370" s="45"/>
    </row>
    <row r="371" spans="1:12" ht="17.100000000000001" customHeight="1">
      <c r="A371" s="43" t="s">
        <v>232</v>
      </c>
      <c r="B371" s="44" t="s">
        <v>899</v>
      </c>
      <c r="C371" s="44" t="s">
        <v>120</v>
      </c>
      <c r="D371" s="85">
        <v>10104906894</v>
      </c>
      <c r="E371" s="44" t="s">
        <v>1081</v>
      </c>
      <c r="F371" s="44" t="s">
        <v>596</v>
      </c>
      <c r="G371" s="44" t="s">
        <v>235</v>
      </c>
      <c r="H371" s="44" t="s">
        <v>131</v>
      </c>
      <c r="I371" s="45">
        <v>42794</v>
      </c>
      <c r="J371" s="45">
        <v>42794</v>
      </c>
      <c r="K371" s="45"/>
      <c r="L371" s="45"/>
    </row>
    <row r="372" spans="1:12" ht="17.100000000000001" customHeight="1">
      <c r="A372" s="43" t="s">
        <v>232</v>
      </c>
      <c r="B372" s="44" t="s">
        <v>233</v>
      </c>
      <c r="C372" s="44" t="s">
        <v>120</v>
      </c>
      <c r="D372" s="85">
        <v>10104895027</v>
      </c>
      <c r="E372" s="44" t="s">
        <v>1082</v>
      </c>
      <c r="F372" s="44" t="s">
        <v>891</v>
      </c>
      <c r="G372" s="44" t="s">
        <v>244</v>
      </c>
      <c r="H372" s="44" t="s">
        <v>703</v>
      </c>
      <c r="I372" s="45">
        <v>42791</v>
      </c>
      <c r="J372" s="45">
        <v>42791</v>
      </c>
      <c r="K372" s="45"/>
      <c r="L372" s="45"/>
    </row>
    <row r="373" spans="1:12" ht="17.100000000000001" customHeight="1">
      <c r="A373" s="43" t="s">
        <v>232</v>
      </c>
      <c r="B373" s="44" t="s">
        <v>899</v>
      </c>
      <c r="C373" s="44" t="s">
        <v>120</v>
      </c>
      <c r="D373" s="85">
        <v>10104906892</v>
      </c>
      <c r="E373" s="44" t="s">
        <v>1083</v>
      </c>
      <c r="F373" s="44" t="s">
        <v>596</v>
      </c>
      <c r="G373" s="44" t="s">
        <v>246</v>
      </c>
      <c r="H373" s="44" t="s">
        <v>131</v>
      </c>
      <c r="I373" s="45">
        <v>42794</v>
      </c>
      <c r="J373" s="45">
        <v>42794</v>
      </c>
      <c r="K373" s="45"/>
      <c r="L373" s="45"/>
    </row>
    <row r="374" spans="1:12" ht="17.100000000000001" customHeight="1">
      <c r="A374" s="43" t="s">
        <v>232</v>
      </c>
      <c r="B374" s="44" t="s">
        <v>233</v>
      </c>
      <c r="C374" s="44" t="s">
        <v>120</v>
      </c>
      <c r="D374" s="85">
        <v>10104946491</v>
      </c>
      <c r="E374" s="44" t="s">
        <v>1084</v>
      </c>
      <c r="F374" s="44" t="s">
        <v>216</v>
      </c>
      <c r="G374" s="44" t="s">
        <v>246</v>
      </c>
      <c r="H374" s="44" t="s">
        <v>130</v>
      </c>
      <c r="I374" s="45">
        <v>42783</v>
      </c>
      <c r="J374" s="45">
        <v>42783</v>
      </c>
      <c r="K374" s="45"/>
      <c r="L374" s="45"/>
    </row>
    <row r="375" spans="1:12" ht="17.100000000000001" customHeight="1">
      <c r="A375" s="43" t="s">
        <v>232</v>
      </c>
      <c r="B375" s="44" t="s">
        <v>233</v>
      </c>
      <c r="C375" s="44" t="s">
        <v>120</v>
      </c>
      <c r="D375" s="85">
        <v>10104931681</v>
      </c>
      <c r="E375" s="44" t="s">
        <v>329</v>
      </c>
      <c r="F375" s="44" t="s">
        <v>216</v>
      </c>
      <c r="G375" s="44" t="s">
        <v>246</v>
      </c>
      <c r="H375" s="44" t="s">
        <v>129</v>
      </c>
      <c r="I375" s="45">
        <v>42794</v>
      </c>
      <c r="J375" s="45">
        <v>42794</v>
      </c>
      <c r="K375" s="45"/>
      <c r="L375" s="45"/>
    </row>
    <row r="376" spans="1:12" ht="17.100000000000001" customHeight="1">
      <c r="A376" s="43" t="s">
        <v>232</v>
      </c>
      <c r="B376" s="44" t="s">
        <v>233</v>
      </c>
      <c r="C376" s="44" t="s">
        <v>120</v>
      </c>
      <c r="D376" s="85">
        <v>10104892269</v>
      </c>
      <c r="E376" s="44" t="s">
        <v>1085</v>
      </c>
      <c r="F376" s="44" t="s">
        <v>890</v>
      </c>
      <c r="G376" s="44" t="s">
        <v>249</v>
      </c>
      <c r="H376" s="44" t="s">
        <v>74</v>
      </c>
      <c r="I376" s="45">
        <v>42793</v>
      </c>
      <c r="J376" s="45">
        <v>42793</v>
      </c>
      <c r="K376" s="45"/>
      <c r="L376" s="45"/>
    </row>
    <row r="377" spans="1:12" ht="17.100000000000001" customHeight="1">
      <c r="A377" s="43" t="s">
        <v>232</v>
      </c>
      <c r="B377" s="44" t="s">
        <v>899</v>
      </c>
      <c r="C377" s="44" t="s">
        <v>120</v>
      </c>
      <c r="D377" s="85">
        <v>10104906891</v>
      </c>
      <c r="E377" s="44" t="s">
        <v>1086</v>
      </c>
      <c r="F377" s="44" t="s">
        <v>596</v>
      </c>
      <c r="G377" s="44" t="s">
        <v>252</v>
      </c>
      <c r="H377" s="44" t="s">
        <v>131</v>
      </c>
      <c r="I377" s="45">
        <v>42794</v>
      </c>
      <c r="J377" s="45">
        <v>42794</v>
      </c>
      <c r="K377" s="45"/>
      <c r="L377" s="45"/>
    </row>
    <row r="378" spans="1:12" ht="17.100000000000001" customHeight="1">
      <c r="A378" s="43" t="s">
        <v>232</v>
      </c>
      <c r="B378" s="44" t="s">
        <v>233</v>
      </c>
      <c r="C378" s="44" t="s">
        <v>120</v>
      </c>
      <c r="D378" s="85">
        <v>10104900239</v>
      </c>
      <c r="E378" s="44" t="s">
        <v>560</v>
      </c>
      <c r="F378" s="44" t="s">
        <v>890</v>
      </c>
      <c r="G378" s="44" t="s">
        <v>252</v>
      </c>
      <c r="H378" s="44" t="s">
        <v>129</v>
      </c>
      <c r="I378" s="45">
        <v>42771</v>
      </c>
      <c r="J378" s="45">
        <v>42771</v>
      </c>
      <c r="K378" s="45"/>
      <c r="L378" s="45"/>
    </row>
    <row r="379" spans="1:12" ht="17.100000000000001" customHeight="1">
      <c r="A379" s="43" t="s">
        <v>232</v>
      </c>
      <c r="B379" s="44" t="s">
        <v>233</v>
      </c>
      <c r="C379" s="44" t="s">
        <v>120</v>
      </c>
      <c r="D379" s="85">
        <v>10104928007</v>
      </c>
      <c r="E379" s="44" t="s">
        <v>1087</v>
      </c>
      <c r="F379" s="44" t="s">
        <v>890</v>
      </c>
      <c r="G379" s="44" t="s">
        <v>252</v>
      </c>
      <c r="H379" s="44" t="s">
        <v>129</v>
      </c>
      <c r="I379" s="45">
        <v>42788</v>
      </c>
      <c r="J379" s="45">
        <v>42788</v>
      </c>
      <c r="K379" s="45"/>
      <c r="L379" s="45"/>
    </row>
    <row r="380" spans="1:12" ht="17.100000000000001" customHeight="1">
      <c r="A380" s="43" t="s">
        <v>232</v>
      </c>
      <c r="B380" s="44" t="s">
        <v>233</v>
      </c>
      <c r="C380" s="44" t="s">
        <v>120</v>
      </c>
      <c r="D380" s="85">
        <v>10104923345</v>
      </c>
      <c r="E380" s="44" t="s">
        <v>639</v>
      </c>
      <c r="F380" s="44" t="s">
        <v>890</v>
      </c>
      <c r="G380" s="44" t="s">
        <v>266</v>
      </c>
      <c r="H380" s="44" t="s">
        <v>129</v>
      </c>
      <c r="I380" s="45">
        <v>42787</v>
      </c>
      <c r="J380" s="45">
        <v>42787</v>
      </c>
      <c r="K380" s="45"/>
      <c r="L380" s="45"/>
    </row>
    <row r="381" spans="1:12" ht="17.100000000000001" customHeight="1">
      <c r="A381" s="43" t="s">
        <v>232</v>
      </c>
      <c r="B381" s="44" t="s">
        <v>899</v>
      </c>
      <c r="C381" s="44" t="s">
        <v>120</v>
      </c>
      <c r="D381" s="85">
        <v>10104897032</v>
      </c>
      <c r="E381" s="44" t="s">
        <v>330</v>
      </c>
      <c r="F381" s="44" t="s">
        <v>596</v>
      </c>
      <c r="G381" s="44" t="s">
        <v>331</v>
      </c>
      <c r="H381" s="44" t="s">
        <v>332</v>
      </c>
      <c r="I381" s="45">
        <v>42794</v>
      </c>
      <c r="J381" s="45">
        <v>42794</v>
      </c>
      <c r="K381" s="45"/>
      <c r="L381" s="45"/>
    </row>
    <row r="382" spans="1:12" ht="17.100000000000001" customHeight="1">
      <c r="A382" s="43" t="s">
        <v>232</v>
      </c>
      <c r="B382" s="44" t="s">
        <v>233</v>
      </c>
      <c r="C382" s="44" t="s">
        <v>120</v>
      </c>
      <c r="D382" s="85">
        <v>10104915888</v>
      </c>
      <c r="E382" s="44" t="s">
        <v>1088</v>
      </c>
      <c r="F382" s="44" t="s">
        <v>890</v>
      </c>
      <c r="G382" s="44" t="s">
        <v>276</v>
      </c>
      <c r="H382" s="44" t="s">
        <v>129</v>
      </c>
      <c r="I382" s="45">
        <v>42778</v>
      </c>
      <c r="J382" s="45">
        <v>42778</v>
      </c>
      <c r="K382" s="45"/>
      <c r="L382" s="45"/>
    </row>
    <row r="383" spans="1:12" ht="17.100000000000001" customHeight="1">
      <c r="A383" s="43" t="s">
        <v>232</v>
      </c>
      <c r="B383" s="44" t="s">
        <v>233</v>
      </c>
      <c r="C383" s="44" t="s">
        <v>120</v>
      </c>
      <c r="D383" s="85">
        <v>10104887553</v>
      </c>
      <c r="E383" s="44" t="s">
        <v>1089</v>
      </c>
      <c r="F383" s="44" t="s">
        <v>216</v>
      </c>
      <c r="G383" s="44" t="s">
        <v>1090</v>
      </c>
      <c r="H383" s="44" t="s">
        <v>76</v>
      </c>
      <c r="I383" s="45">
        <v>42794</v>
      </c>
      <c r="J383" s="45">
        <v>42794</v>
      </c>
      <c r="K383" s="45"/>
      <c r="L383" s="45"/>
    </row>
    <row r="384" spans="1:12" ht="17.100000000000001" customHeight="1">
      <c r="A384" s="43" t="s">
        <v>232</v>
      </c>
      <c r="B384" s="44" t="s">
        <v>233</v>
      </c>
      <c r="C384" s="44" t="s">
        <v>120</v>
      </c>
      <c r="D384" s="85">
        <v>10104869728</v>
      </c>
      <c r="E384" s="44" t="s">
        <v>1091</v>
      </c>
      <c r="F384" s="44" t="s">
        <v>519</v>
      </c>
      <c r="G384" s="44" t="s">
        <v>1090</v>
      </c>
      <c r="H384" s="44" t="s">
        <v>76</v>
      </c>
      <c r="I384" s="45">
        <v>42772</v>
      </c>
      <c r="J384" s="45">
        <v>42772</v>
      </c>
      <c r="K384" s="45"/>
      <c r="L384" s="45"/>
    </row>
    <row r="385" spans="1:12" ht="17.100000000000001" customHeight="1">
      <c r="A385" s="43" t="s">
        <v>232</v>
      </c>
      <c r="B385" s="44" t="s">
        <v>233</v>
      </c>
      <c r="C385" s="44" t="s">
        <v>120</v>
      </c>
      <c r="D385" s="85">
        <v>10104873346</v>
      </c>
      <c r="E385" s="44" t="s">
        <v>1092</v>
      </c>
      <c r="F385" s="44" t="s">
        <v>519</v>
      </c>
      <c r="G385" s="44" t="s">
        <v>281</v>
      </c>
      <c r="H385" s="44" t="s">
        <v>868</v>
      </c>
      <c r="I385" s="45">
        <v>42779</v>
      </c>
      <c r="J385" s="45">
        <v>42779</v>
      </c>
      <c r="K385" s="45"/>
      <c r="L385" s="45"/>
    </row>
    <row r="386" spans="1:12" ht="17.100000000000001" customHeight="1">
      <c r="A386" s="43" t="s">
        <v>232</v>
      </c>
      <c r="B386" s="44" t="s">
        <v>233</v>
      </c>
      <c r="C386" s="44" t="s">
        <v>120</v>
      </c>
      <c r="D386" s="85">
        <v>10104895023</v>
      </c>
      <c r="E386" s="44" t="s">
        <v>1093</v>
      </c>
      <c r="F386" s="44" t="s">
        <v>891</v>
      </c>
      <c r="G386" s="44" t="s">
        <v>281</v>
      </c>
      <c r="H386" s="44" t="s">
        <v>1094</v>
      </c>
      <c r="I386" s="45">
        <v>42791</v>
      </c>
      <c r="J386" s="45">
        <v>42791</v>
      </c>
      <c r="K386" s="45"/>
      <c r="L386" s="45"/>
    </row>
    <row r="387" spans="1:12" ht="17.100000000000001" customHeight="1">
      <c r="A387" s="43" t="s">
        <v>232</v>
      </c>
      <c r="B387" s="44" t="s">
        <v>233</v>
      </c>
      <c r="C387" s="44" t="s">
        <v>120</v>
      </c>
      <c r="D387" s="85">
        <v>10104883634</v>
      </c>
      <c r="E387" s="44" t="s">
        <v>1093</v>
      </c>
      <c r="F387" s="44" t="s">
        <v>216</v>
      </c>
      <c r="G387" s="44" t="s">
        <v>281</v>
      </c>
      <c r="H387" s="44" t="s">
        <v>868</v>
      </c>
      <c r="I387" s="45">
        <v>42848</v>
      </c>
      <c r="J387" s="45">
        <v>42789</v>
      </c>
      <c r="K387" s="45"/>
      <c r="L387" s="45"/>
    </row>
    <row r="388" spans="1:12" ht="17.100000000000001" customHeight="1">
      <c r="A388" s="43" t="s">
        <v>232</v>
      </c>
      <c r="B388" s="44" t="s">
        <v>233</v>
      </c>
      <c r="C388" s="44" t="s">
        <v>120</v>
      </c>
      <c r="D388" s="85">
        <v>10104947709</v>
      </c>
      <c r="E388" s="44" t="s">
        <v>333</v>
      </c>
      <c r="F388" s="44" t="s">
        <v>216</v>
      </c>
      <c r="G388" s="44" t="s">
        <v>281</v>
      </c>
      <c r="H388" s="44" t="s">
        <v>130</v>
      </c>
      <c r="I388" s="45">
        <v>42791</v>
      </c>
      <c r="J388" s="45">
        <v>42791</v>
      </c>
      <c r="K388" s="45"/>
      <c r="L388" s="45"/>
    </row>
    <row r="389" spans="1:12" ht="17.100000000000001" customHeight="1">
      <c r="A389" s="43" t="s">
        <v>232</v>
      </c>
      <c r="B389" s="44" t="s">
        <v>233</v>
      </c>
      <c r="C389" s="44" t="s">
        <v>120</v>
      </c>
      <c r="D389" s="85">
        <v>10104930707</v>
      </c>
      <c r="E389" s="44" t="s">
        <v>333</v>
      </c>
      <c r="F389" s="44" t="s">
        <v>216</v>
      </c>
      <c r="G389" s="44" t="s">
        <v>281</v>
      </c>
      <c r="H389" s="44" t="s">
        <v>130</v>
      </c>
      <c r="I389" s="45">
        <v>42777</v>
      </c>
      <c r="J389" s="45">
        <v>42777</v>
      </c>
      <c r="K389" s="45"/>
      <c r="L389" s="45"/>
    </row>
    <row r="390" spans="1:12" ht="17.100000000000001" customHeight="1">
      <c r="A390" s="43" t="s">
        <v>232</v>
      </c>
      <c r="B390" s="44" t="s">
        <v>233</v>
      </c>
      <c r="C390" s="44" t="s">
        <v>120</v>
      </c>
      <c r="D390" s="85">
        <v>10104930708</v>
      </c>
      <c r="E390" s="44" t="s">
        <v>1095</v>
      </c>
      <c r="F390" s="44" t="s">
        <v>216</v>
      </c>
      <c r="G390" s="44" t="s">
        <v>281</v>
      </c>
      <c r="H390" s="44" t="s">
        <v>129</v>
      </c>
      <c r="I390" s="45">
        <v>42793</v>
      </c>
      <c r="J390" s="45">
        <v>42793</v>
      </c>
      <c r="K390" s="45"/>
      <c r="L390" s="45"/>
    </row>
    <row r="391" spans="1:12" ht="17.100000000000001" customHeight="1">
      <c r="A391" s="43" t="s">
        <v>232</v>
      </c>
      <c r="B391" s="44" t="s">
        <v>899</v>
      </c>
      <c r="C391" s="44" t="s">
        <v>120</v>
      </c>
      <c r="D391" s="85">
        <v>10104866258</v>
      </c>
      <c r="E391" s="44" t="s">
        <v>1096</v>
      </c>
      <c r="F391" s="44" t="s">
        <v>890</v>
      </c>
      <c r="G391" s="44" t="s">
        <v>281</v>
      </c>
      <c r="H391" s="44" t="s">
        <v>130</v>
      </c>
      <c r="I391" s="45">
        <v>42787</v>
      </c>
      <c r="J391" s="45">
        <v>42787</v>
      </c>
      <c r="K391" s="45"/>
      <c r="L391" s="45"/>
    </row>
    <row r="392" spans="1:12" ht="17.100000000000001" customHeight="1">
      <c r="A392" s="43" t="s">
        <v>232</v>
      </c>
      <c r="B392" s="44" t="s">
        <v>233</v>
      </c>
      <c r="C392" s="44" t="s">
        <v>120</v>
      </c>
      <c r="D392" s="85">
        <v>10104938268</v>
      </c>
      <c r="E392" s="44" t="s">
        <v>1097</v>
      </c>
      <c r="F392" s="44" t="s">
        <v>216</v>
      </c>
      <c r="G392" s="44" t="s">
        <v>1098</v>
      </c>
      <c r="H392" s="44" t="s">
        <v>129</v>
      </c>
      <c r="I392" s="45">
        <v>42787</v>
      </c>
      <c r="J392" s="45">
        <v>42787</v>
      </c>
      <c r="K392" s="45"/>
      <c r="L392" s="45"/>
    </row>
    <row r="393" spans="1:12" ht="17.100000000000001" customHeight="1">
      <c r="A393" s="43" t="s">
        <v>232</v>
      </c>
      <c r="B393" s="44" t="s">
        <v>233</v>
      </c>
      <c r="C393" s="44" t="s">
        <v>120</v>
      </c>
      <c r="D393" s="85">
        <v>10104930777</v>
      </c>
      <c r="E393" s="44" t="s">
        <v>334</v>
      </c>
      <c r="F393" s="44" t="s">
        <v>596</v>
      </c>
      <c r="G393" s="44" t="s">
        <v>284</v>
      </c>
      <c r="H393" s="44" t="s">
        <v>76</v>
      </c>
      <c r="I393" s="45">
        <v>42793</v>
      </c>
      <c r="J393" s="45">
        <v>42793</v>
      </c>
      <c r="K393" s="45"/>
      <c r="L393" s="45"/>
    </row>
    <row r="394" spans="1:12" ht="17.100000000000001" customHeight="1">
      <c r="A394" s="43" t="s">
        <v>232</v>
      </c>
      <c r="B394" s="44" t="s">
        <v>233</v>
      </c>
      <c r="C394" s="44" t="s">
        <v>120</v>
      </c>
      <c r="D394" s="85">
        <v>10104895021</v>
      </c>
      <c r="E394" s="44" t="s">
        <v>1099</v>
      </c>
      <c r="F394" s="44" t="s">
        <v>890</v>
      </c>
      <c r="G394" s="44" t="s">
        <v>526</v>
      </c>
      <c r="H394" s="44" t="s">
        <v>703</v>
      </c>
      <c r="I394" s="45">
        <v>42791</v>
      </c>
      <c r="J394" s="45">
        <v>42791</v>
      </c>
      <c r="K394" s="45"/>
      <c r="L394" s="45"/>
    </row>
    <row r="395" spans="1:12" ht="17.100000000000001" customHeight="1">
      <c r="A395" s="43" t="s">
        <v>232</v>
      </c>
      <c r="B395" s="44" t="s">
        <v>899</v>
      </c>
      <c r="C395" s="44" t="s">
        <v>120</v>
      </c>
      <c r="D395" s="85">
        <v>10104906890</v>
      </c>
      <c r="E395" s="44" t="s">
        <v>1100</v>
      </c>
      <c r="F395" s="44" t="s">
        <v>596</v>
      </c>
      <c r="G395" s="44" t="s">
        <v>286</v>
      </c>
      <c r="H395" s="44" t="s">
        <v>1101</v>
      </c>
      <c r="I395" s="45">
        <v>42794</v>
      </c>
      <c r="J395" s="45">
        <v>42794</v>
      </c>
      <c r="K395" s="45"/>
      <c r="L395" s="45"/>
    </row>
    <row r="396" spans="1:12" ht="17.100000000000001" customHeight="1">
      <c r="A396" s="43" t="s">
        <v>232</v>
      </c>
      <c r="B396" s="44" t="s">
        <v>233</v>
      </c>
      <c r="C396" s="44" t="s">
        <v>120</v>
      </c>
      <c r="D396" s="85">
        <v>10104780040</v>
      </c>
      <c r="E396" s="44" t="s">
        <v>1102</v>
      </c>
      <c r="F396" s="44" t="s">
        <v>216</v>
      </c>
      <c r="G396" s="44" t="s">
        <v>286</v>
      </c>
      <c r="H396" s="44" t="s">
        <v>868</v>
      </c>
      <c r="I396" s="45">
        <v>42847</v>
      </c>
      <c r="J396" s="45">
        <v>42788</v>
      </c>
      <c r="K396" s="45"/>
      <c r="L396" s="45"/>
    </row>
    <row r="397" spans="1:12" ht="17.100000000000001" customHeight="1">
      <c r="A397" s="43" t="s">
        <v>232</v>
      </c>
      <c r="B397" s="44" t="s">
        <v>233</v>
      </c>
      <c r="C397" s="44" t="s">
        <v>120</v>
      </c>
      <c r="D397" s="85">
        <v>10104923342</v>
      </c>
      <c r="E397" s="44" t="s">
        <v>335</v>
      </c>
      <c r="F397" s="44" t="s">
        <v>890</v>
      </c>
      <c r="G397" s="44" t="s">
        <v>286</v>
      </c>
      <c r="H397" s="44" t="s">
        <v>129</v>
      </c>
      <c r="I397" s="45">
        <v>42787</v>
      </c>
      <c r="J397" s="45">
        <v>42787</v>
      </c>
      <c r="K397" s="45"/>
      <c r="L397" s="45"/>
    </row>
    <row r="398" spans="1:12" ht="17.100000000000001" customHeight="1">
      <c r="A398" s="43" t="s">
        <v>232</v>
      </c>
      <c r="B398" s="44" t="s">
        <v>233</v>
      </c>
      <c r="C398" s="44" t="s">
        <v>120</v>
      </c>
      <c r="D398" s="85">
        <v>10104847432</v>
      </c>
      <c r="E398" s="44" t="s">
        <v>1103</v>
      </c>
      <c r="F398" s="44" t="s">
        <v>216</v>
      </c>
      <c r="G398" s="44" t="s">
        <v>288</v>
      </c>
      <c r="H398" s="44" t="s">
        <v>1104</v>
      </c>
      <c r="I398" s="45">
        <v>42777</v>
      </c>
      <c r="J398" s="45">
        <v>42777</v>
      </c>
      <c r="K398" s="45"/>
      <c r="L398" s="45"/>
    </row>
    <row r="399" spans="1:12" ht="17.100000000000001" customHeight="1">
      <c r="A399" s="43" t="s">
        <v>232</v>
      </c>
      <c r="B399" s="44" t="s">
        <v>233</v>
      </c>
      <c r="C399" s="44" t="s">
        <v>120</v>
      </c>
      <c r="D399" s="85">
        <v>10104787069</v>
      </c>
      <c r="E399" s="44" t="s">
        <v>1105</v>
      </c>
      <c r="F399" s="44" t="s">
        <v>216</v>
      </c>
      <c r="G399" s="44" t="s">
        <v>288</v>
      </c>
      <c r="H399" s="44" t="s">
        <v>868</v>
      </c>
      <c r="I399" s="45">
        <v>42834</v>
      </c>
      <c r="J399" s="45">
        <v>42775</v>
      </c>
      <c r="K399" s="45"/>
      <c r="L399" s="45"/>
    </row>
    <row r="400" spans="1:12" ht="17.100000000000001" customHeight="1">
      <c r="A400" s="43" t="s">
        <v>232</v>
      </c>
      <c r="B400" s="44" t="s">
        <v>233</v>
      </c>
      <c r="C400" s="44" t="s">
        <v>120</v>
      </c>
      <c r="D400" s="85">
        <v>10104877050</v>
      </c>
      <c r="E400" s="44" t="s">
        <v>1106</v>
      </c>
      <c r="F400" s="44" t="s">
        <v>216</v>
      </c>
      <c r="G400" s="44" t="s">
        <v>290</v>
      </c>
      <c r="H400" s="44" t="s">
        <v>868</v>
      </c>
      <c r="I400" s="45">
        <v>42794</v>
      </c>
      <c r="J400" s="45">
        <v>42794</v>
      </c>
      <c r="K400" s="45"/>
      <c r="L400" s="45"/>
    </row>
    <row r="401" spans="1:12" ht="17.100000000000001" customHeight="1">
      <c r="A401" s="43" t="s">
        <v>232</v>
      </c>
      <c r="B401" s="44" t="s">
        <v>233</v>
      </c>
      <c r="C401" s="44" t="s">
        <v>120</v>
      </c>
      <c r="D401" s="85">
        <v>10104923343</v>
      </c>
      <c r="E401" s="44" t="s">
        <v>336</v>
      </c>
      <c r="F401" s="44" t="s">
        <v>890</v>
      </c>
      <c r="G401" s="44" t="s">
        <v>290</v>
      </c>
      <c r="H401" s="44" t="s">
        <v>129</v>
      </c>
      <c r="I401" s="45">
        <v>42787</v>
      </c>
      <c r="J401" s="45">
        <v>42787</v>
      </c>
      <c r="K401" s="45"/>
      <c r="L401" s="45"/>
    </row>
    <row r="402" spans="1:12" ht="17.100000000000001" customHeight="1">
      <c r="A402" s="43" t="s">
        <v>232</v>
      </c>
      <c r="B402" s="44" t="s">
        <v>899</v>
      </c>
      <c r="C402" s="44" t="s">
        <v>120</v>
      </c>
      <c r="D402" s="85">
        <v>10104906895</v>
      </c>
      <c r="E402" s="44" t="s">
        <v>1107</v>
      </c>
      <c r="F402" s="44" t="s">
        <v>596</v>
      </c>
      <c r="G402" s="44" t="s">
        <v>292</v>
      </c>
      <c r="H402" s="44" t="s">
        <v>131</v>
      </c>
      <c r="I402" s="45">
        <v>42794</v>
      </c>
      <c r="J402" s="45">
        <v>42794</v>
      </c>
      <c r="K402" s="45"/>
      <c r="L402" s="45"/>
    </row>
    <row r="403" spans="1:12" ht="17.100000000000001" customHeight="1">
      <c r="A403" s="43" t="s">
        <v>232</v>
      </c>
      <c r="B403" s="44" t="s">
        <v>233</v>
      </c>
      <c r="C403" s="44" t="s">
        <v>120</v>
      </c>
      <c r="D403" s="85">
        <v>10104911891</v>
      </c>
      <c r="E403" s="44" t="s">
        <v>337</v>
      </c>
      <c r="F403" s="44" t="s">
        <v>890</v>
      </c>
      <c r="G403" s="44" t="s">
        <v>294</v>
      </c>
      <c r="H403" s="44" t="s">
        <v>74</v>
      </c>
      <c r="I403" s="45">
        <v>42777</v>
      </c>
      <c r="J403" s="45">
        <v>42777</v>
      </c>
      <c r="K403" s="45"/>
      <c r="L403" s="45"/>
    </row>
    <row r="404" spans="1:12" ht="17.100000000000001" customHeight="1">
      <c r="A404" s="43" t="s">
        <v>232</v>
      </c>
      <c r="B404" s="44" t="s">
        <v>899</v>
      </c>
      <c r="C404" s="44" t="s">
        <v>120</v>
      </c>
      <c r="D404" s="85">
        <v>10104878756</v>
      </c>
      <c r="E404" s="44" t="s">
        <v>1108</v>
      </c>
      <c r="F404" s="44" t="s">
        <v>180</v>
      </c>
      <c r="G404" s="44" t="s">
        <v>297</v>
      </c>
      <c r="H404" s="44" t="s">
        <v>76</v>
      </c>
      <c r="I404" s="45">
        <v>42781</v>
      </c>
      <c r="J404" s="45">
        <v>42789</v>
      </c>
      <c r="K404" s="45">
        <v>42772</v>
      </c>
      <c r="L404" s="45"/>
    </row>
    <row r="405" spans="1:12" ht="17.100000000000001" customHeight="1">
      <c r="A405" s="43" t="s">
        <v>232</v>
      </c>
      <c r="B405" s="44" t="s">
        <v>233</v>
      </c>
      <c r="C405" s="44" t="s">
        <v>120</v>
      </c>
      <c r="D405" s="85">
        <v>10104896296</v>
      </c>
      <c r="E405" s="44" t="s">
        <v>1109</v>
      </c>
      <c r="F405" s="44" t="s">
        <v>596</v>
      </c>
      <c r="G405" s="44" t="s">
        <v>297</v>
      </c>
      <c r="H405" s="44" t="s">
        <v>332</v>
      </c>
      <c r="I405" s="45">
        <v>42794</v>
      </c>
      <c r="J405" s="45">
        <v>42794</v>
      </c>
      <c r="K405" s="45"/>
      <c r="L405" s="45"/>
    </row>
    <row r="406" spans="1:12" ht="17.100000000000001" customHeight="1">
      <c r="A406" s="43" t="s">
        <v>232</v>
      </c>
      <c r="B406" s="44" t="s">
        <v>899</v>
      </c>
      <c r="C406" s="44" t="s">
        <v>120</v>
      </c>
      <c r="D406" s="85">
        <v>10104937022</v>
      </c>
      <c r="E406" s="44" t="s">
        <v>1110</v>
      </c>
      <c r="F406" s="44" t="s">
        <v>180</v>
      </c>
      <c r="G406" s="44" t="s">
        <v>297</v>
      </c>
      <c r="H406" s="44" t="s">
        <v>76</v>
      </c>
      <c r="I406" s="45">
        <v>42789</v>
      </c>
      <c r="J406" s="45">
        <v>42789</v>
      </c>
      <c r="K406" s="45">
        <v>42782</v>
      </c>
      <c r="L406" s="45"/>
    </row>
    <row r="407" spans="1:12" ht="17.100000000000001" customHeight="1">
      <c r="A407" s="43" t="s">
        <v>232</v>
      </c>
      <c r="B407" s="44" t="s">
        <v>899</v>
      </c>
      <c r="C407" s="44" t="s">
        <v>120</v>
      </c>
      <c r="D407" s="85">
        <v>10104831825</v>
      </c>
      <c r="E407" s="44" t="s">
        <v>1111</v>
      </c>
      <c r="F407" s="44" t="s">
        <v>213</v>
      </c>
      <c r="G407" s="44" t="s">
        <v>1112</v>
      </c>
      <c r="H407" s="44" t="s">
        <v>250</v>
      </c>
      <c r="I407" s="45">
        <v>42789</v>
      </c>
      <c r="J407" s="45">
        <v>42789</v>
      </c>
      <c r="K407" s="45">
        <v>42782</v>
      </c>
      <c r="L407" s="45"/>
    </row>
    <row r="408" spans="1:12" ht="17.100000000000001" customHeight="1">
      <c r="A408" s="43" t="s">
        <v>232</v>
      </c>
      <c r="B408" s="44" t="s">
        <v>233</v>
      </c>
      <c r="C408" s="44" t="s">
        <v>120</v>
      </c>
      <c r="D408" s="85">
        <v>10104896290</v>
      </c>
      <c r="E408" s="44" t="s">
        <v>1113</v>
      </c>
      <c r="F408" s="44" t="s">
        <v>890</v>
      </c>
      <c r="G408" s="44" t="s">
        <v>301</v>
      </c>
      <c r="H408" s="44" t="s">
        <v>74</v>
      </c>
      <c r="I408" s="45">
        <v>42767</v>
      </c>
      <c r="J408" s="45">
        <v>42767</v>
      </c>
      <c r="K408" s="45"/>
      <c r="L408" s="45"/>
    </row>
    <row r="409" spans="1:12" ht="17.100000000000001" customHeight="1">
      <c r="A409" s="43" t="s">
        <v>232</v>
      </c>
      <c r="B409" s="44" t="s">
        <v>233</v>
      </c>
      <c r="C409" s="44" t="s">
        <v>120</v>
      </c>
      <c r="D409" s="85">
        <v>10104923349</v>
      </c>
      <c r="E409" s="44" t="s">
        <v>338</v>
      </c>
      <c r="F409" s="44" t="s">
        <v>890</v>
      </c>
      <c r="G409" s="44" t="s">
        <v>308</v>
      </c>
      <c r="H409" s="44" t="s">
        <v>129</v>
      </c>
      <c r="I409" s="45">
        <v>42787</v>
      </c>
      <c r="J409" s="45">
        <v>42787</v>
      </c>
      <c r="K409" s="45"/>
      <c r="L409" s="45"/>
    </row>
    <row r="410" spans="1:12" ht="17.100000000000001" customHeight="1">
      <c r="A410" s="43" t="s">
        <v>232</v>
      </c>
      <c r="B410" s="44" t="s">
        <v>899</v>
      </c>
      <c r="C410" s="44" t="s">
        <v>120</v>
      </c>
      <c r="D410" s="85">
        <v>10104906893</v>
      </c>
      <c r="E410" s="44" t="s">
        <v>1114</v>
      </c>
      <c r="F410" s="44" t="s">
        <v>596</v>
      </c>
      <c r="G410" s="44" t="s">
        <v>308</v>
      </c>
      <c r="H410" s="44" t="s">
        <v>131</v>
      </c>
      <c r="I410" s="45">
        <v>42794</v>
      </c>
      <c r="J410" s="45">
        <v>42794</v>
      </c>
      <c r="K410" s="45"/>
      <c r="L410" s="45"/>
    </row>
    <row r="411" spans="1:12" ht="17.100000000000001" customHeight="1">
      <c r="A411" s="43" t="s">
        <v>232</v>
      </c>
      <c r="B411" s="44" t="s">
        <v>233</v>
      </c>
      <c r="C411" s="44" t="s">
        <v>120</v>
      </c>
      <c r="D411" s="85">
        <v>10104915896</v>
      </c>
      <c r="E411" s="44" t="s">
        <v>1115</v>
      </c>
      <c r="F411" s="44" t="s">
        <v>890</v>
      </c>
      <c r="G411" s="44" t="s">
        <v>311</v>
      </c>
      <c r="H411" s="44" t="s">
        <v>129</v>
      </c>
      <c r="I411" s="45">
        <v>42778</v>
      </c>
      <c r="J411" s="45">
        <v>42778</v>
      </c>
      <c r="K411" s="45"/>
      <c r="L411" s="45"/>
    </row>
    <row r="412" spans="1:12" ht="17.100000000000001" customHeight="1">
      <c r="A412" s="43" t="s">
        <v>232</v>
      </c>
      <c r="B412" s="44" t="s">
        <v>233</v>
      </c>
      <c r="C412" s="44" t="s">
        <v>120</v>
      </c>
      <c r="D412" s="85">
        <v>10104871869</v>
      </c>
      <c r="E412" s="44" t="s">
        <v>1116</v>
      </c>
      <c r="F412" s="44" t="s">
        <v>890</v>
      </c>
      <c r="G412" s="44" t="s">
        <v>311</v>
      </c>
      <c r="H412" s="44" t="s">
        <v>703</v>
      </c>
      <c r="I412" s="45">
        <v>42768</v>
      </c>
      <c r="J412" s="45">
        <v>42768</v>
      </c>
      <c r="K412" s="45"/>
      <c r="L412" s="45"/>
    </row>
    <row r="413" spans="1:12" ht="17.100000000000001" customHeight="1">
      <c r="A413" s="43" t="s">
        <v>232</v>
      </c>
      <c r="B413" s="44" t="s">
        <v>899</v>
      </c>
      <c r="C413" s="44" t="s">
        <v>120</v>
      </c>
      <c r="D413" s="85">
        <v>10104906896</v>
      </c>
      <c r="E413" s="44" t="s">
        <v>339</v>
      </c>
      <c r="F413" s="44" t="s">
        <v>596</v>
      </c>
      <c r="G413" s="44" t="s">
        <v>311</v>
      </c>
      <c r="H413" s="44" t="s">
        <v>131</v>
      </c>
      <c r="I413" s="45">
        <v>42794</v>
      </c>
      <c r="J413" s="45">
        <v>42794</v>
      </c>
      <c r="K413" s="45"/>
      <c r="L413" s="45"/>
    </row>
    <row r="414" spans="1:12" ht="17.100000000000001" customHeight="1">
      <c r="A414" s="43" t="s">
        <v>232</v>
      </c>
      <c r="B414" s="44" t="s">
        <v>233</v>
      </c>
      <c r="C414" s="44" t="s">
        <v>120</v>
      </c>
      <c r="D414" s="85">
        <v>10104906816</v>
      </c>
      <c r="E414" s="44" t="s">
        <v>1117</v>
      </c>
      <c r="F414" s="44" t="s">
        <v>890</v>
      </c>
      <c r="G414" s="44" t="s">
        <v>311</v>
      </c>
      <c r="H414" s="44" t="s">
        <v>129</v>
      </c>
      <c r="I414" s="45">
        <v>42770</v>
      </c>
      <c r="J414" s="45">
        <v>42770</v>
      </c>
      <c r="K414" s="45"/>
      <c r="L414" s="45"/>
    </row>
    <row r="415" spans="1:12" ht="17.100000000000001" customHeight="1">
      <c r="A415" s="43" t="s">
        <v>232</v>
      </c>
      <c r="B415" s="44" t="s">
        <v>233</v>
      </c>
      <c r="C415" s="44" t="s">
        <v>120</v>
      </c>
      <c r="D415" s="85">
        <v>10104895030</v>
      </c>
      <c r="E415" s="44" t="s">
        <v>1118</v>
      </c>
      <c r="F415" s="44" t="s">
        <v>519</v>
      </c>
      <c r="G415" s="44" t="s">
        <v>311</v>
      </c>
      <c r="H415" s="44" t="s">
        <v>1094</v>
      </c>
      <c r="I415" s="45">
        <v>42850</v>
      </c>
      <c r="J415" s="45">
        <v>42791</v>
      </c>
      <c r="K415" s="45"/>
      <c r="L415" s="45"/>
    </row>
    <row r="416" spans="1:12" ht="17.100000000000001" customHeight="1">
      <c r="A416" s="43" t="s">
        <v>232</v>
      </c>
      <c r="B416" s="44" t="s">
        <v>233</v>
      </c>
      <c r="C416" s="44" t="s">
        <v>120</v>
      </c>
      <c r="D416" s="85">
        <v>10104906815</v>
      </c>
      <c r="E416" s="44" t="s">
        <v>1119</v>
      </c>
      <c r="F416" s="44" t="s">
        <v>890</v>
      </c>
      <c r="G416" s="44" t="s">
        <v>311</v>
      </c>
      <c r="H416" s="44" t="s">
        <v>129</v>
      </c>
      <c r="I416" s="45">
        <v>42770</v>
      </c>
      <c r="J416" s="45">
        <v>42770</v>
      </c>
      <c r="K416" s="45"/>
      <c r="L416" s="45"/>
    </row>
    <row r="417" spans="1:12" ht="17.100000000000001" customHeight="1">
      <c r="A417" s="43" t="s">
        <v>232</v>
      </c>
      <c r="B417" s="44" t="s">
        <v>899</v>
      </c>
      <c r="C417" s="44" t="s">
        <v>120</v>
      </c>
      <c r="D417" s="85">
        <v>10104904658</v>
      </c>
      <c r="E417" s="44" t="s">
        <v>340</v>
      </c>
      <c r="F417" s="44" t="s">
        <v>596</v>
      </c>
      <c r="G417" s="44" t="s">
        <v>313</v>
      </c>
      <c r="H417" s="44" t="s">
        <v>332</v>
      </c>
      <c r="I417" s="45">
        <v>42794</v>
      </c>
      <c r="J417" s="45">
        <v>42794</v>
      </c>
      <c r="K417" s="45"/>
      <c r="L417" s="45"/>
    </row>
    <row r="418" spans="1:12" ht="17.100000000000001" customHeight="1">
      <c r="A418" s="43" t="s">
        <v>232</v>
      </c>
      <c r="B418" s="44" t="s">
        <v>233</v>
      </c>
      <c r="C418" s="44" t="s">
        <v>120</v>
      </c>
      <c r="D418" s="85">
        <v>10104895031</v>
      </c>
      <c r="E418" s="44" t="s">
        <v>1120</v>
      </c>
      <c r="F418" s="44" t="s">
        <v>519</v>
      </c>
      <c r="G418" s="44" t="s">
        <v>313</v>
      </c>
      <c r="H418" s="44" t="s">
        <v>1094</v>
      </c>
      <c r="I418" s="45">
        <v>42850</v>
      </c>
      <c r="J418" s="45">
        <v>42791</v>
      </c>
      <c r="K418" s="45"/>
      <c r="L418" s="45"/>
    </row>
    <row r="419" spans="1:12" ht="17.100000000000001" customHeight="1">
      <c r="A419" s="43" t="s">
        <v>232</v>
      </c>
      <c r="B419" s="44" t="s">
        <v>233</v>
      </c>
      <c r="C419" s="44" t="s">
        <v>120</v>
      </c>
      <c r="D419" s="85">
        <v>10104753274</v>
      </c>
      <c r="E419" s="44" t="s">
        <v>1121</v>
      </c>
      <c r="F419" s="44" t="s">
        <v>891</v>
      </c>
      <c r="G419" s="44" t="s">
        <v>313</v>
      </c>
      <c r="H419" s="44" t="s">
        <v>129</v>
      </c>
      <c r="I419" s="45">
        <v>42794</v>
      </c>
      <c r="J419" s="45">
        <v>42767</v>
      </c>
      <c r="K419" s="45"/>
      <c r="L419" s="45"/>
    </row>
    <row r="420" spans="1:12" ht="17.100000000000001" customHeight="1">
      <c r="A420" s="43" t="s">
        <v>232</v>
      </c>
      <c r="B420" s="44" t="s">
        <v>899</v>
      </c>
      <c r="C420" s="44" t="s">
        <v>120</v>
      </c>
      <c r="D420" s="85">
        <v>10104930714</v>
      </c>
      <c r="E420" s="44" t="s">
        <v>1122</v>
      </c>
      <c r="F420" s="44" t="s">
        <v>890</v>
      </c>
      <c r="G420" s="44" t="s">
        <v>1123</v>
      </c>
      <c r="H420" s="44" t="s">
        <v>868</v>
      </c>
      <c r="I420" s="45">
        <v>42790</v>
      </c>
      <c r="J420" s="45">
        <v>42790</v>
      </c>
      <c r="K420" s="45"/>
      <c r="L420" s="45"/>
    </row>
    <row r="421" spans="1:12" ht="17.100000000000001" customHeight="1">
      <c r="A421" s="43" t="s">
        <v>232</v>
      </c>
      <c r="B421" s="44" t="s">
        <v>899</v>
      </c>
      <c r="C421" s="44" t="s">
        <v>120</v>
      </c>
      <c r="D421" s="85">
        <v>10104873729</v>
      </c>
      <c r="E421" s="44" t="s">
        <v>1124</v>
      </c>
      <c r="F421" s="44" t="s">
        <v>500</v>
      </c>
      <c r="G421" s="44" t="s">
        <v>433</v>
      </c>
      <c r="H421" s="44" t="s">
        <v>76</v>
      </c>
      <c r="I421" s="45">
        <v>42785</v>
      </c>
      <c r="J421" s="45">
        <v>42785</v>
      </c>
      <c r="K421" s="45"/>
      <c r="L421" s="45"/>
    </row>
    <row r="422" spans="1:12" ht="17.100000000000001" customHeight="1">
      <c r="A422" s="43" t="s">
        <v>232</v>
      </c>
      <c r="B422" s="44" t="s">
        <v>233</v>
      </c>
      <c r="C422" s="44" t="s">
        <v>120</v>
      </c>
      <c r="D422" s="85">
        <v>10104930816</v>
      </c>
      <c r="E422" s="44" t="s">
        <v>1125</v>
      </c>
      <c r="F422" s="44" t="s">
        <v>890</v>
      </c>
      <c r="G422" s="44" t="s">
        <v>1126</v>
      </c>
      <c r="H422" s="44" t="s">
        <v>250</v>
      </c>
      <c r="I422" s="45">
        <v>42792</v>
      </c>
      <c r="J422" s="45">
        <v>42792</v>
      </c>
      <c r="K422" s="45"/>
      <c r="L422" s="45"/>
    </row>
    <row r="423" spans="1:12" ht="17.100000000000001" customHeight="1">
      <c r="A423" s="43" t="s">
        <v>232</v>
      </c>
      <c r="B423" s="44" t="s">
        <v>233</v>
      </c>
      <c r="C423" s="44" t="s">
        <v>120</v>
      </c>
      <c r="D423" s="85">
        <v>10104936168</v>
      </c>
      <c r="E423" s="44" t="s">
        <v>1127</v>
      </c>
      <c r="F423" s="44" t="s">
        <v>180</v>
      </c>
      <c r="G423" s="44" t="s">
        <v>1128</v>
      </c>
      <c r="H423" s="44" t="s">
        <v>76</v>
      </c>
      <c r="I423" s="45">
        <v>42794</v>
      </c>
      <c r="J423" s="45">
        <v>42795</v>
      </c>
      <c r="K423" s="45">
        <v>42795</v>
      </c>
      <c r="L423" s="45"/>
    </row>
    <row r="424" spans="1:12" ht="17.100000000000001" customHeight="1">
      <c r="A424" s="43" t="s">
        <v>232</v>
      </c>
      <c r="B424" s="44" t="s">
        <v>233</v>
      </c>
      <c r="C424" s="44" t="s">
        <v>120</v>
      </c>
      <c r="D424" s="85">
        <v>10104557660</v>
      </c>
      <c r="E424" s="44" t="s">
        <v>1129</v>
      </c>
      <c r="F424" s="44" t="s">
        <v>890</v>
      </c>
      <c r="G424" s="44" t="s">
        <v>1128</v>
      </c>
      <c r="H424" s="44" t="s">
        <v>703</v>
      </c>
      <c r="I424" s="45">
        <v>42788</v>
      </c>
      <c r="J424" s="45">
        <v>42788</v>
      </c>
      <c r="K424" s="45"/>
      <c r="L424" s="45"/>
    </row>
    <row r="425" spans="1:12" ht="17.100000000000001" customHeight="1">
      <c r="A425" s="43" t="s">
        <v>232</v>
      </c>
      <c r="B425" s="44" t="s">
        <v>233</v>
      </c>
      <c r="C425" s="44" t="s">
        <v>120</v>
      </c>
      <c r="D425" s="85">
        <v>10104936190</v>
      </c>
      <c r="E425" s="44" t="s">
        <v>1130</v>
      </c>
      <c r="F425" s="44" t="s">
        <v>216</v>
      </c>
      <c r="G425" s="44" t="s">
        <v>1128</v>
      </c>
      <c r="H425" s="44" t="s">
        <v>129</v>
      </c>
      <c r="I425" s="45">
        <v>42792</v>
      </c>
      <c r="J425" s="45">
        <v>42792</v>
      </c>
      <c r="K425" s="45"/>
      <c r="L425" s="45"/>
    </row>
    <row r="426" spans="1:12" ht="17.100000000000001" customHeight="1">
      <c r="A426" s="43" t="s">
        <v>232</v>
      </c>
      <c r="B426" s="44" t="s">
        <v>233</v>
      </c>
      <c r="C426" s="44" t="s">
        <v>120</v>
      </c>
      <c r="D426" s="85">
        <v>10104936135</v>
      </c>
      <c r="E426" s="44" t="s">
        <v>1131</v>
      </c>
      <c r="F426" s="44" t="s">
        <v>180</v>
      </c>
      <c r="G426" s="44" t="s">
        <v>1128</v>
      </c>
      <c r="H426" s="44" t="s">
        <v>1132</v>
      </c>
      <c r="I426" s="45">
        <v>42793</v>
      </c>
      <c r="J426" s="45">
        <v>42795</v>
      </c>
      <c r="K426" s="45">
        <v>42795</v>
      </c>
      <c r="L426" s="45"/>
    </row>
    <row r="427" spans="1:12" ht="17.100000000000001" customHeight="1">
      <c r="A427" s="43" t="s">
        <v>232</v>
      </c>
      <c r="B427" s="44" t="s">
        <v>233</v>
      </c>
      <c r="C427" s="44" t="s">
        <v>120</v>
      </c>
      <c r="D427" s="85">
        <v>10104936177</v>
      </c>
      <c r="E427" s="44" t="s">
        <v>1133</v>
      </c>
      <c r="F427" s="44" t="s">
        <v>216</v>
      </c>
      <c r="G427" s="44" t="s">
        <v>1134</v>
      </c>
      <c r="H427" s="44" t="s">
        <v>74</v>
      </c>
      <c r="I427" s="45">
        <v>42794</v>
      </c>
      <c r="J427" s="45">
        <v>42794</v>
      </c>
      <c r="K427" s="45"/>
      <c r="L427" s="45"/>
    </row>
    <row r="428" spans="1:12" ht="17.100000000000001" customHeight="1">
      <c r="A428" s="43" t="s">
        <v>232</v>
      </c>
      <c r="B428" s="44" t="s">
        <v>233</v>
      </c>
      <c r="C428" s="44" t="s">
        <v>120</v>
      </c>
      <c r="D428" s="85">
        <v>10104936171</v>
      </c>
      <c r="E428" s="44" t="s">
        <v>1135</v>
      </c>
      <c r="F428" s="44" t="s">
        <v>216</v>
      </c>
      <c r="G428" s="44" t="s">
        <v>1136</v>
      </c>
      <c r="H428" s="44" t="s">
        <v>74</v>
      </c>
      <c r="I428" s="45">
        <v>42794</v>
      </c>
      <c r="J428" s="45">
        <v>42794</v>
      </c>
      <c r="K428" s="45"/>
      <c r="L428" s="45"/>
    </row>
    <row r="429" spans="1:12" ht="17.100000000000001" customHeight="1">
      <c r="A429" s="43" t="s">
        <v>232</v>
      </c>
      <c r="B429" s="44" t="s">
        <v>233</v>
      </c>
      <c r="C429" s="44" t="s">
        <v>120</v>
      </c>
      <c r="D429" s="85">
        <v>10104936178</v>
      </c>
      <c r="E429" s="44" t="s">
        <v>1137</v>
      </c>
      <c r="F429" s="44" t="s">
        <v>216</v>
      </c>
      <c r="G429" s="44" t="s">
        <v>1138</v>
      </c>
      <c r="H429" s="44" t="s">
        <v>74</v>
      </c>
      <c r="I429" s="45">
        <v>42794</v>
      </c>
      <c r="J429" s="45">
        <v>42794</v>
      </c>
      <c r="K429" s="45"/>
      <c r="L429" s="45"/>
    </row>
    <row r="430" spans="1:12" ht="17.100000000000001" customHeight="1">
      <c r="A430" s="43" t="s">
        <v>232</v>
      </c>
      <c r="B430" s="44" t="s">
        <v>233</v>
      </c>
      <c r="C430" s="44" t="s">
        <v>120</v>
      </c>
      <c r="D430" s="85">
        <v>10104936161</v>
      </c>
      <c r="E430" s="44" t="s">
        <v>1139</v>
      </c>
      <c r="F430" s="44" t="s">
        <v>180</v>
      </c>
      <c r="G430" s="44" t="s">
        <v>1140</v>
      </c>
      <c r="H430" s="44" t="s">
        <v>76</v>
      </c>
      <c r="I430" s="45">
        <v>42794</v>
      </c>
      <c r="J430" s="45">
        <v>42795</v>
      </c>
      <c r="K430" s="45">
        <v>42795</v>
      </c>
      <c r="L430" s="45"/>
    </row>
    <row r="431" spans="1:12" ht="17.100000000000001" customHeight="1">
      <c r="A431" s="43" t="s">
        <v>232</v>
      </c>
      <c r="B431" s="44" t="s">
        <v>233</v>
      </c>
      <c r="C431" s="44" t="s">
        <v>120</v>
      </c>
      <c r="D431" s="85">
        <v>10104936179</v>
      </c>
      <c r="E431" s="44" t="s">
        <v>1141</v>
      </c>
      <c r="F431" s="44" t="s">
        <v>216</v>
      </c>
      <c r="G431" s="44" t="s">
        <v>1140</v>
      </c>
      <c r="H431" s="44" t="s">
        <v>74</v>
      </c>
      <c r="I431" s="45">
        <v>42794</v>
      </c>
      <c r="J431" s="45">
        <v>42794</v>
      </c>
      <c r="K431" s="45"/>
      <c r="L431" s="45"/>
    </row>
    <row r="432" spans="1:12" ht="17.100000000000001" customHeight="1">
      <c r="A432" s="43" t="s">
        <v>232</v>
      </c>
      <c r="B432" s="44" t="s">
        <v>233</v>
      </c>
      <c r="C432" s="44" t="s">
        <v>120</v>
      </c>
      <c r="D432" s="85">
        <v>10104936137</v>
      </c>
      <c r="E432" s="44" t="s">
        <v>1142</v>
      </c>
      <c r="F432" s="44" t="s">
        <v>213</v>
      </c>
      <c r="G432" s="44" t="s">
        <v>1143</v>
      </c>
      <c r="H432" s="44" t="s">
        <v>76</v>
      </c>
      <c r="I432" s="45">
        <v>42794</v>
      </c>
      <c r="J432" s="45">
        <v>42795</v>
      </c>
      <c r="K432" s="45">
        <v>42795</v>
      </c>
      <c r="L432" s="45"/>
    </row>
    <row r="433" spans="1:12" ht="17.100000000000001" customHeight="1">
      <c r="A433" s="43" t="s">
        <v>232</v>
      </c>
      <c r="B433" s="44" t="s">
        <v>233</v>
      </c>
      <c r="C433" s="44" t="s">
        <v>120</v>
      </c>
      <c r="D433" s="85">
        <v>10104936193</v>
      </c>
      <c r="E433" s="44" t="s">
        <v>1144</v>
      </c>
      <c r="F433" s="44" t="s">
        <v>216</v>
      </c>
      <c r="G433" s="44" t="s">
        <v>1143</v>
      </c>
      <c r="H433" s="44" t="s">
        <v>74</v>
      </c>
      <c r="I433" s="45">
        <v>42794</v>
      </c>
      <c r="J433" s="45">
        <v>42794</v>
      </c>
      <c r="K433" s="45"/>
      <c r="L433" s="45"/>
    </row>
    <row r="434" spans="1:12" ht="17.100000000000001" customHeight="1">
      <c r="A434" s="43" t="s">
        <v>232</v>
      </c>
      <c r="B434" s="44" t="s">
        <v>233</v>
      </c>
      <c r="C434" s="44" t="s">
        <v>120</v>
      </c>
      <c r="D434" s="85">
        <v>10104936181</v>
      </c>
      <c r="E434" s="44" t="s">
        <v>1145</v>
      </c>
      <c r="F434" s="44" t="s">
        <v>216</v>
      </c>
      <c r="G434" s="44" t="s">
        <v>1146</v>
      </c>
      <c r="H434" s="44" t="s">
        <v>74</v>
      </c>
      <c r="I434" s="45">
        <v>42794</v>
      </c>
      <c r="J434" s="45">
        <v>42794</v>
      </c>
      <c r="K434" s="45"/>
      <c r="L434" s="45"/>
    </row>
    <row r="435" spans="1:12" ht="17.100000000000001" customHeight="1">
      <c r="A435" s="43" t="s">
        <v>232</v>
      </c>
      <c r="B435" s="44" t="s">
        <v>233</v>
      </c>
      <c r="C435" s="44" t="s">
        <v>120</v>
      </c>
      <c r="D435" s="85">
        <v>10104936174</v>
      </c>
      <c r="E435" s="44" t="s">
        <v>1147</v>
      </c>
      <c r="F435" s="44" t="s">
        <v>216</v>
      </c>
      <c r="G435" s="44" t="s">
        <v>1148</v>
      </c>
      <c r="H435" s="44" t="s">
        <v>74</v>
      </c>
      <c r="I435" s="45">
        <v>42794</v>
      </c>
      <c r="J435" s="45">
        <v>42794</v>
      </c>
      <c r="K435" s="45"/>
      <c r="L435" s="45"/>
    </row>
    <row r="436" spans="1:12" ht="17.100000000000001" customHeight="1">
      <c r="A436" s="43" t="s">
        <v>232</v>
      </c>
      <c r="B436" s="44" t="s">
        <v>233</v>
      </c>
      <c r="C436" s="44" t="s">
        <v>120</v>
      </c>
      <c r="D436" s="85">
        <v>10104936182</v>
      </c>
      <c r="E436" s="44" t="s">
        <v>1149</v>
      </c>
      <c r="F436" s="44" t="s">
        <v>216</v>
      </c>
      <c r="G436" s="44" t="s">
        <v>1150</v>
      </c>
      <c r="H436" s="44" t="s">
        <v>74</v>
      </c>
      <c r="I436" s="45">
        <v>42794</v>
      </c>
      <c r="J436" s="45">
        <v>42794</v>
      </c>
      <c r="K436" s="45"/>
      <c r="L436" s="45"/>
    </row>
    <row r="437" spans="1:12" ht="17.100000000000001" customHeight="1">
      <c r="A437" s="43" t="s">
        <v>232</v>
      </c>
      <c r="B437" s="44" t="s">
        <v>233</v>
      </c>
      <c r="C437" s="44" t="s">
        <v>120</v>
      </c>
      <c r="D437" s="85">
        <v>10104936183</v>
      </c>
      <c r="E437" s="44" t="s">
        <v>1151</v>
      </c>
      <c r="F437" s="44" t="s">
        <v>216</v>
      </c>
      <c r="G437" s="44" t="s">
        <v>1152</v>
      </c>
      <c r="H437" s="44" t="s">
        <v>74</v>
      </c>
      <c r="I437" s="45">
        <v>42794</v>
      </c>
      <c r="J437" s="45">
        <v>42794</v>
      </c>
      <c r="K437" s="45"/>
      <c r="L437" s="45"/>
    </row>
    <row r="438" spans="1:12" ht="17.100000000000001" customHeight="1">
      <c r="A438" s="43" t="s">
        <v>232</v>
      </c>
      <c r="B438" s="44" t="s">
        <v>233</v>
      </c>
      <c r="C438" s="44" t="s">
        <v>120</v>
      </c>
      <c r="D438" s="85">
        <v>10104936163</v>
      </c>
      <c r="E438" s="44" t="s">
        <v>1153</v>
      </c>
      <c r="F438" s="44" t="s">
        <v>180</v>
      </c>
      <c r="G438" s="44" t="s">
        <v>1152</v>
      </c>
      <c r="H438" s="44" t="s">
        <v>76</v>
      </c>
      <c r="I438" s="45">
        <v>42794</v>
      </c>
      <c r="J438" s="45">
        <v>42795</v>
      </c>
      <c r="K438" s="45">
        <v>42795</v>
      </c>
      <c r="L438" s="45"/>
    </row>
    <row r="439" spans="1:12" ht="17.100000000000001" customHeight="1">
      <c r="A439" s="43" t="s">
        <v>232</v>
      </c>
      <c r="B439" s="44" t="s">
        <v>233</v>
      </c>
      <c r="C439" s="44" t="s">
        <v>120</v>
      </c>
      <c r="D439" s="85">
        <v>10104936192</v>
      </c>
      <c r="E439" s="44" t="s">
        <v>1154</v>
      </c>
      <c r="F439" s="44" t="s">
        <v>216</v>
      </c>
      <c r="G439" s="44" t="s">
        <v>1155</v>
      </c>
      <c r="H439" s="44" t="s">
        <v>74</v>
      </c>
      <c r="I439" s="45">
        <v>42794</v>
      </c>
      <c r="J439" s="45">
        <v>42794</v>
      </c>
      <c r="K439" s="45"/>
      <c r="L439" s="45"/>
    </row>
    <row r="440" spans="1:12" ht="17.100000000000001" customHeight="1">
      <c r="A440" s="43" t="s">
        <v>232</v>
      </c>
      <c r="B440" s="44" t="s">
        <v>233</v>
      </c>
      <c r="C440" s="44" t="s">
        <v>120</v>
      </c>
      <c r="D440" s="85">
        <v>10104936184</v>
      </c>
      <c r="E440" s="44" t="s">
        <v>1156</v>
      </c>
      <c r="F440" s="44" t="s">
        <v>216</v>
      </c>
      <c r="G440" s="44" t="s">
        <v>1157</v>
      </c>
      <c r="H440" s="44" t="s">
        <v>74</v>
      </c>
      <c r="I440" s="45">
        <v>42794</v>
      </c>
      <c r="J440" s="45">
        <v>42794</v>
      </c>
      <c r="K440" s="45"/>
      <c r="L440" s="45"/>
    </row>
    <row r="441" spans="1:12" ht="17.100000000000001" customHeight="1">
      <c r="A441" s="43" t="s">
        <v>232</v>
      </c>
      <c r="B441" s="44" t="s">
        <v>233</v>
      </c>
      <c r="C441" s="44" t="s">
        <v>120</v>
      </c>
      <c r="D441" s="85">
        <v>10104936195</v>
      </c>
      <c r="E441" s="44" t="s">
        <v>1158</v>
      </c>
      <c r="F441" s="44" t="s">
        <v>216</v>
      </c>
      <c r="G441" s="44" t="s">
        <v>1159</v>
      </c>
      <c r="H441" s="44" t="s">
        <v>74</v>
      </c>
      <c r="I441" s="45">
        <v>42794</v>
      </c>
      <c r="J441" s="45">
        <v>42794</v>
      </c>
      <c r="K441" s="45"/>
      <c r="L441" s="45"/>
    </row>
    <row r="442" spans="1:12" ht="17.100000000000001" customHeight="1">
      <c r="A442" s="43" t="s">
        <v>232</v>
      </c>
      <c r="B442" s="44" t="s">
        <v>233</v>
      </c>
      <c r="C442" s="44" t="s">
        <v>120</v>
      </c>
      <c r="D442" s="85">
        <v>10104936196</v>
      </c>
      <c r="E442" s="44" t="s">
        <v>1160</v>
      </c>
      <c r="F442" s="44" t="s">
        <v>216</v>
      </c>
      <c r="G442" s="44" t="s">
        <v>1161</v>
      </c>
      <c r="H442" s="44" t="s">
        <v>74</v>
      </c>
      <c r="I442" s="45">
        <v>42794</v>
      </c>
      <c r="J442" s="45">
        <v>42794</v>
      </c>
      <c r="K442" s="45"/>
      <c r="L442" s="45"/>
    </row>
    <row r="443" spans="1:12" ht="17.100000000000001" customHeight="1">
      <c r="A443" s="43" t="s">
        <v>232</v>
      </c>
      <c r="B443" s="44" t="s">
        <v>233</v>
      </c>
      <c r="C443" s="44" t="s">
        <v>120</v>
      </c>
      <c r="D443" s="85">
        <v>10104936185</v>
      </c>
      <c r="E443" s="44" t="s">
        <v>1162</v>
      </c>
      <c r="F443" s="44" t="s">
        <v>216</v>
      </c>
      <c r="G443" s="44" t="s">
        <v>1163</v>
      </c>
      <c r="H443" s="44" t="s">
        <v>74</v>
      </c>
      <c r="I443" s="45">
        <v>42794</v>
      </c>
      <c r="J443" s="45">
        <v>42794</v>
      </c>
      <c r="K443" s="45"/>
      <c r="L443" s="45"/>
    </row>
    <row r="444" spans="1:12" ht="17.100000000000001" customHeight="1">
      <c r="A444" s="43" t="s">
        <v>232</v>
      </c>
      <c r="B444" s="44" t="s">
        <v>233</v>
      </c>
      <c r="C444" s="44" t="s">
        <v>120</v>
      </c>
      <c r="D444" s="85">
        <v>10104936160</v>
      </c>
      <c r="E444" s="44" t="s">
        <v>1164</v>
      </c>
      <c r="F444" s="44" t="s">
        <v>213</v>
      </c>
      <c r="G444" s="44" t="s">
        <v>1165</v>
      </c>
      <c r="H444" s="44" t="s">
        <v>130</v>
      </c>
      <c r="I444" s="45">
        <v>42794</v>
      </c>
      <c r="J444" s="45">
        <v>42795</v>
      </c>
      <c r="K444" s="45">
        <v>42795</v>
      </c>
      <c r="L444" s="45"/>
    </row>
    <row r="445" spans="1:12" ht="17.100000000000001" customHeight="1">
      <c r="A445" s="43" t="s">
        <v>232</v>
      </c>
      <c r="B445" s="44" t="s">
        <v>233</v>
      </c>
      <c r="C445" s="44" t="s">
        <v>120</v>
      </c>
      <c r="D445" s="85">
        <v>10104936187</v>
      </c>
      <c r="E445" s="44" t="s">
        <v>1166</v>
      </c>
      <c r="F445" s="44" t="s">
        <v>216</v>
      </c>
      <c r="G445" s="44" t="s">
        <v>1165</v>
      </c>
      <c r="H445" s="44" t="s">
        <v>74</v>
      </c>
      <c r="I445" s="45">
        <v>42794</v>
      </c>
      <c r="J445" s="45">
        <v>42794</v>
      </c>
      <c r="K445" s="45"/>
      <c r="L445" s="45"/>
    </row>
    <row r="446" spans="1:12" ht="17.100000000000001" customHeight="1">
      <c r="A446" s="43" t="s">
        <v>232</v>
      </c>
      <c r="B446" s="44" t="s">
        <v>233</v>
      </c>
      <c r="C446" s="44" t="s">
        <v>120</v>
      </c>
      <c r="D446" s="85">
        <v>10104936173</v>
      </c>
      <c r="E446" s="44" t="s">
        <v>1167</v>
      </c>
      <c r="F446" s="44" t="s">
        <v>216</v>
      </c>
      <c r="G446" s="44" t="s">
        <v>1168</v>
      </c>
      <c r="H446" s="44" t="s">
        <v>74</v>
      </c>
      <c r="I446" s="45">
        <v>42794</v>
      </c>
      <c r="J446" s="45">
        <v>42794</v>
      </c>
      <c r="K446" s="45"/>
      <c r="L446" s="45"/>
    </row>
    <row r="447" spans="1:12" ht="17.100000000000001" customHeight="1">
      <c r="A447" s="43" t="s">
        <v>232</v>
      </c>
      <c r="B447" s="44" t="s">
        <v>233</v>
      </c>
      <c r="C447" s="44" t="s">
        <v>120</v>
      </c>
      <c r="D447" s="85">
        <v>10104936164</v>
      </c>
      <c r="E447" s="44" t="s">
        <v>1169</v>
      </c>
      <c r="F447" s="44" t="s">
        <v>213</v>
      </c>
      <c r="G447" s="44" t="s">
        <v>1168</v>
      </c>
      <c r="H447" s="44" t="s">
        <v>76</v>
      </c>
      <c r="I447" s="45">
        <v>42794</v>
      </c>
      <c r="J447" s="45">
        <v>42795</v>
      </c>
      <c r="K447" s="45">
        <v>42795</v>
      </c>
      <c r="L447" s="45"/>
    </row>
    <row r="448" spans="1:12" ht="17.100000000000001" customHeight="1">
      <c r="A448" s="43" t="s">
        <v>232</v>
      </c>
      <c r="B448" s="44" t="s">
        <v>233</v>
      </c>
      <c r="C448" s="44" t="s">
        <v>120</v>
      </c>
      <c r="D448" s="85">
        <v>10104936186</v>
      </c>
      <c r="E448" s="44" t="s">
        <v>1170</v>
      </c>
      <c r="F448" s="44" t="s">
        <v>216</v>
      </c>
      <c r="G448" s="44" t="s">
        <v>1171</v>
      </c>
      <c r="H448" s="44" t="s">
        <v>74</v>
      </c>
      <c r="I448" s="45">
        <v>42794</v>
      </c>
      <c r="J448" s="45">
        <v>42794</v>
      </c>
      <c r="K448" s="45"/>
      <c r="L448" s="45"/>
    </row>
    <row r="449" spans="1:12" ht="17.100000000000001" customHeight="1">
      <c r="A449" s="43" t="s">
        <v>232</v>
      </c>
      <c r="B449" s="44" t="s">
        <v>233</v>
      </c>
      <c r="C449" s="44" t="s">
        <v>120</v>
      </c>
      <c r="D449" s="85">
        <v>10104936191</v>
      </c>
      <c r="E449" s="44" t="s">
        <v>1172</v>
      </c>
      <c r="F449" s="44" t="s">
        <v>216</v>
      </c>
      <c r="G449" s="44" t="s">
        <v>452</v>
      </c>
      <c r="H449" s="44" t="s">
        <v>74</v>
      </c>
      <c r="I449" s="45">
        <v>42794</v>
      </c>
      <c r="J449" s="45">
        <v>42794</v>
      </c>
      <c r="K449" s="45"/>
      <c r="L449" s="45"/>
    </row>
    <row r="450" spans="1:12" ht="17.100000000000001" customHeight="1">
      <c r="A450" s="43" t="s">
        <v>232</v>
      </c>
      <c r="B450" s="44" t="s">
        <v>233</v>
      </c>
      <c r="C450" s="44" t="s">
        <v>120</v>
      </c>
      <c r="D450" s="85">
        <v>10104936189</v>
      </c>
      <c r="E450" s="44" t="s">
        <v>1173</v>
      </c>
      <c r="F450" s="44" t="s">
        <v>216</v>
      </c>
      <c r="G450" s="44" t="s">
        <v>1174</v>
      </c>
      <c r="H450" s="44" t="s">
        <v>129</v>
      </c>
      <c r="I450" s="45">
        <v>42793</v>
      </c>
      <c r="J450" s="45">
        <v>42793</v>
      </c>
      <c r="K450" s="45"/>
      <c r="L450" s="45"/>
    </row>
    <row r="451" spans="1:12" ht="17.100000000000001" customHeight="1">
      <c r="A451" s="43" t="s">
        <v>232</v>
      </c>
      <c r="B451" s="44" t="s">
        <v>233</v>
      </c>
      <c r="C451" s="44" t="s">
        <v>120</v>
      </c>
      <c r="D451" s="85">
        <v>10104506098</v>
      </c>
      <c r="E451" s="44" t="s">
        <v>1175</v>
      </c>
      <c r="F451" s="44" t="s">
        <v>890</v>
      </c>
      <c r="G451" s="44" t="s">
        <v>1174</v>
      </c>
      <c r="H451" s="44" t="s">
        <v>703</v>
      </c>
      <c r="I451" s="45">
        <v>42788</v>
      </c>
      <c r="J451" s="45">
        <v>42788</v>
      </c>
      <c r="K451" s="45"/>
      <c r="L451" s="45"/>
    </row>
    <row r="452" spans="1:12" ht="17.100000000000001" customHeight="1">
      <c r="A452" s="43" t="s">
        <v>232</v>
      </c>
      <c r="B452" s="44" t="s">
        <v>233</v>
      </c>
      <c r="C452" s="44" t="s">
        <v>120</v>
      </c>
      <c r="D452" s="85">
        <v>10104506100</v>
      </c>
      <c r="E452" s="44" t="s">
        <v>1176</v>
      </c>
      <c r="F452" s="44" t="s">
        <v>216</v>
      </c>
      <c r="G452" s="44" t="s">
        <v>1177</v>
      </c>
      <c r="H452" s="44" t="s">
        <v>129</v>
      </c>
      <c r="I452" s="45">
        <v>42788</v>
      </c>
      <c r="J452" s="45">
        <v>42788</v>
      </c>
      <c r="K452" s="45"/>
      <c r="L452" s="45"/>
    </row>
    <row r="453" spans="1:12" ht="17.100000000000001" customHeight="1">
      <c r="A453" s="43" t="s">
        <v>232</v>
      </c>
      <c r="B453" s="44" t="s">
        <v>233</v>
      </c>
      <c r="C453" s="44" t="s">
        <v>120</v>
      </c>
      <c r="D453" s="85">
        <v>10104936188</v>
      </c>
      <c r="E453" s="44" t="s">
        <v>1178</v>
      </c>
      <c r="F453" s="44" t="s">
        <v>216</v>
      </c>
      <c r="G453" s="44" t="s">
        <v>1177</v>
      </c>
      <c r="H453" s="44" t="s">
        <v>130</v>
      </c>
      <c r="I453" s="45">
        <v>42793</v>
      </c>
      <c r="J453" s="45">
        <v>42793</v>
      </c>
      <c r="K453" s="45"/>
      <c r="L453" s="45"/>
    </row>
    <row r="454" spans="1:12" ht="17.100000000000001" customHeight="1">
      <c r="A454" s="43" t="s">
        <v>232</v>
      </c>
      <c r="B454" s="44" t="s">
        <v>233</v>
      </c>
      <c r="C454" s="44" t="s">
        <v>120</v>
      </c>
      <c r="D454" s="85">
        <v>10104936165</v>
      </c>
      <c r="E454" s="44" t="s">
        <v>1179</v>
      </c>
      <c r="F454" s="44" t="s">
        <v>890</v>
      </c>
      <c r="G454" s="44" t="s">
        <v>1180</v>
      </c>
      <c r="H454" s="44" t="s">
        <v>76</v>
      </c>
      <c r="I454" s="45">
        <v>42793</v>
      </c>
      <c r="J454" s="45">
        <v>42793</v>
      </c>
      <c r="K454" s="45"/>
      <c r="L454" s="45"/>
    </row>
    <row r="455" spans="1:12" ht="17.100000000000001" customHeight="1">
      <c r="A455" s="43" t="s">
        <v>232</v>
      </c>
      <c r="B455" s="44" t="s">
        <v>899</v>
      </c>
      <c r="C455" s="44" t="s">
        <v>120</v>
      </c>
      <c r="D455" s="85">
        <v>10104904607</v>
      </c>
      <c r="E455" s="44" t="s">
        <v>1181</v>
      </c>
      <c r="F455" s="44" t="s">
        <v>216</v>
      </c>
      <c r="G455" s="44" t="s">
        <v>705</v>
      </c>
      <c r="H455" s="44" t="s">
        <v>332</v>
      </c>
      <c r="I455" s="45">
        <v>42794</v>
      </c>
      <c r="J455" s="45">
        <v>42794</v>
      </c>
      <c r="K455" s="45"/>
      <c r="L455" s="45"/>
    </row>
    <row r="456" spans="1:12" ht="17.100000000000001" customHeight="1">
      <c r="A456" s="43" t="s">
        <v>232</v>
      </c>
      <c r="B456" s="44" t="s">
        <v>233</v>
      </c>
      <c r="C456" s="44" t="s">
        <v>120</v>
      </c>
      <c r="D456" s="85">
        <v>10104918684</v>
      </c>
      <c r="E456" s="44" t="s">
        <v>704</v>
      </c>
      <c r="F456" s="44" t="s">
        <v>890</v>
      </c>
      <c r="G456" s="44" t="s">
        <v>705</v>
      </c>
      <c r="H456" s="44" t="s">
        <v>122</v>
      </c>
      <c r="I456" s="45">
        <v>42794</v>
      </c>
      <c r="J456" s="45">
        <v>42767</v>
      </c>
      <c r="K456" s="45"/>
      <c r="L456" s="45"/>
    </row>
    <row r="457" spans="1:12" ht="17.100000000000001" customHeight="1">
      <c r="A457" s="43" t="s">
        <v>232</v>
      </c>
      <c r="B457" s="44" t="s">
        <v>899</v>
      </c>
      <c r="C457" s="44" t="s">
        <v>120</v>
      </c>
      <c r="D457" s="85">
        <v>10104866414</v>
      </c>
      <c r="E457" s="44" t="s">
        <v>1182</v>
      </c>
      <c r="F457" s="44" t="s">
        <v>213</v>
      </c>
      <c r="G457" s="44" t="s">
        <v>317</v>
      </c>
      <c r="H457" s="44" t="s">
        <v>130</v>
      </c>
      <c r="I457" s="45">
        <v>42775</v>
      </c>
      <c r="J457" s="45">
        <v>42775</v>
      </c>
      <c r="K457" s="45">
        <v>42767</v>
      </c>
      <c r="L457" s="45"/>
    </row>
    <row r="458" spans="1:12" ht="17.100000000000001" customHeight="1">
      <c r="A458" s="43" t="s">
        <v>232</v>
      </c>
      <c r="B458" s="44" t="s">
        <v>233</v>
      </c>
      <c r="C458" s="44" t="s">
        <v>120</v>
      </c>
      <c r="D458" s="85">
        <v>10104899217</v>
      </c>
      <c r="E458" s="44" t="s">
        <v>706</v>
      </c>
      <c r="F458" s="44" t="s">
        <v>1183</v>
      </c>
      <c r="G458" s="44" t="s">
        <v>319</v>
      </c>
      <c r="H458" s="44" t="s">
        <v>129</v>
      </c>
      <c r="I458" s="45">
        <v>42775</v>
      </c>
      <c r="J458" s="45">
        <v>42767</v>
      </c>
      <c r="K458" s="45">
        <v>42767</v>
      </c>
      <c r="L458" s="45"/>
    </row>
    <row r="459" spans="1:12" ht="17.100000000000001" customHeight="1">
      <c r="A459" s="43" t="s">
        <v>232</v>
      </c>
      <c r="B459" s="44" t="s">
        <v>899</v>
      </c>
      <c r="C459" s="44" t="s">
        <v>120</v>
      </c>
      <c r="D459" s="85">
        <v>10104921309</v>
      </c>
      <c r="E459" s="44" t="s">
        <v>1184</v>
      </c>
      <c r="F459" s="44" t="s">
        <v>213</v>
      </c>
      <c r="G459" s="44" t="s">
        <v>1185</v>
      </c>
      <c r="H459" s="44" t="s">
        <v>130</v>
      </c>
      <c r="I459" s="45">
        <v>42775</v>
      </c>
      <c r="J459" s="45">
        <v>42775</v>
      </c>
      <c r="K459" s="45">
        <v>42767</v>
      </c>
      <c r="L459" s="45"/>
    </row>
    <row r="460" spans="1:12" ht="17.100000000000001" customHeight="1">
      <c r="A460" s="43" t="s">
        <v>232</v>
      </c>
      <c r="B460" s="44" t="s">
        <v>233</v>
      </c>
      <c r="C460" s="44" t="s">
        <v>120</v>
      </c>
      <c r="D460" s="85">
        <v>10104904608</v>
      </c>
      <c r="E460" s="44" t="s">
        <v>1186</v>
      </c>
      <c r="F460" s="44" t="s">
        <v>519</v>
      </c>
      <c r="G460" s="44" t="s">
        <v>894</v>
      </c>
      <c r="H460" s="44" t="s">
        <v>76</v>
      </c>
      <c r="I460" s="45">
        <v>42772</v>
      </c>
      <c r="J460" s="45">
        <v>42772</v>
      </c>
      <c r="K460" s="45"/>
      <c r="L460" s="45"/>
    </row>
    <row r="461" spans="1:12" ht="17.100000000000001" customHeight="1">
      <c r="A461" s="43" t="s">
        <v>232</v>
      </c>
      <c r="B461" s="44" t="s">
        <v>233</v>
      </c>
      <c r="C461" s="44" t="s">
        <v>120</v>
      </c>
      <c r="D461" s="85">
        <v>10104899218</v>
      </c>
      <c r="E461" s="44" t="s">
        <v>341</v>
      </c>
      <c r="F461" s="44" t="s">
        <v>222</v>
      </c>
      <c r="G461" s="44" t="s">
        <v>321</v>
      </c>
      <c r="H461" s="44" t="s">
        <v>129</v>
      </c>
      <c r="I461" s="45">
        <v>42770</v>
      </c>
      <c r="J461" s="45">
        <v>42789</v>
      </c>
      <c r="K461" s="45">
        <v>42789</v>
      </c>
      <c r="L461" s="45"/>
    </row>
    <row r="462" spans="1:12" ht="17.100000000000001" customHeight="1">
      <c r="A462" s="43" t="s">
        <v>232</v>
      </c>
      <c r="B462" s="44" t="s">
        <v>899</v>
      </c>
      <c r="C462" s="44" t="s">
        <v>120</v>
      </c>
      <c r="D462" s="85">
        <v>10104866415</v>
      </c>
      <c r="E462" s="44" t="s">
        <v>1187</v>
      </c>
      <c r="F462" s="44" t="s">
        <v>213</v>
      </c>
      <c r="G462" s="44" t="s">
        <v>321</v>
      </c>
      <c r="H462" s="44" t="s">
        <v>130</v>
      </c>
      <c r="I462" s="45">
        <v>42775</v>
      </c>
      <c r="J462" s="45">
        <v>42775</v>
      </c>
      <c r="K462" s="45">
        <v>42767</v>
      </c>
      <c r="L462" s="45"/>
    </row>
    <row r="463" spans="1:12" ht="17.100000000000001" customHeight="1">
      <c r="A463" s="43" t="s">
        <v>232</v>
      </c>
      <c r="B463" s="44" t="s">
        <v>233</v>
      </c>
      <c r="C463" s="44" t="s">
        <v>120</v>
      </c>
      <c r="D463" s="85">
        <v>10104899257</v>
      </c>
      <c r="E463" s="44" t="s">
        <v>342</v>
      </c>
      <c r="F463" s="44" t="s">
        <v>222</v>
      </c>
      <c r="G463" s="44" t="s">
        <v>323</v>
      </c>
      <c r="H463" s="44" t="s">
        <v>129</v>
      </c>
      <c r="I463" s="45">
        <v>42770</v>
      </c>
      <c r="J463" s="45">
        <v>42789</v>
      </c>
      <c r="K463" s="45">
        <v>42789</v>
      </c>
      <c r="L463" s="45"/>
    </row>
    <row r="464" spans="1:12" ht="17.100000000000001" customHeight="1">
      <c r="A464" s="43" t="s">
        <v>232</v>
      </c>
      <c r="B464" s="44" t="s">
        <v>233</v>
      </c>
      <c r="C464" s="44" t="s">
        <v>120</v>
      </c>
      <c r="D464" s="85">
        <v>10104866418</v>
      </c>
      <c r="E464" s="44" t="s">
        <v>1188</v>
      </c>
      <c r="F464" s="44" t="s">
        <v>890</v>
      </c>
      <c r="G464" s="44" t="s">
        <v>323</v>
      </c>
      <c r="H464" s="44" t="s">
        <v>129</v>
      </c>
      <c r="I464" s="45">
        <v>42794</v>
      </c>
      <c r="J464" s="45">
        <v>42767</v>
      </c>
      <c r="K464" s="45"/>
      <c r="L464" s="45"/>
    </row>
    <row r="465" spans="1:12" ht="17.100000000000001" customHeight="1">
      <c r="A465" s="43" t="s">
        <v>232</v>
      </c>
      <c r="B465" s="44" t="s">
        <v>233</v>
      </c>
      <c r="C465" s="44" t="s">
        <v>120</v>
      </c>
      <c r="D465" s="85">
        <v>10104899263</v>
      </c>
      <c r="E465" s="44" t="s">
        <v>1189</v>
      </c>
      <c r="F465" s="44" t="s">
        <v>519</v>
      </c>
      <c r="G465" s="44" t="s">
        <v>323</v>
      </c>
      <c r="H465" s="44" t="s">
        <v>130</v>
      </c>
      <c r="I465" s="45">
        <v>42770</v>
      </c>
      <c r="J465" s="45">
        <v>42770</v>
      </c>
      <c r="K465" s="45"/>
      <c r="L465" s="45"/>
    </row>
    <row r="466" spans="1:12" ht="17.100000000000001" customHeight="1">
      <c r="A466" s="43" t="s">
        <v>343</v>
      </c>
      <c r="B466" s="44" t="s">
        <v>344</v>
      </c>
      <c r="C466" s="44" t="s">
        <v>73</v>
      </c>
      <c r="D466" s="85">
        <v>10104923876</v>
      </c>
      <c r="E466" s="44" t="s">
        <v>527</v>
      </c>
      <c r="F466" s="44" t="s">
        <v>180</v>
      </c>
      <c r="G466" s="44" t="s">
        <v>345</v>
      </c>
      <c r="H466" s="44" t="s">
        <v>76</v>
      </c>
      <c r="I466" s="45">
        <v>42787</v>
      </c>
      <c r="J466" s="45">
        <v>42790</v>
      </c>
      <c r="K466" s="45">
        <v>42790</v>
      </c>
      <c r="L466" s="45"/>
    </row>
    <row r="467" spans="1:12" ht="17.100000000000001" customHeight="1">
      <c r="A467" s="43" t="s">
        <v>343</v>
      </c>
      <c r="B467" s="44" t="s">
        <v>344</v>
      </c>
      <c r="C467" s="44" t="s">
        <v>73</v>
      </c>
      <c r="D467" s="85">
        <v>10104917237</v>
      </c>
      <c r="E467" s="44" t="s">
        <v>920</v>
      </c>
      <c r="F467" s="44" t="s">
        <v>180</v>
      </c>
      <c r="G467" s="44" t="s">
        <v>345</v>
      </c>
      <c r="H467" s="44" t="s">
        <v>74</v>
      </c>
      <c r="I467" s="45">
        <v>42782</v>
      </c>
      <c r="J467" s="45">
        <v>42790</v>
      </c>
      <c r="K467" s="45">
        <v>42790</v>
      </c>
      <c r="L467" s="45"/>
    </row>
    <row r="468" spans="1:12" ht="17.100000000000001" customHeight="1">
      <c r="A468" s="43" t="s">
        <v>343</v>
      </c>
      <c r="B468" s="44" t="s">
        <v>344</v>
      </c>
      <c r="C468" s="44" t="s">
        <v>120</v>
      </c>
      <c r="D468" s="85">
        <v>10104972969</v>
      </c>
      <c r="E468" s="44" t="s">
        <v>921</v>
      </c>
      <c r="F468" s="44" t="s">
        <v>890</v>
      </c>
      <c r="G468" s="44" t="s">
        <v>922</v>
      </c>
      <c r="H468" s="44" t="s">
        <v>130</v>
      </c>
      <c r="I468" s="45">
        <v>42794</v>
      </c>
      <c r="J468" s="45">
        <v>42767</v>
      </c>
      <c r="K468" s="45"/>
      <c r="L468" s="45"/>
    </row>
    <row r="469" spans="1:12" ht="17.100000000000001" customHeight="1">
      <c r="A469" s="43" t="s">
        <v>343</v>
      </c>
      <c r="B469" s="44" t="s">
        <v>344</v>
      </c>
      <c r="C469" s="44" t="s">
        <v>120</v>
      </c>
      <c r="D469" s="85">
        <v>10104972968</v>
      </c>
      <c r="E469" s="44" t="s">
        <v>921</v>
      </c>
      <c r="F469" s="44" t="s">
        <v>124</v>
      </c>
      <c r="G469" s="44" t="s">
        <v>922</v>
      </c>
      <c r="H469" s="44" t="s">
        <v>76</v>
      </c>
      <c r="I469" s="45">
        <v>42779</v>
      </c>
      <c r="J469" s="45">
        <v>42796</v>
      </c>
      <c r="K469" s="45"/>
      <c r="L469" s="45"/>
    </row>
    <row r="470" spans="1:12" ht="17.100000000000001" customHeight="1">
      <c r="A470" s="43" t="s">
        <v>343</v>
      </c>
      <c r="B470" s="44" t="s">
        <v>344</v>
      </c>
      <c r="C470" s="44" t="s">
        <v>120</v>
      </c>
      <c r="D470" s="85">
        <v>10104972967</v>
      </c>
      <c r="E470" s="44" t="s">
        <v>908</v>
      </c>
      <c r="F470" s="44" t="s">
        <v>890</v>
      </c>
      <c r="G470" s="44" t="s">
        <v>909</v>
      </c>
      <c r="H470" s="44" t="s">
        <v>76</v>
      </c>
      <c r="I470" s="45">
        <v>42794</v>
      </c>
      <c r="J470" s="45">
        <v>42767</v>
      </c>
      <c r="K470" s="45"/>
      <c r="L470" s="45"/>
    </row>
    <row r="471" spans="1:12" ht="17.100000000000001" customHeight="1">
      <c r="A471" s="43" t="s">
        <v>343</v>
      </c>
      <c r="B471" s="44" t="s">
        <v>344</v>
      </c>
      <c r="C471" s="44" t="s">
        <v>120</v>
      </c>
      <c r="D471" s="85">
        <v>10104972974</v>
      </c>
      <c r="E471" s="44" t="s">
        <v>923</v>
      </c>
      <c r="F471" s="44" t="s">
        <v>890</v>
      </c>
      <c r="G471" s="44" t="s">
        <v>924</v>
      </c>
      <c r="H471" s="44" t="s">
        <v>76</v>
      </c>
      <c r="I471" s="45">
        <v>42794</v>
      </c>
      <c r="J471" s="45">
        <v>42767</v>
      </c>
      <c r="K471" s="45"/>
      <c r="L471" s="45"/>
    </row>
    <row r="472" spans="1:12" ht="17.100000000000001" customHeight="1">
      <c r="A472" s="43" t="s">
        <v>343</v>
      </c>
      <c r="B472" s="44" t="s">
        <v>344</v>
      </c>
      <c r="C472" s="44" t="s">
        <v>120</v>
      </c>
      <c r="D472" s="85">
        <v>10104972973</v>
      </c>
      <c r="E472" s="44" t="s">
        <v>923</v>
      </c>
      <c r="F472" s="44" t="s">
        <v>124</v>
      </c>
      <c r="G472" s="44" t="s">
        <v>924</v>
      </c>
      <c r="H472" s="44" t="s">
        <v>76</v>
      </c>
      <c r="I472" s="45">
        <v>42779</v>
      </c>
      <c r="J472" s="45">
        <v>42796</v>
      </c>
      <c r="K472" s="45"/>
      <c r="L472" s="45"/>
    </row>
    <row r="473" spans="1:12" ht="17.100000000000001" customHeight="1">
      <c r="A473" s="43" t="s">
        <v>343</v>
      </c>
      <c r="B473" s="44" t="s">
        <v>344</v>
      </c>
      <c r="C473" s="44" t="s">
        <v>120</v>
      </c>
      <c r="D473" s="85">
        <v>10104972970</v>
      </c>
      <c r="E473" s="44" t="s">
        <v>925</v>
      </c>
      <c r="F473" s="44" t="s">
        <v>124</v>
      </c>
      <c r="G473" s="44" t="s">
        <v>926</v>
      </c>
      <c r="H473" s="44" t="s">
        <v>76</v>
      </c>
      <c r="I473" s="45">
        <v>42779</v>
      </c>
      <c r="J473" s="45">
        <v>42796</v>
      </c>
      <c r="K473" s="45"/>
      <c r="L473" s="45"/>
    </row>
    <row r="474" spans="1:12" ht="17.100000000000001" customHeight="1">
      <c r="A474" s="43" t="s">
        <v>343</v>
      </c>
      <c r="B474" s="44" t="s">
        <v>344</v>
      </c>
      <c r="C474" s="44" t="s">
        <v>120</v>
      </c>
      <c r="D474" s="85">
        <v>10104972971</v>
      </c>
      <c r="E474" s="44" t="s">
        <v>925</v>
      </c>
      <c r="F474" s="44" t="s">
        <v>890</v>
      </c>
      <c r="G474" s="44" t="s">
        <v>926</v>
      </c>
      <c r="H474" s="44" t="s">
        <v>76</v>
      </c>
      <c r="I474" s="45">
        <v>42794</v>
      </c>
      <c r="J474" s="45">
        <v>42767</v>
      </c>
      <c r="K474" s="45"/>
      <c r="L474" s="45"/>
    </row>
    <row r="475" spans="1:12" ht="17.100000000000001" customHeight="1">
      <c r="A475" s="43" t="s">
        <v>343</v>
      </c>
      <c r="B475" s="44" t="s">
        <v>344</v>
      </c>
      <c r="C475" s="44" t="s">
        <v>120</v>
      </c>
      <c r="D475" s="85">
        <v>10104972975</v>
      </c>
      <c r="E475" s="44" t="s">
        <v>927</v>
      </c>
      <c r="F475" s="44" t="s">
        <v>124</v>
      </c>
      <c r="G475" s="44" t="s">
        <v>928</v>
      </c>
      <c r="H475" s="44" t="s">
        <v>76</v>
      </c>
      <c r="I475" s="45">
        <v>42779</v>
      </c>
      <c r="J475" s="45">
        <v>42796</v>
      </c>
      <c r="K475" s="45"/>
      <c r="L475" s="45"/>
    </row>
    <row r="476" spans="1:12" ht="17.100000000000001" customHeight="1">
      <c r="A476" s="43" t="s">
        <v>343</v>
      </c>
      <c r="B476" s="44" t="s">
        <v>344</v>
      </c>
      <c r="C476" s="44" t="s">
        <v>120</v>
      </c>
      <c r="D476" s="85">
        <v>10104972976</v>
      </c>
      <c r="E476" s="44" t="s">
        <v>927</v>
      </c>
      <c r="F476" s="44" t="s">
        <v>890</v>
      </c>
      <c r="G476" s="44" t="s">
        <v>928</v>
      </c>
      <c r="H476" s="44" t="s">
        <v>76</v>
      </c>
      <c r="I476" s="45">
        <v>42794</v>
      </c>
      <c r="J476" s="45">
        <v>42767</v>
      </c>
      <c r="K476" s="45"/>
      <c r="L476" s="45"/>
    </row>
    <row r="477" spans="1:12" ht="17.100000000000001" customHeight="1">
      <c r="A477" s="43" t="s">
        <v>348</v>
      </c>
      <c r="B477" s="44" t="s">
        <v>349</v>
      </c>
      <c r="C477" s="44" t="s">
        <v>73</v>
      </c>
      <c r="D477" s="85">
        <v>10104916123</v>
      </c>
      <c r="E477" s="44" t="s">
        <v>350</v>
      </c>
      <c r="F477" s="44" t="s">
        <v>219</v>
      </c>
      <c r="G477" s="44" t="s">
        <v>832</v>
      </c>
      <c r="H477" s="44" t="s">
        <v>76</v>
      </c>
      <c r="I477" s="45">
        <v>42781</v>
      </c>
      <c r="J477" s="45">
        <v>42787</v>
      </c>
      <c r="K477" s="45"/>
      <c r="L477" s="45"/>
    </row>
    <row r="478" spans="1:12" ht="17.100000000000001" customHeight="1">
      <c r="A478" s="43" t="s">
        <v>348</v>
      </c>
      <c r="B478" s="44" t="s">
        <v>349</v>
      </c>
      <c r="C478" s="44" t="s">
        <v>73</v>
      </c>
      <c r="D478" s="85">
        <v>10104916124</v>
      </c>
      <c r="E478" s="44" t="s">
        <v>833</v>
      </c>
      <c r="F478" s="44" t="s">
        <v>219</v>
      </c>
      <c r="G478" s="44" t="s">
        <v>832</v>
      </c>
      <c r="H478" s="44" t="s">
        <v>74</v>
      </c>
      <c r="I478" s="45">
        <v>42781</v>
      </c>
      <c r="J478" s="45">
        <v>42787</v>
      </c>
      <c r="K478" s="45"/>
      <c r="L478" s="45"/>
    </row>
    <row r="479" spans="1:12" ht="17.100000000000001" customHeight="1">
      <c r="A479" s="43" t="s">
        <v>348</v>
      </c>
      <c r="B479" s="44" t="s">
        <v>349</v>
      </c>
      <c r="C479" s="44" t="s">
        <v>73</v>
      </c>
      <c r="D479" s="85">
        <v>10104920157</v>
      </c>
      <c r="E479" s="44" t="s">
        <v>834</v>
      </c>
      <c r="F479" s="44" t="s">
        <v>222</v>
      </c>
      <c r="G479" s="44" t="s">
        <v>351</v>
      </c>
      <c r="H479" s="44" t="s">
        <v>76</v>
      </c>
      <c r="I479" s="45">
        <v>42782</v>
      </c>
      <c r="J479" s="45">
        <v>42782</v>
      </c>
      <c r="K479" s="45">
        <v>42778</v>
      </c>
      <c r="L479" s="45"/>
    </row>
    <row r="480" spans="1:12" ht="17.100000000000001" customHeight="1">
      <c r="A480" s="43" t="s">
        <v>348</v>
      </c>
      <c r="B480" s="44" t="s">
        <v>349</v>
      </c>
      <c r="C480" s="44" t="s">
        <v>73</v>
      </c>
      <c r="D480" s="85">
        <v>10104916117</v>
      </c>
      <c r="E480" s="44" t="s">
        <v>835</v>
      </c>
      <c r="F480" s="44" t="s">
        <v>222</v>
      </c>
      <c r="G480" s="44" t="s">
        <v>367</v>
      </c>
      <c r="H480" s="44" t="s">
        <v>76</v>
      </c>
      <c r="I480" s="45">
        <v>42776</v>
      </c>
      <c r="J480" s="45">
        <v>42776</v>
      </c>
      <c r="K480" s="45">
        <v>42770</v>
      </c>
      <c r="L480" s="45"/>
    </row>
    <row r="481" spans="1:12" ht="17.100000000000001" customHeight="1">
      <c r="A481" s="43" t="s">
        <v>348</v>
      </c>
      <c r="B481" s="44" t="s">
        <v>349</v>
      </c>
      <c r="C481" s="44" t="s">
        <v>73</v>
      </c>
      <c r="D481" s="85">
        <v>10104916118</v>
      </c>
      <c r="E481" s="44" t="s">
        <v>833</v>
      </c>
      <c r="F481" s="44" t="s">
        <v>180</v>
      </c>
      <c r="G481" s="44" t="s">
        <v>367</v>
      </c>
      <c r="H481" s="44" t="s">
        <v>74</v>
      </c>
      <c r="I481" s="45">
        <v>42781</v>
      </c>
      <c r="J481" s="45">
        <v>42787</v>
      </c>
      <c r="K481" s="45">
        <v>42770</v>
      </c>
      <c r="L481" s="45"/>
    </row>
    <row r="482" spans="1:12" ht="17.100000000000001" customHeight="1">
      <c r="A482" s="43" t="s">
        <v>348</v>
      </c>
      <c r="B482" s="44" t="s">
        <v>349</v>
      </c>
      <c r="C482" s="44" t="s">
        <v>73</v>
      </c>
      <c r="D482" s="85">
        <v>10104914239</v>
      </c>
      <c r="E482" s="44" t="s">
        <v>837</v>
      </c>
      <c r="F482" s="44" t="s">
        <v>219</v>
      </c>
      <c r="G482" s="44" t="s">
        <v>353</v>
      </c>
      <c r="H482" s="44" t="s">
        <v>74</v>
      </c>
      <c r="I482" s="45">
        <v>42779</v>
      </c>
      <c r="J482" s="45">
        <v>42787</v>
      </c>
      <c r="K482" s="45"/>
      <c r="L482" s="45"/>
    </row>
    <row r="483" spans="1:12" ht="17.100000000000001" customHeight="1">
      <c r="A483" s="43" t="s">
        <v>348</v>
      </c>
      <c r="B483" s="44" t="s">
        <v>349</v>
      </c>
      <c r="C483" s="44" t="s">
        <v>73</v>
      </c>
      <c r="D483" s="85">
        <v>10104914238</v>
      </c>
      <c r="E483" s="44" t="s">
        <v>838</v>
      </c>
      <c r="F483" s="44" t="s">
        <v>219</v>
      </c>
      <c r="G483" s="44" t="s">
        <v>353</v>
      </c>
      <c r="H483" s="44" t="s">
        <v>76</v>
      </c>
      <c r="I483" s="45">
        <v>42779</v>
      </c>
      <c r="J483" s="45">
        <v>42787</v>
      </c>
      <c r="K483" s="45"/>
      <c r="L483" s="45"/>
    </row>
    <row r="484" spans="1:12" ht="17.100000000000001" customHeight="1">
      <c r="A484" s="43" t="s">
        <v>348</v>
      </c>
      <c r="B484" s="44" t="s">
        <v>349</v>
      </c>
      <c r="C484" s="44" t="s">
        <v>73</v>
      </c>
      <c r="D484" s="85">
        <v>10104919789</v>
      </c>
      <c r="E484" s="44" t="s">
        <v>836</v>
      </c>
      <c r="F484" s="44" t="s">
        <v>219</v>
      </c>
      <c r="G484" s="44" t="s">
        <v>353</v>
      </c>
      <c r="H484" s="44" t="s">
        <v>74</v>
      </c>
      <c r="I484" s="45">
        <v>42781</v>
      </c>
      <c r="J484" s="45">
        <v>42787</v>
      </c>
      <c r="K484" s="45"/>
      <c r="L484" s="45"/>
    </row>
    <row r="485" spans="1:12" ht="17.100000000000001" customHeight="1">
      <c r="A485" s="43" t="s">
        <v>348</v>
      </c>
      <c r="B485" s="44" t="s">
        <v>349</v>
      </c>
      <c r="C485" s="44" t="s">
        <v>73</v>
      </c>
      <c r="D485" s="85">
        <v>10104919785</v>
      </c>
      <c r="E485" s="44" t="s">
        <v>836</v>
      </c>
      <c r="F485" s="44" t="s">
        <v>180</v>
      </c>
      <c r="G485" s="44" t="s">
        <v>354</v>
      </c>
      <c r="H485" s="44" t="s">
        <v>74</v>
      </c>
      <c r="I485" s="45">
        <v>42772</v>
      </c>
      <c r="J485" s="45">
        <v>42772</v>
      </c>
      <c r="K485" s="45">
        <v>42772</v>
      </c>
      <c r="L485" s="45"/>
    </row>
    <row r="486" spans="1:12" ht="17.100000000000001" customHeight="1">
      <c r="A486" s="43" t="s">
        <v>348</v>
      </c>
      <c r="B486" s="44" t="s">
        <v>349</v>
      </c>
      <c r="C486" s="44" t="s">
        <v>73</v>
      </c>
      <c r="D486" s="85">
        <v>10104927075</v>
      </c>
      <c r="E486" s="44" t="s">
        <v>837</v>
      </c>
      <c r="F486" s="44" t="s">
        <v>219</v>
      </c>
      <c r="G486" s="44" t="s">
        <v>355</v>
      </c>
      <c r="H486" s="44" t="s">
        <v>76</v>
      </c>
      <c r="I486" s="45">
        <v>42787</v>
      </c>
      <c r="J486" s="45">
        <v>42787</v>
      </c>
      <c r="K486" s="45"/>
      <c r="L486" s="45"/>
    </row>
    <row r="487" spans="1:12" ht="17.100000000000001" customHeight="1">
      <c r="A487" s="43" t="s">
        <v>348</v>
      </c>
      <c r="B487" s="44" t="s">
        <v>349</v>
      </c>
      <c r="C487" s="44" t="s">
        <v>73</v>
      </c>
      <c r="D487" s="85">
        <v>10104925474</v>
      </c>
      <c r="E487" s="44" t="s">
        <v>836</v>
      </c>
      <c r="F487" s="44" t="s">
        <v>219</v>
      </c>
      <c r="G487" s="44" t="s">
        <v>355</v>
      </c>
      <c r="H487" s="44" t="s">
        <v>74</v>
      </c>
      <c r="I487" s="45">
        <v>42787</v>
      </c>
      <c r="J487" s="45">
        <v>42787</v>
      </c>
      <c r="K487" s="45"/>
      <c r="L487" s="45"/>
    </row>
    <row r="488" spans="1:12" ht="17.100000000000001" customHeight="1">
      <c r="A488" s="43" t="s">
        <v>348</v>
      </c>
      <c r="B488" s="44" t="s">
        <v>349</v>
      </c>
      <c r="C488" s="44" t="s">
        <v>73</v>
      </c>
      <c r="D488" s="85">
        <v>10104914414</v>
      </c>
      <c r="E488" s="44" t="s">
        <v>1190</v>
      </c>
      <c r="F488" s="44" t="s">
        <v>180</v>
      </c>
      <c r="G488" s="44" t="s">
        <v>356</v>
      </c>
      <c r="H488" s="44" t="s">
        <v>76</v>
      </c>
      <c r="I488" s="45">
        <v>42779</v>
      </c>
      <c r="J488" s="45">
        <v>42790</v>
      </c>
      <c r="K488" s="45">
        <v>42783</v>
      </c>
      <c r="L488" s="45"/>
    </row>
    <row r="489" spans="1:12" ht="17.100000000000001" customHeight="1">
      <c r="A489" s="43" t="s">
        <v>348</v>
      </c>
      <c r="B489" s="44" t="s">
        <v>349</v>
      </c>
      <c r="C489" s="44" t="s">
        <v>73</v>
      </c>
      <c r="D489" s="85">
        <v>10104914413</v>
      </c>
      <c r="E489" s="44" t="s">
        <v>1191</v>
      </c>
      <c r="F489" s="44" t="s">
        <v>180</v>
      </c>
      <c r="G489" s="44" t="s">
        <v>356</v>
      </c>
      <c r="H489" s="44" t="s">
        <v>76</v>
      </c>
      <c r="I489" s="45">
        <v>42779</v>
      </c>
      <c r="J489" s="45">
        <v>42790</v>
      </c>
      <c r="K489" s="45">
        <v>42783</v>
      </c>
      <c r="L489" s="45"/>
    </row>
    <row r="490" spans="1:12" ht="17.100000000000001" customHeight="1">
      <c r="A490" s="43" t="s">
        <v>348</v>
      </c>
      <c r="B490" s="44" t="s">
        <v>349</v>
      </c>
      <c r="C490" s="44" t="s">
        <v>73</v>
      </c>
      <c r="D490" s="85">
        <v>10104918807</v>
      </c>
      <c r="E490" s="44" t="s">
        <v>840</v>
      </c>
      <c r="F490" s="44" t="s">
        <v>180</v>
      </c>
      <c r="G490" s="44" t="s">
        <v>356</v>
      </c>
      <c r="H490" s="44" t="s">
        <v>74</v>
      </c>
      <c r="I490" s="45">
        <v>42783</v>
      </c>
      <c r="J490" s="45">
        <v>42790</v>
      </c>
      <c r="K490" s="45">
        <v>42783</v>
      </c>
      <c r="L490" s="45"/>
    </row>
    <row r="491" spans="1:12" ht="17.100000000000001" customHeight="1">
      <c r="A491" s="43" t="s">
        <v>348</v>
      </c>
      <c r="B491" s="44" t="s">
        <v>349</v>
      </c>
      <c r="C491" s="44" t="s">
        <v>73</v>
      </c>
      <c r="D491" s="85">
        <v>10104915424</v>
      </c>
      <c r="E491" s="44" t="s">
        <v>1192</v>
      </c>
      <c r="F491" s="44" t="s">
        <v>180</v>
      </c>
      <c r="G491" s="44" t="s">
        <v>356</v>
      </c>
      <c r="H491" s="44" t="s">
        <v>76</v>
      </c>
      <c r="I491" s="45">
        <v>42781</v>
      </c>
      <c r="J491" s="45">
        <v>42790</v>
      </c>
      <c r="K491" s="45">
        <v>42783</v>
      </c>
      <c r="L491" s="45"/>
    </row>
    <row r="492" spans="1:12" ht="17.100000000000001" customHeight="1">
      <c r="A492" s="43" t="s">
        <v>348</v>
      </c>
      <c r="B492" s="44" t="s">
        <v>349</v>
      </c>
      <c r="C492" s="44" t="s">
        <v>73</v>
      </c>
      <c r="D492" s="85">
        <v>10104916401</v>
      </c>
      <c r="E492" s="44" t="s">
        <v>1193</v>
      </c>
      <c r="F492" s="44" t="s">
        <v>180</v>
      </c>
      <c r="G492" s="44" t="s">
        <v>356</v>
      </c>
      <c r="H492" s="44" t="s">
        <v>74</v>
      </c>
      <c r="I492" s="45">
        <v>42782</v>
      </c>
      <c r="J492" s="45">
        <v>42790</v>
      </c>
      <c r="K492" s="45">
        <v>42783</v>
      </c>
      <c r="L492" s="45"/>
    </row>
    <row r="493" spans="1:12" ht="17.100000000000001" customHeight="1">
      <c r="A493" s="43" t="s">
        <v>348</v>
      </c>
      <c r="B493" s="44" t="s">
        <v>349</v>
      </c>
      <c r="C493" s="44" t="s">
        <v>73</v>
      </c>
      <c r="D493" s="85">
        <v>10104950553</v>
      </c>
      <c r="E493" s="44" t="s">
        <v>836</v>
      </c>
      <c r="F493" s="44" t="s">
        <v>180</v>
      </c>
      <c r="G493" s="44" t="s">
        <v>1194</v>
      </c>
      <c r="H493" s="44" t="s">
        <v>74</v>
      </c>
      <c r="I493" s="45">
        <v>42792</v>
      </c>
      <c r="J493" s="45">
        <v>42792</v>
      </c>
      <c r="K493" s="45">
        <v>42792</v>
      </c>
      <c r="L493" s="45"/>
    </row>
    <row r="494" spans="1:12" ht="17.100000000000001" customHeight="1">
      <c r="A494" s="43" t="s">
        <v>348</v>
      </c>
      <c r="B494" s="44" t="s">
        <v>349</v>
      </c>
      <c r="C494" s="44" t="s">
        <v>73</v>
      </c>
      <c r="D494" s="85">
        <v>10104919790</v>
      </c>
      <c r="E494" s="44" t="s">
        <v>839</v>
      </c>
      <c r="F494" s="44" t="s">
        <v>831</v>
      </c>
      <c r="G494" s="44" t="s">
        <v>357</v>
      </c>
      <c r="H494" s="44" t="s">
        <v>76</v>
      </c>
      <c r="I494" s="45">
        <v>42781</v>
      </c>
      <c r="J494" s="45">
        <v>42787</v>
      </c>
      <c r="K494" s="45"/>
      <c r="L494" s="45"/>
    </row>
    <row r="495" spans="1:12" ht="17.100000000000001" customHeight="1">
      <c r="A495" s="43" t="s">
        <v>348</v>
      </c>
      <c r="B495" s="44" t="s">
        <v>349</v>
      </c>
      <c r="C495" s="44" t="s">
        <v>73</v>
      </c>
      <c r="D495" s="85">
        <v>10104914283</v>
      </c>
      <c r="E495" s="44" t="s">
        <v>841</v>
      </c>
      <c r="F495" s="44" t="s">
        <v>180</v>
      </c>
      <c r="G495" s="44" t="s">
        <v>842</v>
      </c>
      <c r="H495" s="44" t="s">
        <v>76</v>
      </c>
      <c r="I495" s="45">
        <v>42779</v>
      </c>
      <c r="J495" s="45">
        <v>42790</v>
      </c>
      <c r="K495" s="45">
        <v>42785</v>
      </c>
      <c r="L495" s="45"/>
    </row>
    <row r="496" spans="1:12" ht="17.100000000000001" customHeight="1">
      <c r="A496" s="43" t="s">
        <v>348</v>
      </c>
      <c r="B496" s="44" t="s">
        <v>349</v>
      </c>
      <c r="C496" s="44" t="s">
        <v>73</v>
      </c>
      <c r="D496" s="85">
        <v>10104916110</v>
      </c>
      <c r="E496" s="44" t="s">
        <v>360</v>
      </c>
      <c r="F496" s="44" t="s">
        <v>222</v>
      </c>
      <c r="G496" s="44" t="s">
        <v>358</v>
      </c>
      <c r="H496" s="44" t="s">
        <v>76</v>
      </c>
      <c r="I496" s="45">
        <v>42778</v>
      </c>
      <c r="J496" s="45">
        <v>42778</v>
      </c>
      <c r="K496" s="45">
        <v>42775</v>
      </c>
      <c r="L496" s="45"/>
    </row>
    <row r="497" spans="1:12" ht="17.100000000000001" customHeight="1">
      <c r="A497" s="43" t="s">
        <v>348</v>
      </c>
      <c r="B497" s="44" t="s">
        <v>349</v>
      </c>
      <c r="C497" s="44" t="s">
        <v>73</v>
      </c>
      <c r="D497" s="85">
        <v>10104916108</v>
      </c>
      <c r="E497" s="44" t="s">
        <v>359</v>
      </c>
      <c r="F497" s="44" t="s">
        <v>222</v>
      </c>
      <c r="G497" s="44" t="s">
        <v>358</v>
      </c>
      <c r="H497" s="44" t="s">
        <v>74</v>
      </c>
      <c r="I497" s="45">
        <v>42778</v>
      </c>
      <c r="J497" s="45">
        <v>42778</v>
      </c>
      <c r="K497" s="45">
        <v>42775</v>
      </c>
      <c r="L497" s="45"/>
    </row>
    <row r="498" spans="1:12" ht="17.100000000000001" customHeight="1">
      <c r="A498" s="43" t="s">
        <v>348</v>
      </c>
      <c r="B498" s="44" t="s">
        <v>349</v>
      </c>
      <c r="C498" s="44" t="s">
        <v>73</v>
      </c>
      <c r="D498" s="85">
        <v>10104916107</v>
      </c>
      <c r="E498" s="44" t="s">
        <v>754</v>
      </c>
      <c r="F498" s="44" t="s">
        <v>180</v>
      </c>
      <c r="G498" s="44" t="s">
        <v>358</v>
      </c>
      <c r="H498" s="44" t="s">
        <v>76</v>
      </c>
      <c r="I498" s="45">
        <v>42778</v>
      </c>
      <c r="J498" s="45">
        <v>42778</v>
      </c>
      <c r="K498" s="45">
        <v>42775</v>
      </c>
      <c r="L498" s="45"/>
    </row>
    <row r="499" spans="1:12" ht="17.100000000000001" customHeight="1">
      <c r="A499" s="43" t="s">
        <v>348</v>
      </c>
      <c r="B499" s="44" t="s">
        <v>349</v>
      </c>
      <c r="C499" s="44" t="s">
        <v>73</v>
      </c>
      <c r="D499" s="85">
        <v>10104916126</v>
      </c>
      <c r="E499" s="44" t="s">
        <v>835</v>
      </c>
      <c r="F499" s="44" t="s">
        <v>222</v>
      </c>
      <c r="G499" s="44" t="s">
        <v>362</v>
      </c>
      <c r="H499" s="44" t="s">
        <v>76</v>
      </c>
      <c r="I499" s="45">
        <v>42781</v>
      </c>
      <c r="J499" s="45">
        <v>42782</v>
      </c>
      <c r="K499" s="45">
        <v>42774</v>
      </c>
      <c r="L499" s="45"/>
    </row>
    <row r="500" spans="1:12" ht="17.100000000000001" customHeight="1">
      <c r="A500" s="43" t="s">
        <v>348</v>
      </c>
      <c r="B500" s="44" t="s">
        <v>349</v>
      </c>
      <c r="C500" s="44" t="s">
        <v>73</v>
      </c>
      <c r="D500" s="85">
        <v>10104916127</v>
      </c>
      <c r="E500" s="44" t="s">
        <v>833</v>
      </c>
      <c r="F500" s="44" t="s">
        <v>222</v>
      </c>
      <c r="G500" s="44" t="s">
        <v>362</v>
      </c>
      <c r="H500" s="44" t="s">
        <v>74</v>
      </c>
      <c r="I500" s="45">
        <v>42778</v>
      </c>
      <c r="J500" s="45">
        <v>42778</v>
      </c>
      <c r="K500" s="45">
        <v>42775</v>
      </c>
      <c r="L500" s="45"/>
    </row>
    <row r="501" spans="1:12" ht="17.100000000000001" customHeight="1">
      <c r="A501" s="43" t="s">
        <v>348</v>
      </c>
      <c r="B501" s="44" t="s">
        <v>349</v>
      </c>
      <c r="C501" s="44" t="s">
        <v>73</v>
      </c>
      <c r="D501" s="85">
        <v>10104919894</v>
      </c>
      <c r="E501" s="44" t="s">
        <v>836</v>
      </c>
      <c r="F501" s="44" t="s">
        <v>180</v>
      </c>
      <c r="G501" s="44" t="s">
        <v>375</v>
      </c>
      <c r="H501" s="44" t="s">
        <v>74</v>
      </c>
      <c r="I501" s="45">
        <v>42781</v>
      </c>
      <c r="J501" s="45">
        <v>42782</v>
      </c>
      <c r="K501" s="45">
        <v>42777</v>
      </c>
      <c r="L501" s="45"/>
    </row>
    <row r="502" spans="1:12" ht="17.100000000000001" customHeight="1">
      <c r="A502" s="43" t="s">
        <v>348</v>
      </c>
      <c r="B502" s="44" t="s">
        <v>349</v>
      </c>
      <c r="C502" s="44" t="s">
        <v>73</v>
      </c>
      <c r="D502" s="85">
        <v>10104914286</v>
      </c>
      <c r="E502" s="44" t="s">
        <v>838</v>
      </c>
      <c r="F502" s="44" t="s">
        <v>180</v>
      </c>
      <c r="G502" s="44" t="s">
        <v>375</v>
      </c>
      <c r="H502" s="44" t="s">
        <v>76</v>
      </c>
      <c r="I502" s="45">
        <v>42779</v>
      </c>
      <c r="J502" s="45">
        <v>42782</v>
      </c>
      <c r="K502" s="45">
        <v>42777</v>
      </c>
      <c r="L502" s="45"/>
    </row>
    <row r="503" spans="1:12" ht="17.100000000000001" customHeight="1">
      <c r="A503" s="43" t="s">
        <v>348</v>
      </c>
      <c r="B503" s="44" t="s">
        <v>349</v>
      </c>
      <c r="C503" s="44" t="s">
        <v>73</v>
      </c>
      <c r="D503" s="85">
        <v>10104914287</v>
      </c>
      <c r="E503" s="44" t="s">
        <v>837</v>
      </c>
      <c r="F503" s="44" t="s">
        <v>180</v>
      </c>
      <c r="G503" s="44" t="s">
        <v>375</v>
      </c>
      <c r="H503" s="44" t="s">
        <v>74</v>
      </c>
      <c r="I503" s="45">
        <v>42779</v>
      </c>
      <c r="J503" s="45">
        <v>42782</v>
      </c>
      <c r="K503" s="45">
        <v>42777</v>
      </c>
      <c r="L503" s="45"/>
    </row>
    <row r="504" spans="1:12" ht="17.100000000000001" customHeight="1">
      <c r="A504" s="43" t="s">
        <v>348</v>
      </c>
      <c r="B504" s="44" t="s">
        <v>349</v>
      </c>
      <c r="C504" s="44" t="s">
        <v>73</v>
      </c>
      <c r="D504" s="85">
        <v>10104908835</v>
      </c>
      <c r="E504" s="44" t="s">
        <v>1195</v>
      </c>
      <c r="F504" s="44" t="s">
        <v>219</v>
      </c>
      <c r="G504" s="44" t="s">
        <v>363</v>
      </c>
      <c r="H504" s="44" t="s">
        <v>76</v>
      </c>
      <c r="I504" s="45">
        <v>42775</v>
      </c>
      <c r="J504" s="45">
        <v>42787</v>
      </c>
      <c r="K504" s="45"/>
      <c r="L504" s="45"/>
    </row>
    <row r="505" spans="1:12" ht="17.100000000000001" customHeight="1">
      <c r="A505" s="43" t="s">
        <v>348</v>
      </c>
      <c r="B505" s="44" t="s">
        <v>349</v>
      </c>
      <c r="C505" s="44" t="s">
        <v>73</v>
      </c>
      <c r="D505" s="85">
        <v>10104910312</v>
      </c>
      <c r="E505" s="44" t="s">
        <v>364</v>
      </c>
      <c r="F505" s="44" t="s">
        <v>219</v>
      </c>
      <c r="G505" s="44" t="s">
        <v>363</v>
      </c>
      <c r="H505" s="44" t="s">
        <v>74</v>
      </c>
      <c r="I505" s="45">
        <v>42776</v>
      </c>
      <c r="J505" s="45">
        <v>42787</v>
      </c>
      <c r="K505" s="45"/>
      <c r="L505" s="45"/>
    </row>
    <row r="506" spans="1:12" ht="17.100000000000001" customHeight="1">
      <c r="A506" s="43" t="s">
        <v>348</v>
      </c>
      <c r="B506" s="44" t="s">
        <v>349</v>
      </c>
      <c r="C506" s="44" t="s">
        <v>73</v>
      </c>
      <c r="D506" s="85">
        <v>10104908806</v>
      </c>
      <c r="E506" s="44" t="s">
        <v>1196</v>
      </c>
      <c r="F506" s="44" t="s">
        <v>219</v>
      </c>
      <c r="G506" s="44" t="s">
        <v>363</v>
      </c>
      <c r="H506" s="44" t="s">
        <v>74</v>
      </c>
      <c r="I506" s="45">
        <v>42775</v>
      </c>
      <c r="J506" s="45">
        <v>42787</v>
      </c>
      <c r="K506" s="45"/>
      <c r="L506" s="45"/>
    </row>
    <row r="507" spans="1:12" ht="17.100000000000001" customHeight="1">
      <c r="A507" s="43" t="s">
        <v>348</v>
      </c>
      <c r="B507" s="44" t="s">
        <v>349</v>
      </c>
      <c r="C507" s="44" t="s">
        <v>73</v>
      </c>
      <c r="D507" s="85">
        <v>10104908834</v>
      </c>
      <c r="E507" s="44" t="s">
        <v>1197</v>
      </c>
      <c r="F507" s="44" t="s">
        <v>219</v>
      </c>
      <c r="G507" s="44" t="s">
        <v>363</v>
      </c>
      <c r="H507" s="44" t="s">
        <v>76</v>
      </c>
      <c r="I507" s="45">
        <v>42775</v>
      </c>
      <c r="J507" s="45">
        <v>42787</v>
      </c>
      <c r="K507" s="45"/>
      <c r="L507" s="45"/>
    </row>
    <row r="508" spans="1:12" ht="17.100000000000001" customHeight="1">
      <c r="A508" s="43" t="s">
        <v>348</v>
      </c>
      <c r="B508" s="44" t="s">
        <v>349</v>
      </c>
      <c r="C508" s="44" t="s">
        <v>73</v>
      </c>
      <c r="D508" s="85">
        <v>10104914279</v>
      </c>
      <c r="E508" s="44" t="s">
        <v>841</v>
      </c>
      <c r="F508" s="44" t="s">
        <v>831</v>
      </c>
      <c r="G508" s="44" t="s">
        <v>365</v>
      </c>
      <c r="H508" s="44" t="s">
        <v>76</v>
      </c>
      <c r="I508" s="45">
        <v>42779</v>
      </c>
      <c r="J508" s="45">
        <v>42787</v>
      </c>
      <c r="K508" s="45"/>
      <c r="L508" s="45"/>
    </row>
    <row r="509" spans="1:12" ht="17.100000000000001" customHeight="1">
      <c r="A509" s="43" t="s">
        <v>348</v>
      </c>
      <c r="B509" s="44" t="s">
        <v>349</v>
      </c>
      <c r="C509" s="44" t="s">
        <v>73</v>
      </c>
      <c r="D509" s="85">
        <v>10104916121</v>
      </c>
      <c r="E509" s="44" t="s">
        <v>833</v>
      </c>
      <c r="F509" s="44" t="s">
        <v>219</v>
      </c>
      <c r="G509" s="44" t="s">
        <v>1198</v>
      </c>
      <c r="H509" s="44" t="s">
        <v>74</v>
      </c>
      <c r="I509" s="45">
        <v>42781</v>
      </c>
      <c r="J509" s="45">
        <v>42787</v>
      </c>
      <c r="K509" s="45"/>
      <c r="L509" s="45"/>
    </row>
    <row r="510" spans="1:12" ht="17.100000000000001" customHeight="1">
      <c r="A510" s="43" t="s">
        <v>348</v>
      </c>
      <c r="B510" s="44" t="s">
        <v>349</v>
      </c>
      <c r="C510" s="44" t="s">
        <v>73</v>
      </c>
      <c r="D510" s="85">
        <v>10104916120</v>
      </c>
      <c r="E510" s="44" t="s">
        <v>350</v>
      </c>
      <c r="F510" s="44" t="s">
        <v>831</v>
      </c>
      <c r="G510" s="44" t="s">
        <v>1198</v>
      </c>
      <c r="H510" s="44" t="s">
        <v>76</v>
      </c>
      <c r="I510" s="45">
        <v>42781</v>
      </c>
      <c r="J510" s="45">
        <v>42787</v>
      </c>
      <c r="K510" s="45"/>
      <c r="L510" s="45"/>
    </row>
    <row r="511" spans="1:12" ht="17.100000000000001" customHeight="1">
      <c r="A511" s="43" t="s">
        <v>348</v>
      </c>
      <c r="B511" s="44" t="s">
        <v>349</v>
      </c>
      <c r="C511" s="44" t="s">
        <v>120</v>
      </c>
      <c r="D511" s="85">
        <v>10104950031</v>
      </c>
      <c r="E511" s="44" t="s">
        <v>1199</v>
      </c>
      <c r="F511" s="44" t="s">
        <v>749</v>
      </c>
      <c r="G511" s="44" t="s">
        <v>1200</v>
      </c>
      <c r="H511" s="44" t="s">
        <v>221</v>
      </c>
      <c r="I511" s="45">
        <v>42795</v>
      </c>
      <c r="J511" s="45">
        <v>42795</v>
      </c>
      <c r="K511" s="45">
        <v>42794</v>
      </c>
      <c r="L511" s="45"/>
    </row>
    <row r="512" spans="1:12" ht="17.100000000000001" customHeight="1">
      <c r="A512" s="43" t="s">
        <v>348</v>
      </c>
      <c r="B512" s="44" t="s">
        <v>349</v>
      </c>
      <c r="C512" s="44" t="s">
        <v>120</v>
      </c>
      <c r="D512" s="85">
        <v>10104916125</v>
      </c>
      <c r="E512" s="44" t="s">
        <v>847</v>
      </c>
      <c r="F512" s="44" t="s">
        <v>217</v>
      </c>
      <c r="G512" s="44" t="s">
        <v>832</v>
      </c>
      <c r="H512" s="44" t="s">
        <v>76</v>
      </c>
      <c r="I512" s="45">
        <v>42799</v>
      </c>
      <c r="J512" s="45">
        <v>42795</v>
      </c>
      <c r="K512" s="45"/>
      <c r="L512" s="45"/>
    </row>
    <row r="513" spans="1:12" ht="17.100000000000001" customHeight="1">
      <c r="A513" s="43" t="s">
        <v>348</v>
      </c>
      <c r="B513" s="44" t="s">
        <v>349</v>
      </c>
      <c r="C513" s="44" t="s">
        <v>120</v>
      </c>
      <c r="D513" s="85">
        <v>10104899215</v>
      </c>
      <c r="E513" s="44" t="s">
        <v>848</v>
      </c>
      <c r="F513" s="44" t="s">
        <v>180</v>
      </c>
      <c r="G513" s="44" t="s">
        <v>351</v>
      </c>
      <c r="H513" s="44" t="s">
        <v>74</v>
      </c>
      <c r="I513" s="45">
        <v>42770</v>
      </c>
      <c r="J513" s="45">
        <v>42782</v>
      </c>
      <c r="K513" s="45">
        <v>42778</v>
      </c>
      <c r="L513" s="45"/>
    </row>
    <row r="514" spans="1:12" ht="17.100000000000001" customHeight="1">
      <c r="A514" s="43" t="s">
        <v>348</v>
      </c>
      <c r="B514" s="44" t="s">
        <v>349</v>
      </c>
      <c r="C514" s="44" t="s">
        <v>120</v>
      </c>
      <c r="D514" s="85">
        <v>10104950027</v>
      </c>
      <c r="E514" s="44" t="s">
        <v>1201</v>
      </c>
      <c r="F514" s="44" t="s">
        <v>749</v>
      </c>
      <c r="G514" s="44" t="s">
        <v>1202</v>
      </c>
      <c r="H514" s="44" t="s">
        <v>221</v>
      </c>
      <c r="I514" s="45">
        <v>42795</v>
      </c>
      <c r="J514" s="45">
        <v>42795</v>
      </c>
      <c r="K514" s="45">
        <v>42794</v>
      </c>
      <c r="L514" s="45"/>
    </row>
    <row r="515" spans="1:12" ht="17.100000000000001" customHeight="1">
      <c r="A515" s="43" t="s">
        <v>348</v>
      </c>
      <c r="B515" s="44" t="s">
        <v>349</v>
      </c>
      <c r="C515" s="44" t="s">
        <v>120</v>
      </c>
      <c r="D515" s="85">
        <v>10104875815</v>
      </c>
      <c r="E515" s="44" t="s">
        <v>1203</v>
      </c>
      <c r="F515" s="44" t="s">
        <v>180</v>
      </c>
      <c r="G515" s="44" t="s">
        <v>367</v>
      </c>
      <c r="H515" s="44" t="s">
        <v>74</v>
      </c>
      <c r="I515" s="45">
        <v>42771</v>
      </c>
      <c r="J515" s="45">
        <v>42771</v>
      </c>
      <c r="K515" s="45">
        <v>42769</v>
      </c>
      <c r="L515" s="45"/>
    </row>
    <row r="516" spans="1:12" ht="17.100000000000001" customHeight="1">
      <c r="A516" s="43" t="s">
        <v>348</v>
      </c>
      <c r="B516" s="44" t="s">
        <v>349</v>
      </c>
      <c r="C516" s="44" t="s">
        <v>120</v>
      </c>
      <c r="D516" s="85">
        <v>10104916119</v>
      </c>
      <c r="E516" s="44" t="s">
        <v>847</v>
      </c>
      <c r="F516" s="44" t="s">
        <v>213</v>
      </c>
      <c r="G516" s="44" t="s">
        <v>367</v>
      </c>
      <c r="H516" s="44" t="s">
        <v>76</v>
      </c>
      <c r="I516" s="45">
        <v>42776</v>
      </c>
      <c r="J516" s="45">
        <v>42776</v>
      </c>
      <c r="K516" s="45">
        <v>42771</v>
      </c>
      <c r="L516" s="45"/>
    </row>
    <row r="517" spans="1:12" ht="17.100000000000001" customHeight="1">
      <c r="A517" s="43" t="s">
        <v>348</v>
      </c>
      <c r="B517" s="44" t="s">
        <v>349</v>
      </c>
      <c r="C517" s="44" t="s">
        <v>120</v>
      </c>
      <c r="D517" s="85">
        <v>10104950023</v>
      </c>
      <c r="E517" s="44" t="s">
        <v>1204</v>
      </c>
      <c r="F517" s="44" t="s">
        <v>749</v>
      </c>
      <c r="G517" s="44" t="s">
        <v>367</v>
      </c>
      <c r="H517" s="44" t="s">
        <v>221</v>
      </c>
      <c r="I517" s="45">
        <v>42795</v>
      </c>
      <c r="J517" s="45">
        <v>42795</v>
      </c>
      <c r="K517" s="45">
        <v>42794</v>
      </c>
      <c r="L517" s="45"/>
    </row>
    <row r="518" spans="1:12" ht="17.100000000000001" customHeight="1">
      <c r="A518" s="43" t="s">
        <v>348</v>
      </c>
      <c r="B518" s="44" t="s">
        <v>349</v>
      </c>
      <c r="C518" s="44" t="s">
        <v>120</v>
      </c>
      <c r="D518" s="85">
        <v>10104950024</v>
      </c>
      <c r="E518" s="44" t="s">
        <v>1205</v>
      </c>
      <c r="F518" s="44" t="s">
        <v>749</v>
      </c>
      <c r="G518" s="44" t="s">
        <v>352</v>
      </c>
      <c r="H518" s="44" t="s">
        <v>221</v>
      </c>
      <c r="I518" s="45">
        <v>42795</v>
      </c>
      <c r="J518" s="45">
        <v>42795</v>
      </c>
      <c r="K518" s="45">
        <v>42794</v>
      </c>
      <c r="L518" s="45"/>
    </row>
    <row r="519" spans="1:12" ht="17.100000000000001" customHeight="1">
      <c r="A519" s="43" t="s">
        <v>348</v>
      </c>
      <c r="B519" s="44" t="s">
        <v>349</v>
      </c>
      <c r="C519" s="44" t="s">
        <v>120</v>
      </c>
      <c r="D519" s="85">
        <v>10104914240</v>
      </c>
      <c r="E519" s="44" t="s">
        <v>838</v>
      </c>
      <c r="F519" s="44" t="s">
        <v>890</v>
      </c>
      <c r="G519" s="44" t="s">
        <v>353</v>
      </c>
      <c r="H519" s="44" t="s">
        <v>76</v>
      </c>
      <c r="I519" s="45">
        <v>42779</v>
      </c>
      <c r="J519" s="45">
        <v>42779</v>
      </c>
      <c r="K519" s="45"/>
      <c r="L519" s="45"/>
    </row>
    <row r="520" spans="1:12" ht="17.100000000000001" customHeight="1">
      <c r="A520" s="43" t="s">
        <v>348</v>
      </c>
      <c r="B520" s="44" t="s">
        <v>349</v>
      </c>
      <c r="C520" s="44" t="s">
        <v>120</v>
      </c>
      <c r="D520" s="85">
        <v>10104950025</v>
      </c>
      <c r="E520" s="44" t="s">
        <v>1206</v>
      </c>
      <c r="F520" s="44" t="s">
        <v>749</v>
      </c>
      <c r="G520" s="44" t="s">
        <v>353</v>
      </c>
      <c r="H520" s="44" t="s">
        <v>221</v>
      </c>
      <c r="I520" s="45">
        <v>42795</v>
      </c>
      <c r="J520" s="45">
        <v>42795</v>
      </c>
      <c r="K520" s="45">
        <v>42794</v>
      </c>
      <c r="L520" s="45"/>
    </row>
    <row r="521" spans="1:12" ht="17.100000000000001" customHeight="1">
      <c r="A521" s="43" t="s">
        <v>348</v>
      </c>
      <c r="B521" s="44" t="s">
        <v>349</v>
      </c>
      <c r="C521" s="44" t="s">
        <v>120</v>
      </c>
      <c r="D521" s="85">
        <v>10104906844</v>
      </c>
      <c r="E521" s="44" t="s">
        <v>870</v>
      </c>
      <c r="F521" s="44" t="s">
        <v>890</v>
      </c>
      <c r="G521" s="44" t="s">
        <v>354</v>
      </c>
      <c r="H521" s="44" t="s">
        <v>76</v>
      </c>
      <c r="I521" s="45">
        <v>42779</v>
      </c>
      <c r="J521" s="45">
        <v>42779</v>
      </c>
      <c r="K521" s="45"/>
      <c r="L521" s="45"/>
    </row>
    <row r="522" spans="1:12" ht="17.100000000000001" customHeight="1">
      <c r="A522" s="43" t="s">
        <v>348</v>
      </c>
      <c r="B522" s="44" t="s">
        <v>349</v>
      </c>
      <c r="C522" s="44" t="s">
        <v>120</v>
      </c>
      <c r="D522" s="85">
        <v>10104906845</v>
      </c>
      <c r="E522" s="44" t="s">
        <v>871</v>
      </c>
      <c r="F522" s="44" t="s">
        <v>213</v>
      </c>
      <c r="G522" s="44" t="s">
        <v>354</v>
      </c>
      <c r="H522" s="44" t="s">
        <v>74</v>
      </c>
      <c r="I522" s="45">
        <v>42776</v>
      </c>
      <c r="J522" s="45">
        <v>42776</v>
      </c>
      <c r="K522" s="45">
        <v>42769</v>
      </c>
      <c r="L522" s="45"/>
    </row>
    <row r="523" spans="1:12" ht="17.100000000000001" customHeight="1">
      <c r="A523" s="43" t="s">
        <v>348</v>
      </c>
      <c r="B523" s="44" t="s">
        <v>349</v>
      </c>
      <c r="C523" s="44" t="s">
        <v>120</v>
      </c>
      <c r="D523" s="85">
        <v>10104956195</v>
      </c>
      <c r="E523" s="44" t="s">
        <v>929</v>
      </c>
      <c r="F523" s="44" t="s">
        <v>213</v>
      </c>
      <c r="G523" s="44" t="s">
        <v>354</v>
      </c>
      <c r="H523" s="44" t="s">
        <v>74</v>
      </c>
      <c r="I523" s="45">
        <v>42795</v>
      </c>
      <c r="J523" s="45">
        <v>42795</v>
      </c>
      <c r="K523" s="45">
        <v>42793</v>
      </c>
      <c r="L523" s="45"/>
    </row>
    <row r="524" spans="1:12" ht="17.100000000000001" customHeight="1">
      <c r="A524" s="43" t="s">
        <v>348</v>
      </c>
      <c r="B524" s="44" t="s">
        <v>349</v>
      </c>
      <c r="C524" s="44" t="s">
        <v>120</v>
      </c>
      <c r="D524" s="85">
        <v>10104950026</v>
      </c>
      <c r="E524" s="44" t="s">
        <v>1207</v>
      </c>
      <c r="F524" s="44" t="s">
        <v>749</v>
      </c>
      <c r="G524" s="44" t="s">
        <v>354</v>
      </c>
      <c r="H524" s="44" t="s">
        <v>221</v>
      </c>
      <c r="I524" s="45">
        <v>42795</v>
      </c>
      <c r="J524" s="45">
        <v>42795</v>
      </c>
      <c r="K524" s="45">
        <v>42794</v>
      </c>
      <c r="L524" s="45"/>
    </row>
    <row r="525" spans="1:12" ht="17.100000000000001" customHeight="1">
      <c r="A525" s="43" t="s">
        <v>348</v>
      </c>
      <c r="B525" s="44" t="s">
        <v>349</v>
      </c>
      <c r="C525" s="44" t="s">
        <v>120</v>
      </c>
      <c r="D525" s="85">
        <v>10104953653</v>
      </c>
      <c r="E525" s="44" t="s">
        <v>849</v>
      </c>
      <c r="F525" s="44" t="s">
        <v>216</v>
      </c>
      <c r="G525" s="44" t="s">
        <v>355</v>
      </c>
      <c r="H525" s="44" t="s">
        <v>76</v>
      </c>
      <c r="I525" s="45">
        <v>42789</v>
      </c>
      <c r="J525" s="45">
        <v>42789</v>
      </c>
      <c r="K525" s="45"/>
      <c r="L525" s="45"/>
    </row>
    <row r="526" spans="1:12" ht="17.100000000000001" customHeight="1">
      <c r="A526" s="43" t="s">
        <v>348</v>
      </c>
      <c r="B526" s="44" t="s">
        <v>349</v>
      </c>
      <c r="C526" s="44" t="s">
        <v>120</v>
      </c>
      <c r="D526" s="85">
        <v>10104927076</v>
      </c>
      <c r="E526" s="44" t="s">
        <v>838</v>
      </c>
      <c r="F526" s="44" t="s">
        <v>217</v>
      </c>
      <c r="G526" s="44" t="s">
        <v>355</v>
      </c>
      <c r="H526" s="44" t="s">
        <v>76</v>
      </c>
      <c r="I526" s="45">
        <v>42799</v>
      </c>
      <c r="J526" s="45">
        <v>42795</v>
      </c>
      <c r="K526" s="45"/>
      <c r="L526" s="45"/>
    </row>
    <row r="527" spans="1:12" ht="17.100000000000001" customHeight="1">
      <c r="A527" s="43" t="s">
        <v>348</v>
      </c>
      <c r="B527" s="44" t="s">
        <v>349</v>
      </c>
      <c r="C527" s="44" t="s">
        <v>120</v>
      </c>
      <c r="D527" s="85">
        <v>10104914405</v>
      </c>
      <c r="E527" s="44" t="s">
        <v>368</v>
      </c>
      <c r="F527" s="44" t="s">
        <v>180</v>
      </c>
      <c r="G527" s="44" t="s">
        <v>356</v>
      </c>
      <c r="H527" s="44" t="s">
        <v>76</v>
      </c>
      <c r="I527" s="45">
        <v>42779</v>
      </c>
      <c r="J527" s="45">
        <v>42790</v>
      </c>
      <c r="K527" s="45">
        <v>42783</v>
      </c>
      <c r="L527" s="45"/>
    </row>
    <row r="528" spans="1:12" ht="17.100000000000001" customHeight="1">
      <c r="A528" s="43" t="s">
        <v>348</v>
      </c>
      <c r="B528" s="44" t="s">
        <v>349</v>
      </c>
      <c r="C528" s="44" t="s">
        <v>120</v>
      </c>
      <c r="D528" s="85">
        <v>10104915440</v>
      </c>
      <c r="E528" s="44" t="s">
        <v>1208</v>
      </c>
      <c r="F528" s="44" t="s">
        <v>180</v>
      </c>
      <c r="G528" s="44" t="s">
        <v>356</v>
      </c>
      <c r="H528" s="44" t="s">
        <v>76</v>
      </c>
      <c r="I528" s="45">
        <v>42780</v>
      </c>
      <c r="J528" s="45">
        <v>42790</v>
      </c>
      <c r="K528" s="45">
        <v>42783</v>
      </c>
      <c r="L528" s="45"/>
    </row>
    <row r="529" spans="1:12" ht="17.100000000000001" customHeight="1">
      <c r="A529" s="43" t="s">
        <v>348</v>
      </c>
      <c r="B529" s="44" t="s">
        <v>349</v>
      </c>
      <c r="C529" s="44" t="s">
        <v>120</v>
      </c>
      <c r="D529" s="85">
        <v>10104914418</v>
      </c>
      <c r="E529" s="44" t="s">
        <v>1209</v>
      </c>
      <c r="F529" s="44" t="s">
        <v>180</v>
      </c>
      <c r="G529" s="44" t="s">
        <v>356</v>
      </c>
      <c r="H529" s="44" t="s">
        <v>76</v>
      </c>
      <c r="I529" s="45">
        <v>42779</v>
      </c>
      <c r="J529" s="45">
        <v>42790</v>
      </c>
      <c r="K529" s="45">
        <v>42783</v>
      </c>
      <c r="L529" s="45"/>
    </row>
    <row r="530" spans="1:12" ht="17.100000000000001" customHeight="1">
      <c r="A530" s="43" t="s">
        <v>348</v>
      </c>
      <c r="B530" s="44" t="s">
        <v>349</v>
      </c>
      <c r="C530" s="44" t="s">
        <v>120</v>
      </c>
      <c r="D530" s="85">
        <v>10104915414</v>
      </c>
      <c r="E530" s="44" t="s">
        <v>1210</v>
      </c>
      <c r="F530" s="44" t="s">
        <v>213</v>
      </c>
      <c r="G530" s="44" t="s">
        <v>356</v>
      </c>
      <c r="H530" s="44" t="s">
        <v>76</v>
      </c>
      <c r="I530" s="45">
        <v>42781</v>
      </c>
      <c r="J530" s="45">
        <v>42790</v>
      </c>
      <c r="K530" s="45">
        <v>42783</v>
      </c>
      <c r="L530" s="45"/>
    </row>
    <row r="531" spans="1:12" ht="17.100000000000001" customHeight="1">
      <c r="A531" s="43" t="s">
        <v>348</v>
      </c>
      <c r="B531" s="44" t="s">
        <v>349</v>
      </c>
      <c r="C531" s="44" t="s">
        <v>120</v>
      </c>
      <c r="D531" s="85">
        <v>10104950021</v>
      </c>
      <c r="E531" s="44" t="s">
        <v>1211</v>
      </c>
      <c r="F531" s="44" t="s">
        <v>749</v>
      </c>
      <c r="G531" s="44" t="s">
        <v>1194</v>
      </c>
      <c r="H531" s="44" t="s">
        <v>221</v>
      </c>
      <c r="I531" s="45">
        <v>42795</v>
      </c>
      <c r="J531" s="45">
        <v>42795</v>
      </c>
      <c r="K531" s="45">
        <v>42794</v>
      </c>
      <c r="L531" s="45"/>
    </row>
    <row r="532" spans="1:12" ht="17.100000000000001" customHeight="1">
      <c r="A532" s="43" t="s">
        <v>348</v>
      </c>
      <c r="B532" s="44" t="s">
        <v>349</v>
      </c>
      <c r="C532" s="44" t="s">
        <v>120</v>
      </c>
      <c r="D532" s="85">
        <v>10104931736</v>
      </c>
      <c r="E532" s="44" t="s">
        <v>849</v>
      </c>
      <c r="F532" s="44" t="s">
        <v>219</v>
      </c>
      <c r="G532" s="44" t="s">
        <v>1194</v>
      </c>
      <c r="H532" s="44" t="s">
        <v>76</v>
      </c>
      <c r="I532" s="45">
        <v>42777</v>
      </c>
      <c r="J532" s="45">
        <v>42792</v>
      </c>
      <c r="K532" s="45"/>
      <c r="L532" s="45"/>
    </row>
    <row r="533" spans="1:12" ht="17.100000000000001" customHeight="1">
      <c r="A533" s="43" t="s">
        <v>348</v>
      </c>
      <c r="B533" s="44" t="s">
        <v>349</v>
      </c>
      <c r="C533" s="44" t="s">
        <v>120</v>
      </c>
      <c r="D533" s="85">
        <v>10104943791</v>
      </c>
      <c r="E533" s="44" t="s">
        <v>871</v>
      </c>
      <c r="F533" s="44" t="s">
        <v>213</v>
      </c>
      <c r="G533" s="44" t="s">
        <v>1194</v>
      </c>
      <c r="H533" s="44" t="s">
        <v>74</v>
      </c>
      <c r="I533" s="45">
        <v>42792</v>
      </c>
      <c r="J533" s="45">
        <v>42792</v>
      </c>
      <c r="K533" s="45">
        <v>42792</v>
      </c>
      <c r="L533" s="45"/>
    </row>
    <row r="534" spans="1:12" ht="17.100000000000001" customHeight="1">
      <c r="A534" s="43" t="s">
        <v>348</v>
      </c>
      <c r="B534" s="44" t="s">
        <v>349</v>
      </c>
      <c r="C534" s="44" t="s">
        <v>120</v>
      </c>
      <c r="D534" s="85">
        <v>10104914241</v>
      </c>
      <c r="E534" s="44" t="s">
        <v>1212</v>
      </c>
      <c r="F534" s="44" t="s">
        <v>890</v>
      </c>
      <c r="G534" s="44" t="s">
        <v>357</v>
      </c>
      <c r="H534" s="44" t="s">
        <v>76</v>
      </c>
      <c r="I534" s="45">
        <v>42779</v>
      </c>
      <c r="J534" s="45">
        <v>42779</v>
      </c>
      <c r="K534" s="45"/>
      <c r="L534" s="45"/>
    </row>
    <row r="535" spans="1:12" ht="17.100000000000001" customHeight="1">
      <c r="A535" s="43" t="s">
        <v>348</v>
      </c>
      <c r="B535" s="44" t="s">
        <v>349</v>
      </c>
      <c r="C535" s="44" t="s">
        <v>120</v>
      </c>
      <c r="D535" s="85">
        <v>10104926874</v>
      </c>
      <c r="E535" s="44" t="s">
        <v>850</v>
      </c>
      <c r="F535" s="44" t="s">
        <v>217</v>
      </c>
      <c r="G535" s="44" t="s">
        <v>357</v>
      </c>
      <c r="H535" s="44" t="s">
        <v>74</v>
      </c>
      <c r="I535" s="45">
        <v>42781</v>
      </c>
      <c r="J535" s="45">
        <v>42786</v>
      </c>
      <c r="K535" s="45"/>
      <c r="L535" s="45"/>
    </row>
    <row r="536" spans="1:12" ht="17.100000000000001" customHeight="1">
      <c r="A536" s="43" t="s">
        <v>348</v>
      </c>
      <c r="B536" s="44" t="s">
        <v>349</v>
      </c>
      <c r="C536" s="44" t="s">
        <v>120</v>
      </c>
      <c r="D536" s="85">
        <v>10104950029</v>
      </c>
      <c r="E536" s="44" t="s">
        <v>1213</v>
      </c>
      <c r="F536" s="44" t="s">
        <v>749</v>
      </c>
      <c r="G536" s="44" t="s">
        <v>357</v>
      </c>
      <c r="H536" s="44" t="s">
        <v>221</v>
      </c>
      <c r="I536" s="45">
        <v>42795</v>
      </c>
      <c r="J536" s="45">
        <v>42795</v>
      </c>
      <c r="K536" s="45">
        <v>42794</v>
      </c>
      <c r="L536" s="45"/>
    </row>
    <row r="537" spans="1:12" ht="17.100000000000001" customHeight="1">
      <c r="A537" s="43" t="s">
        <v>348</v>
      </c>
      <c r="B537" s="44" t="s">
        <v>349</v>
      </c>
      <c r="C537" s="44" t="s">
        <v>120</v>
      </c>
      <c r="D537" s="85">
        <v>10104914285</v>
      </c>
      <c r="E537" s="44" t="s">
        <v>851</v>
      </c>
      <c r="F537" s="44" t="s">
        <v>180</v>
      </c>
      <c r="G537" s="44" t="s">
        <v>842</v>
      </c>
      <c r="H537" s="44" t="s">
        <v>74</v>
      </c>
      <c r="I537" s="45">
        <v>42779</v>
      </c>
      <c r="J537" s="45">
        <v>42790</v>
      </c>
      <c r="K537" s="45">
        <v>42785</v>
      </c>
      <c r="L537" s="45"/>
    </row>
    <row r="538" spans="1:12" ht="17.100000000000001" customHeight="1">
      <c r="A538" s="43" t="s">
        <v>348</v>
      </c>
      <c r="B538" s="44" t="s">
        <v>349</v>
      </c>
      <c r="C538" s="44" t="s">
        <v>120</v>
      </c>
      <c r="D538" s="85">
        <v>10104914284</v>
      </c>
      <c r="E538" s="44" t="s">
        <v>852</v>
      </c>
      <c r="F538" s="44" t="s">
        <v>213</v>
      </c>
      <c r="G538" s="44" t="s">
        <v>842</v>
      </c>
      <c r="H538" s="44" t="s">
        <v>76</v>
      </c>
      <c r="I538" s="45">
        <v>42779</v>
      </c>
      <c r="J538" s="45">
        <v>42790</v>
      </c>
      <c r="K538" s="45">
        <v>42785</v>
      </c>
      <c r="L538" s="45"/>
    </row>
    <row r="539" spans="1:12" ht="17.100000000000001" customHeight="1">
      <c r="A539" s="43" t="s">
        <v>348</v>
      </c>
      <c r="B539" s="44" t="s">
        <v>349</v>
      </c>
      <c r="C539" s="44" t="s">
        <v>120</v>
      </c>
      <c r="D539" s="85">
        <v>10104926984</v>
      </c>
      <c r="E539" s="44" t="s">
        <v>366</v>
      </c>
      <c r="F539" s="44" t="s">
        <v>213</v>
      </c>
      <c r="G539" s="44" t="s">
        <v>842</v>
      </c>
      <c r="H539" s="44" t="s">
        <v>74</v>
      </c>
      <c r="I539" s="45">
        <v>42795</v>
      </c>
      <c r="J539" s="45">
        <v>42795</v>
      </c>
      <c r="K539" s="45">
        <v>42793</v>
      </c>
      <c r="L539" s="45"/>
    </row>
    <row r="540" spans="1:12" ht="17.100000000000001" customHeight="1">
      <c r="A540" s="43" t="s">
        <v>348</v>
      </c>
      <c r="B540" s="44" t="s">
        <v>349</v>
      </c>
      <c r="C540" s="44" t="s">
        <v>120</v>
      </c>
      <c r="D540" s="85">
        <v>10104896294</v>
      </c>
      <c r="E540" s="44" t="s">
        <v>369</v>
      </c>
      <c r="F540" s="44" t="s">
        <v>217</v>
      </c>
      <c r="G540" s="44" t="s">
        <v>182</v>
      </c>
      <c r="H540" s="44" t="s">
        <v>131</v>
      </c>
      <c r="I540" s="45">
        <v>42799</v>
      </c>
      <c r="J540" s="45">
        <v>42795</v>
      </c>
      <c r="K540" s="45"/>
      <c r="L540" s="45"/>
    </row>
    <row r="541" spans="1:12" ht="17.100000000000001" customHeight="1">
      <c r="A541" s="43" t="s">
        <v>348</v>
      </c>
      <c r="B541" s="44" t="s">
        <v>349</v>
      </c>
      <c r="C541" s="44" t="s">
        <v>120</v>
      </c>
      <c r="D541" s="85">
        <v>10104916112</v>
      </c>
      <c r="E541" s="44" t="s">
        <v>374</v>
      </c>
      <c r="F541" s="44" t="s">
        <v>213</v>
      </c>
      <c r="G541" s="44" t="s">
        <v>358</v>
      </c>
      <c r="H541" s="44" t="s">
        <v>74</v>
      </c>
      <c r="I541" s="45">
        <v>42778</v>
      </c>
      <c r="J541" s="45">
        <v>42778</v>
      </c>
      <c r="K541" s="45">
        <v>42775</v>
      </c>
      <c r="L541" s="45"/>
    </row>
    <row r="542" spans="1:12" ht="17.100000000000001" customHeight="1">
      <c r="A542" s="43" t="s">
        <v>348</v>
      </c>
      <c r="B542" s="44" t="s">
        <v>349</v>
      </c>
      <c r="C542" s="44" t="s">
        <v>120</v>
      </c>
      <c r="D542" s="85">
        <v>10104904567</v>
      </c>
      <c r="E542" s="44" t="s">
        <v>371</v>
      </c>
      <c r="F542" s="44" t="s">
        <v>180</v>
      </c>
      <c r="G542" s="44" t="s">
        <v>358</v>
      </c>
      <c r="H542" s="44" t="s">
        <v>131</v>
      </c>
      <c r="I542" s="45">
        <v>42772</v>
      </c>
      <c r="J542" s="45">
        <v>42778</v>
      </c>
      <c r="K542" s="45">
        <v>42774</v>
      </c>
      <c r="L542" s="45"/>
    </row>
    <row r="543" spans="1:12" ht="17.100000000000001" customHeight="1">
      <c r="A543" s="43" t="s">
        <v>348</v>
      </c>
      <c r="B543" s="44" t="s">
        <v>349</v>
      </c>
      <c r="C543" s="44" t="s">
        <v>120</v>
      </c>
      <c r="D543" s="85">
        <v>10104904568</v>
      </c>
      <c r="E543" s="44" t="s">
        <v>372</v>
      </c>
      <c r="F543" s="44" t="s">
        <v>180</v>
      </c>
      <c r="G543" s="44" t="s">
        <v>358</v>
      </c>
      <c r="H543" s="44" t="s">
        <v>76</v>
      </c>
      <c r="I543" s="45">
        <v>42772</v>
      </c>
      <c r="J543" s="45">
        <v>42778</v>
      </c>
      <c r="K543" s="45">
        <v>42774</v>
      </c>
      <c r="L543" s="45"/>
    </row>
    <row r="544" spans="1:12" ht="17.100000000000001" customHeight="1">
      <c r="A544" s="43" t="s">
        <v>348</v>
      </c>
      <c r="B544" s="44" t="s">
        <v>349</v>
      </c>
      <c r="C544" s="44" t="s">
        <v>120</v>
      </c>
      <c r="D544" s="85">
        <v>10104916111</v>
      </c>
      <c r="E544" s="44" t="s">
        <v>1214</v>
      </c>
      <c r="F544" s="44" t="s">
        <v>213</v>
      </c>
      <c r="G544" s="44" t="s">
        <v>358</v>
      </c>
      <c r="H544" s="44" t="s">
        <v>76</v>
      </c>
      <c r="I544" s="45">
        <v>42778</v>
      </c>
      <c r="J544" s="45">
        <v>42778</v>
      </c>
      <c r="K544" s="45">
        <v>42775</v>
      </c>
      <c r="L544" s="45"/>
    </row>
    <row r="545" spans="1:12" ht="17.100000000000001" customHeight="1">
      <c r="A545" s="43" t="s">
        <v>348</v>
      </c>
      <c r="B545" s="44" t="s">
        <v>349</v>
      </c>
      <c r="C545" s="44" t="s">
        <v>120</v>
      </c>
      <c r="D545" s="85">
        <v>10104916109</v>
      </c>
      <c r="E545" s="44" t="s">
        <v>1215</v>
      </c>
      <c r="F545" s="44" t="s">
        <v>213</v>
      </c>
      <c r="G545" s="44" t="s">
        <v>358</v>
      </c>
      <c r="H545" s="44" t="s">
        <v>76</v>
      </c>
      <c r="I545" s="45">
        <v>42778</v>
      </c>
      <c r="J545" s="45">
        <v>42778</v>
      </c>
      <c r="K545" s="45">
        <v>42775</v>
      </c>
      <c r="L545" s="45"/>
    </row>
    <row r="546" spans="1:12" ht="17.100000000000001" customHeight="1">
      <c r="A546" s="43" t="s">
        <v>348</v>
      </c>
      <c r="B546" s="44" t="s">
        <v>349</v>
      </c>
      <c r="C546" s="44" t="s">
        <v>120</v>
      </c>
      <c r="D546" s="85">
        <v>10104919890</v>
      </c>
      <c r="E546" s="44" t="s">
        <v>930</v>
      </c>
      <c r="F546" s="44" t="s">
        <v>217</v>
      </c>
      <c r="G546" s="44" t="s">
        <v>361</v>
      </c>
      <c r="H546" s="44" t="s">
        <v>76</v>
      </c>
      <c r="I546" s="45">
        <v>42799</v>
      </c>
      <c r="J546" s="45">
        <v>42795</v>
      </c>
      <c r="K546" s="45"/>
      <c r="L546" s="45"/>
    </row>
    <row r="547" spans="1:12" ht="17.100000000000001" customHeight="1">
      <c r="A547" s="43" t="s">
        <v>348</v>
      </c>
      <c r="B547" s="44" t="s">
        <v>349</v>
      </c>
      <c r="C547" s="44" t="s">
        <v>120</v>
      </c>
      <c r="D547" s="85">
        <v>10104938495</v>
      </c>
      <c r="E547" s="44" t="s">
        <v>373</v>
      </c>
      <c r="F547" s="44" t="s">
        <v>890</v>
      </c>
      <c r="G547" s="44" t="s">
        <v>361</v>
      </c>
      <c r="H547" s="44" t="s">
        <v>76</v>
      </c>
      <c r="I547" s="45">
        <v>42778</v>
      </c>
      <c r="J547" s="45">
        <v>42778</v>
      </c>
      <c r="K547" s="45"/>
      <c r="L547" s="45"/>
    </row>
    <row r="548" spans="1:12" ht="17.100000000000001" customHeight="1">
      <c r="A548" s="43" t="s">
        <v>348</v>
      </c>
      <c r="B548" s="44" t="s">
        <v>349</v>
      </c>
      <c r="C548" s="44" t="s">
        <v>120</v>
      </c>
      <c r="D548" s="85">
        <v>10104919891</v>
      </c>
      <c r="E548" s="44" t="s">
        <v>931</v>
      </c>
      <c r="F548" s="44" t="s">
        <v>213</v>
      </c>
      <c r="G548" s="44" t="s">
        <v>361</v>
      </c>
      <c r="H548" s="44" t="s">
        <v>74</v>
      </c>
      <c r="I548" s="45">
        <v>42781</v>
      </c>
      <c r="J548" s="45">
        <v>42782</v>
      </c>
      <c r="K548" s="45">
        <v>42776</v>
      </c>
      <c r="L548" s="45"/>
    </row>
    <row r="549" spans="1:12" ht="17.100000000000001" customHeight="1">
      <c r="A549" s="43" t="s">
        <v>348</v>
      </c>
      <c r="B549" s="44" t="s">
        <v>349</v>
      </c>
      <c r="C549" s="44" t="s">
        <v>120</v>
      </c>
      <c r="D549" s="85">
        <v>10104919892</v>
      </c>
      <c r="E549" s="44" t="s">
        <v>932</v>
      </c>
      <c r="F549" s="44" t="s">
        <v>213</v>
      </c>
      <c r="G549" s="44" t="s">
        <v>361</v>
      </c>
      <c r="H549" s="44" t="s">
        <v>122</v>
      </c>
      <c r="I549" s="45">
        <v>42781</v>
      </c>
      <c r="J549" s="45">
        <v>42782</v>
      </c>
      <c r="K549" s="45">
        <v>42776</v>
      </c>
      <c r="L549" s="45"/>
    </row>
    <row r="550" spans="1:12" ht="17.100000000000001" customHeight="1">
      <c r="A550" s="43" t="s">
        <v>348</v>
      </c>
      <c r="B550" s="44" t="s">
        <v>349</v>
      </c>
      <c r="C550" s="44" t="s">
        <v>120</v>
      </c>
      <c r="D550" s="85">
        <v>10104906898</v>
      </c>
      <c r="E550" s="44" t="s">
        <v>1216</v>
      </c>
      <c r="F550" s="44" t="s">
        <v>213</v>
      </c>
      <c r="G550" s="44" t="s">
        <v>361</v>
      </c>
      <c r="H550" s="44" t="s">
        <v>74</v>
      </c>
      <c r="I550" s="45">
        <v>42779</v>
      </c>
      <c r="J550" s="45">
        <v>42782</v>
      </c>
      <c r="K550" s="45">
        <v>42776</v>
      </c>
      <c r="L550" s="45"/>
    </row>
    <row r="551" spans="1:12" ht="17.100000000000001" customHeight="1">
      <c r="A551" s="43" t="s">
        <v>348</v>
      </c>
      <c r="B551" s="44" t="s">
        <v>349</v>
      </c>
      <c r="C551" s="44" t="s">
        <v>120</v>
      </c>
      <c r="D551" s="85">
        <v>10104916116</v>
      </c>
      <c r="E551" s="44" t="s">
        <v>370</v>
      </c>
      <c r="F551" s="44" t="s">
        <v>217</v>
      </c>
      <c r="G551" s="44" t="s">
        <v>361</v>
      </c>
      <c r="H551" s="44" t="s">
        <v>76</v>
      </c>
      <c r="I551" s="45">
        <v>42799</v>
      </c>
      <c r="J551" s="45">
        <v>42795</v>
      </c>
      <c r="K551" s="45"/>
      <c r="L551" s="45"/>
    </row>
    <row r="552" spans="1:12" ht="17.100000000000001" customHeight="1">
      <c r="A552" s="43" t="s">
        <v>348</v>
      </c>
      <c r="B552" s="44" t="s">
        <v>349</v>
      </c>
      <c r="C552" s="44" t="s">
        <v>120</v>
      </c>
      <c r="D552" s="85">
        <v>10104916128</v>
      </c>
      <c r="E552" s="44" t="s">
        <v>847</v>
      </c>
      <c r="F552" s="44" t="s">
        <v>213</v>
      </c>
      <c r="G552" s="44" t="s">
        <v>362</v>
      </c>
      <c r="H552" s="44" t="s">
        <v>76</v>
      </c>
      <c r="I552" s="45">
        <v>42781</v>
      </c>
      <c r="J552" s="45">
        <v>42782</v>
      </c>
      <c r="K552" s="45">
        <v>42774</v>
      </c>
      <c r="L552" s="45"/>
    </row>
    <row r="553" spans="1:12" ht="17.100000000000001" customHeight="1">
      <c r="A553" s="43" t="s">
        <v>348</v>
      </c>
      <c r="B553" s="44" t="s">
        <v>349</v>
      </c>
      <c r="C553" s="44" t="s">
        <v>120</v>
      </c>
      <c r="D553" s="85">
        <v>10104914288</v>
      </c>
      <c r="E553" s="44" t="s">
        <v>838</v>
      </c>
      <c r="F553" s="44" t="s">
        <v>213</v>
      </c>
      <c r="G553" s="44" t="s">
        <v>375</v>
      </c>
      <c r="H553" s="44" t="s">
        <v>76</v>
      </c>
      <c r="I553" s="45">
        <v>42779</v>
      </c>
      <c r="J553" s="45">
        <v>42782</v>
      </c>
      <c r="K553" s="45">
        <v>42777</v>
      </c>
      <c r="L553" s="45"/>
    </row>
    <row r="554" spans="1:12" ht="17.100000000000001" customHeight="1">
      <c r="A554" s="43" t="s">
        <v>348</v>
      </c>
      <c r="B554" s="44" t="s">
        <v>349</v>
      </c>
      <c r="C554" s="44" t="s">
        <v>120</v>
      </c>
      <c r="D554" s="85">
        <v>10104908836</v>
      </c>
      <c r="E554" s="44" t="s">
        <v>1217</v>
      </c>
      <c r="F554" s="44" t="s">
        <v>219</v>
      </c>
      <c r="G554" s="44" t="s">
        <v>363</v>
      </c>
      <c r="H554" s="44" t="s">
        <v>76</v>
      </c>
      <c r="I554" s="45">
        <v>42795</v>
      </c>
      <c r="J554" s="45">
        <v>42795</v>
      </c>
      <c r="K554" s="45"/>
      <c r="L554" s="45"/>
    </row>
    <row r="555" spans="1:12" ht="17.100000000000001" customHeight="1">
      <c r="A555" s="43" t="s">
        <v>348</v>
      </c>
      <c r="B555" s="44" t="s">
        <v>349</v>
      </c>
      <c r="C555" s="44" t="s">
        <v>120</v>
      </c>
      <c r="D555" s="85">
        <v>10104910355</v>
      </c>
      <c r="E555" s="44" t="s">
        <v>376</v>
      </c>
      <c r="F555" s="44" t="s">
        <v>213</v>
      </c>
      <c r="G555" s="44" t="s">
        <v>363</v>
      </c>
      <c r="H555" s="44" t="s">
        <v>76</v>
      </c>
      <c r="I555" s="45">
        <v>42795</v>
      </c>
      <c r="J555" s="45">
        <v>42795</v>
      </c>
      <c r="K555" s="45">
        <v>42793</v>
      </c>
      <c r="L555" s="45"/>
    </row>
    <row r="556" spans="1:12" ht="17.100000000000001" customHeight="1">
      <c r="A556" s="43" t="s">
        <v>348</v>
      </c>
      <c r="B556" s="44" t="s">
        <v>349</v>
      </c>
      <c r="C556" s="44" t="s">
        <v>120</v>
      </c>
      <c r="D556" s="85">
        <v>10104908807</v>
      </c>
      <c r="E556" s="44" t="s">
        <v>1218</v>
      </c>
      <c r="F556" s="44" t="s">
        <v>180</v>
      </c>
      <c r="G556" s="44" t="s">
        <v>363</v>
      </c>
      <c r="H556" s="44" t="s">
        <v>74</v>
      </c>
      <c r="I556" s="45">
        <v>42795</v>
      </c>
      <c r="J556" s="45">
        <v>42795</v>
      </c>
      <c r="K556" s="45">
        <v>42793</v>
      </c>
      <c r="L556" s="45"/>
    </row>
    <row r="557" spans="1:12" ht="17.100000000000001" customHeight="1">
      <c r="A557" s="43" t="s">
        <v>348</v>
      </c>
      <c r="B557" s="44" t="s">
        <v>349</v>
      </c>
      <c r="C557" s="44" t="s">
        <v>120</v>
      </c>
      <c r="D557" s="85">
        <v>10104908805</v>
      </c>
      <c r="E557" s="44" t="s">
        <v>1219</v>
      </c>
      <c r="F557" s="44" t="s">
        <v>213</v>
      </c>
      <c r="G557" s="44" t="s">
        <v>363</v>
      </c>
      <c r="H557" s="44" t="s">
        <v>76</v>
      </c>
      <c r="I557" s="45">
        <v>42795</v>
      </c>
      <c r="J557" s="45">
        <v>42795</v>
      </c>
      <c r="K557" s="45">
        <v>42793</v>
      </c>
      <c r="L557" s="45"/>
    </row>
    <row r="558" spans="1:12" ht="17.100000000000001" customHeight="1">
      <c r="A558" s="43" t="s">
        <v>348</v>
      </c>
      <c r="B558" s="44" t="s">
        <v>349</v>
      </c>
      <c r="C558" s="44" t="s">
        <v>120</v>
      </c>
      <c r="D558" s="85">
        <v>10104881629</v>
      </c>
      <c r="E558" s="44" t="s">
        <v>845</v>
      </c>
      <c r="F558" s="44" t="s">
        <v>180</v>
      </c>
      <c r="G558" s="44" t="s">
        <v>843</v>
      </c>
      <c r="H558" s="44" t="s">
        <v>74</v>
      </c>
      <c r="I558" s="45">
        <v>42777</v>
      </c>
      <c r="J558" s="45">
        <v>42782</v>
      </c>
      <c r="K558" s="45">
        <v>42779</v>
      </c>
      <c r="L558" s="45"/>
    </row>
    <row r="559" spans="1:12" ht="17.100000000000001" customHeight="1">
      <c r="A559" s="43" t="s">
        <v>348</v>
      </c>
      <c r="B559" s="44" t="s">
        <v>349</v>
      </c>
      <c r="C559" s="44" t="s">
        <v>120</v>
      </c>
      <c r="D559" s="85">
        <v>10104881628</v>
      </c>
      <c r="E559" s="44" t="s">
        <v>844</v>
      </c>
      <c r="F559" s="44" t="s">
        <v>213</v>
      </c>
      <c r="G559" s="44" t="s">
        <v>843</v>
      </c>
      <c r="H559" s="44" t="s">
        <v>76</v>
      </c>
      <c r="I559" s="45">
        <v>42777</v>
      </c>
      <c r="J559" s="45">
        <v>42782</v>
      </c>
      <c r="K559" s="45">
        <v>42779</v>
      </c>
      <c r="L559" s="45"/>
    </row>
    <row r="560" spans="1:12" ht="17.100000000000001" customHeight="1">
      <c r="A560" s="43" t="s">
        <v>348</v>
      </c>
      <c r="B560" s="44" t="s">
        <v>349</v>
      </c>
      <c r="C560" s="44" t="s">
        <v>120</v>
      </c>
      <c r="D560" s="85">
        <v>10104914281</v>
      </c>
      <c r="E560" s="44" t="s">
        <v>851</v>
      </c>
      <c r="F560" s="44" t="s">
        <v>213</v>
      </c>
      <c r="G560" s="44" t="s">
        <v>365</v>
      </c>
      <c r="H560" s="44" t="s">
        <v>74</v>
      </c>
      <c r="I560" s="45">
        <v>42795</v>
      </c>
      <c r="J560" s="45">
        <v>42795</v>
      </c>
      <c r="K560" s="45">
        <v>42793</v>
      </c>
      <c r="L560" s="45"/>
    </row>
    <row r="561" spans="1:12" ht="17.100000000000001" customHeight="1">
      <c r="A561" s="43" t="s">
        <v>348</v>
      </c>
      <c r="B561" s="44" t="s">
        <v>349</v>
      </c>
      <c r="C561" s="44" t="s">
        <v>120</v>
      </c>
      <c r="D561" s="85">
        <v>10104914280</v>
      </c>
      <c r="E561" s="44" t="s">
        <v>852</v>
      </c>
      <c r="F561" s="44" t="s">
        <v>890</v>
      </c>
      <c r="G561" s="44" t="s">
        <v>365</v>
      </c>
      <c r="H561" s="44" t="s">
        <v>76</v>
      </c>
      <c r="I561" s="45">
        <v>42779</v>
      </c>
      <c r="J561" s="45">
        <v>42779</v>
      </c>
      <c r="K561" s="45"/>
      <c r="L561" s="45"/>
    </row>
    <row r="562" spans="1:12" ht="17.100000000000001" customHeight="1">
      <c r="A562" s="43" t="s">
        <v>348</v>
      </c>
      <c r="B562" s="44" t="s">
        <v>349</v>
      </c>
      <c r="C562" s="44" t="s">
        <v>120</v>
      </c>
      <c r="D562" s="85">
        <v>10104950028</v>
      </c>
      <c r="E562" s="44" t="s">
        <v>1220</v>
      </c>
      <c r="F562" s="44" t="s">
        <v>749</v>
      </c>
      <c r="G562" s="44" t="s">
        <v>365</v>
      </c>
      <c r="H562" s="44" t="s">
        <v>221</v>
      </c>
      <c r="I562" s="45">
        <v>42795</v>
      </c>
      <c r="J562" s="45">
        <v>42795</v>
      </c>
      <c r="K562" s="45">
        <v>42794</v>
      </c>
      <c r="L562" s="45"/>
    </row>
    <row r="563" spans="1:12" ht="17.100000000000001" customHeight="1">
      <c r="A563" s="43" t="s">
        <v>348</v>
      </c>
      <c r="B563" s="44" t="s">
        <v>349</v>
      </c>
      <c r="C563" s="44" t="s">
        <v>120</v>
      </c>
      <c r="D563" s="85">
        <v>10104949960</v>
      </c>
      <c r="E563" s="44" t="s">
        <v>1221</v>
      </c>
      <c r="F563" s="44" t="s">
        <v>749</v>
      </c>
      <c r="G563" s="44" t="s">
        <v>1222</v>
      </c>
      <c r="H563" s="44" t="s">
        <v>221</v>
      </c>
      <c r="I563" s="45">
        <v>42795</v>
      </c>
      <c r="J563" s="45">
        <v>42795</v>
      </c>
      <c r="K563" s="45">
        <v>42794</v>
      </c>
      <c r="L563" s="45"/>
    </row>
    <row r="564" spans="1:12" ht="17.100000000000001" customHeight="1">
      <c r="A564" s="43" t="s">
        <v>348</v>
      </c>
      <c r="B564" s="44" t="s">
        <v>349</v>
      </c>
      <c r="C564" s="44" t="s">
        <v>120</v>
      </c>
      <c r="D564" s="85">
        <v>10104916122</v>
      </c>
      <c r="E564" s="44" t="s">
        <v>847</v>
      </c>
      <c r="F564" s="44" t="s">
        <v>217</v>
      </c>
      <c r="G564" s="44" t="s">
        <v>1198</v>
      </c>
      <c r="H564" s="44" t="s">
        <v>76</v>
      </c>
      <c r="I564" s="45">
        <v>42781</v>
      </c>
      <c r="J564" s="45">
        <v>42786</v>
      </c>
      <c r="K564" s="45"/>
      <c r="L564" s="45"/>
    </row>
    <row r="565" spans="1:12" ht="17.100000000000001" customHeight="1">
      <c r="A565" s="43" t="s">
        <v>348</v>
      </c>
      <c r="B565" s="44" t="s">
        <v>344</v>
      </c>
      <c r="C565" s="44" t="s">
        <v>120</v>
      </c>
      <c r="D565" s="85">
        <v>10104950030</v>
      </c>
      <c r="E565" s="44" t="s">
        <v>1223</v>
      </c>
      <c r="F565" s="44" t="s">
        <v>749</v>
      </c>
      <c r="G565" s="44" t="s">
        <v>1198</v>
      </c>
      <c r="H565" s="44" t="s">
        <v>221</v>
      </c>
      <c r="I565" s="45">
        <v>42795</v>
      </c>
      <c r="J565" s="45">
        <v>42795</v>
      </c>
      <c r="K565" s="45">
        <v>42794</v>
      </c>
      <c r="L565" s="45"/>
    </row>
    <row r="566" spans="1:12" ht="17.100000000000001" customHeight="1">
      <c r="A566" s="43" t="s">
        <v>377</v>
      </c>
      <c r="B566" s="44" t="s">
        <v>380</v>
      </c>
      <c r="C566" s="44" t="s">
        <v>73</v>
      </c>
      <c r="D566" s="85">
        <v>10104923798</v>
      </c>
      <c r="E566" s="44" t="s">
        <v>1224</v>
      </c>
      <c r="F566" s="44" t="s">
        <v>180</v>
      </c>
      <c r="G566" s="44" t="s">
        <v>1225</v>
      </c>
      <c r="H566" s="44" t="s">
        <v>74</v>
      </c>
      <c r="I566" s="45">
        <v>42780</v>
      </c>
      <c r="J566" s="45">
        <v>42780</v>
      </c>
      <c r="K566" s="45">
        <v>42779</v>
      </c>
      <c r="L566" s="45"/>
    </row>
    <row r="567" spans="1:12" ht="17.100000000000001" customHeight="1">
      <c r="A567" s="43" t="s">
        <v>377</v>
      </c>
      <c r="B567" s="44" t="s">
        <v>380</v>
      </c>
      <c r="C567" s="44" t="s">
        <v>73</v>
      </c>
      <c r="D567" s="85">
        <v>10104923797</v>
      </c>
      <c r="E567" s="44" t="s">
        <v>1226</v>
      </c>
      <c r="F567" s="44" t="s">
        <v>180</v>
      </c>
      <c r="G567" s="44" t="s">
        <v>1225</v>
      </c>
      <c r="H567" s="44" t="s">
        <v>74</v>
      </c>
      <c r="I567" s="45">
        <v>42780</v>
      </c>
      <c r="J567" s="45">
        <v>42780</v>
      </c>
      <c r="K567" s="45">
        <v>42779</v>
      </c>
      <c r="L567" s="45"/>
    </row>
    <row r="568" spans="1:12" ht="17.100000000000001" customHeight="1">
      <c r="A568" s="43" t="s">
        <v>377</v>
      </c>
      <c r="B568" s="44" t="s">
        <v>379</v>
      </c>
      <c r="C568" s="44" t="s">
        <v>73</v>
      </c>
      <c r="D568" s="85">
        <v>10104897024</v>
      </c>
      <c r="E568" s="44" t="s">
        <v>1227</v>
      </c>
      <c r="F568" s="44" t="s">
        <v>180</v>
      </c>
      <c r="G568" s="44" t="s">
        <v>853</v>
      </c>
      <c r="H568" s="44" t="s">
        <v>76</v>
      </c>
      <c r="I568" s="45">
        <v>42768</v>
      </c>
      <c r="J568" s="45">
        <v>42771</v>
      </c>
      <c r="K568" s="45">
        <v>42771</v>
      </c>
      <c r="L568" s="45"/>
    </row>
    <row r="569" spans="1:12" ht="17.100000000000001" customHeight="1">
      <c r="A569" s="43" t="s">
        <v>377</v>
      </c>
      <c r="B569" s="44" t="s">
        <v>380</v>
      </c>
      <c r="C569" s="44" t="s">
        <v>73</v>
      </c>
      <c r="D569" s="85">
        <v>10104914322</v>
      </c>
      <c r="E569" s="44" t="s">
        <v>1228</v>
      </c>
      <c r="F569" s="44" t="s">
        <v>180</v>
      </c>
      <c r="G569" s="44" t="s">
        <v>1229</v>
      </c>
      <c r="H569" s="44" t="s">
        <v>74</v>
      </c>
      <c r="I569" s="45">
        <v>42780</v>
      </c>
      <c r="J569" s="45">
        <v>42780</v>
      </c>
      <c r="K569" s="45">
        <v>42777</v>
      </c>
      <c r="L569" s="45"/>
    </row>
    <row r="570" spans="1:12" ht="17.100000000000001" customHeight="1">
      <c r="A570" s="43" t="s">
        <v>377</v>
      </c>
      <c r="B570" s="44" t="s">
        <v>379</v>
      </c>
      <c r="C570" s="44" t="s">
        <v>73</v>
      </c>
      <c r="D570" s="85">
        <v>10104893645</v>
      </c>
      <c r="E570" s="44" t="s">
        <v>1230</v>
      </c>
      <c r="F570" s="44" t="s">
        <v>180</v>
      </c>
      <c r="G570" s="44" t="s">
        <v>755</v>
      </c>
      <c r="H570" s="44" t="s">
        <v>76</v>
      </c>
      <c r="I570" s="45">
        <v>42773</v>
      </c>
      <c r="J570" s="45">
        <v>42773</v>
      </c>
      <c r="K570" s="45">
        <v>42772</v>
      </c>
      <c r="L570" s="45"/>
    </row>
    <row r="571" spans="1:12" ht="17.100000000000001" customHeight="1">
      <c r="A571" s="43" t="s">
        <v>377</v>
      </c>
      <c r="B571" s="44" t="s">
        <v>379</v>
      </c>
      <c r="C571" s="44" t="s">
        <v>73</v>
      </c>
      <c r="D571" s="85">
        <v>10104893618</v>
      </c>
      <c r="E571" s="44" t="s">
        <v>1231</v>
      </c>
      <c r="F571" s="44" t="s">
        <v>180</v>
      </c>
      <c r="G571" s="44" t="s">
        <v>755</v>
      </c>
      <c r="H571" s="44" t="s">
        <v>76</v>
      </c>
      <c r="I571" s="45">
        <v>42775</v>
      </c>
      <c r="J571" s="45">
        <v>42775</v>
      </c>
      <c r="K571" s="45">
        <v>42775</v>
      </c>
      <c r="L571" s="45"/>
    </row>
    <row r="572" spans="1:12" ht="17.100000000000001" customHeight="1">
      <c r="A572" s="43" t="s">
        <v>377</v>
      </c>
      <c r="B572" s="44" t="s">
        <v>379</v>
      </c>
      <c r="C572" s="44" t="s">
        <v>73</v>
      </c>
      <c r="D572" s="85">
        <v>10104893643</v>
      </c>
      <c r="E572" s="44" t="s">
        <v>1232</v>
      </c>
      <c r="F572" s="44" t="s">
        <v>180</v>
      </c>
      <c r="G572" s="44" t="s">
        <v>755</v>
      </c>
      <c r="H572" s="44" t="s">
        <v>76</v>
      </c>
      <c r="I572" s="45">
        <v>42775</v>
      </c>
      <c r="J572" s="45">
        <v>42775</v>
      </c>
      <c r="K572" s="45">
        <v>42775</v>
      </c>
      <c r="L572" s="45"/>
    </row>
    <row r="573" spans="1:12" ht="17.100000000000001" customHeight="1">
      <c r="A573" s="43" t="s">
        <v>377</v>
      </c>
      <c r="B573" s="44" t="s">
        <v>379</v>
      </c>
      <c r="C573" s="44" t="s">
        <v>73</v>
      </c>
      <c r="D573" s="85">
        <v>10104893625</v>
      </c>
      <c r="E573" s="44" t="s">
        <v>940</v>
      </c>
      <c r="F573" s="44" t="s">
        <v>180</v>
      </c>
      <c r="G573" s="44" t="s">
        <v>933</v>
      </c>
      <c r="H573" s="44" t="s">
        <v>76</v>
      </c>
      <c r="I573" s="45">
        <v>42773</v>
      </c>
      <c r="J573" s="45">
        <v>42773</v>
      </c>
      <c r="K573" s="45">
        <v>42772</v>
      </c>
      <c r="L573" s="45"/>
    </row>
    <row r="574" spans="1:12" ht="17.100000000000001" customHeight="1">
      <c r="A574" s="43" t="s">
        <v>377</v>
      </c>
      <c r="B574" s="44" t="s">
        <v>379</v>
      </c>
      <c r="C574" s="44" t="s">
        <v>73</v>
      </c>
      <c r="D574" s="85">
        <v>10104893624</v>
      </c>
      <c r="E574" s="44" t="s">
        <v>943</v>
      </c>
      <c r="F574" s="44" t="s">
        <v>180</v>
      </c>
      <c r="G574" s="44" t="s">
        <v>933</v>
      </c>
      <c r="H574" s="44" t="s">
        <v>76</v>
      </c>
      <c r="I574" s="45">
        <v>42773</v>
      </c>
      <c r="J574" s="45">
        <v>42773</v>
      </c>
      <c r="K574" s="45">
        <v>42772</v>
      </c>
      <c r="L574" s="45"/>
    </row>
    <row r="575" spans="1:12" ht="17.100000000000001" customHeight="1">
      <c r="A575" s="43" t="s">
        <v>377</v>
      </c>
      <c r="B575" s="44" t="s">
        <v>379</v>
      </c>
      <c r="C575" s="44" t="s">
        <v>73</v>
      </c>
      <c r="D575" s="85">
        <v>10104893597</v>
      </c>
      <c r="E575" s="44" t="s">
        <v>1233</v>
      </c>
      <c r="F575" s="44" t="s">
        <v>180</v>
      </c>
      <c r="G575" s="44" t="s">
        <v>933</v>
      </c>
      <c r="H575" s="44" t="s">
        <v>76</v>
      </c>
      <c r="I575" s="45">
        <v>42775</v>
      </c>
      <c r="J575" s="45">
        <v>42775</v>
      </c>
      <c r="K575" s="45">
        <v>42775</v>
      </c>
      <c r="L575" s="45"/>
    </row>
    <row r="576" spans="1:12" ht="17.100000000000001" customHeight="1">
      <c r="A576" s="43" t="s">
        <v>377</v>
      </c>
      <c r="B576" s="44" t="s">
        <v>379</v>
      </c>
      <c r="C576" s="44" t="s">
        <v>73</v>
      </c>
      <c r="D576" s="85">
        <v>10104893622</v>
      </c>
      <c r="E576" s="44" t="s">
        <v>1234</v>
      </c>
      <c r="F576" s="44" t="s">
        <v>180</v>
      </c>
      <c r="G576" s="44" t="s">
        <v>933</v>
      </c>
      <c r="H576" s="44" t="s">
        <v>76</v>
      </c>
      <c r="I576" s="45">
        <v>42775</v>
      </c>
      <c r="J576" s="45">
        <v>42775</v>
      </c>
      <c r="K576" s="45">
        <v>42775</v>
      </c>
      <c r="L576" s="45"/>
    </row>
    <row r="577" spans="1:12" ht="17.100000000000001" customHeight="1">
      <c r="A577" s="43" t="s">
        <v>377</v>
      </c>
      <c r="B577" s="44" t="s">
        <v>379</v>
      </c>
      <c r="C577" s="44" t="s">
        <v>73</v>
      </c>
      <c r="D577" s="85">
        <v>10104893601</v>
      </c>
      <c r="E577" s="44" t="s">
        <v>939</v>
      </c>
      <c r="F577" s="44" t="s">
        <v>180</v>
      </c>
      <c r="G577" s="44" t="s">
        <v>933</v>
      </c>
      <c r="H577" s="44" t="s">
        <v>76</v>
      </c>
      <c r="I577" s="45">
        <v>42773</v>
      </c>
      <c r="J577" s="45">
        <v>42773</v>
      </c>
      <c r="K577" s="45">
        <v>42772</v>
      </c>
      <c r="L577" s="45"/>
    </row>
    <row r="578" spans="1:12" ht="17.100000000000001" customHeight="1">
      <c r="A578" s="43" t="s">
        <v>377</v>
      </c>
      <c r="B578" s="44" t="s">
        <v>380</v>
      </c>
      <c r="C578" s="44" t="s">
        <v>73</v>
      </c>
      <c r="D578" s="85">
        <v>10104930779</v>
      </c>
      <c r="E578" s="44" t="s">
        <v>1235</v>
      </c>
      <c r="F578" s="44" t="s">
        <v>180</v>
      </c>
      <c r="G578" s="44" t="s">
        <v>436</v>
      </c>
      <c r="H578" s="44" t="s">
        <v>74</v>
      </c>
      <c r="I578" s="45">
        <v>42794</v>
      </c>
      <c r="J578" s="45">
        <v>42795</v>
      </c>
      <c r="K578" s="45">
        <v>42794</v>
      </c>
      <c r="L578" s="45"/>
    </row>
    <row r="579" spans="1:12" ht="17.100000000000001" customHeight="1">
      <c r="A579" s="43" t="s">
        <v>377</v>
      </c>
      <c r="B579" s="44" t="s">
        <v>379</v>
      </c>
      <c r="C579" s="44" t="s">
        <v>73</v>
      </c>
      <c r="D579" s="85">
        <v>10104893598</v>
      </c>
      <c r="E579" s="44" t="s">
        <v>1236</v>
      </c>
      <c r="F579" s="44" t="s">
        <v>180</v>
      </c>
      <c r="G579" s="44" t="s">
        <v>935</v>
      </c>
      <c r="H579" s="44" t="s">
        <v>76</v>
      </c>
      <c r="I579" s="45">
        <v>42773</v>
      </c>
      <c r="J579" s="45">
        <v>42773</v>
      </c>
      <c r="K579" s="45">
        <v>42772</v>
      </c>
      <c r="L579" s="45"/>
    </row>
    <row r="580" spans="1:12" ht="17.100000000000001" customHeight="1">
      <c r="A580" s="43" t="s">
        <v>377</v>
      </c>
      <c r="B580" s="44" t="s">
        <v>379</v>
      </c>
      <c r="C580" s="44" t="s">
        <v>73</v>
      </c>
      <c r="D580" s="85">
        <v>10104893619</v>
      </c>
      <c r="E580" s="44" t="s">
        <v>1237</v>
      </c>
      <c r="F580" s="44" t="s">
        <v>180</v>
      </c>
      <c r="G580" s="44" t="s">
        <v>935</v>
      </c>
      <c r="H580" s="44" t="s">
        <v>76</v>
      </c>
      <c r="I580" s="45">
        <v>42773</v>
      </c>
      <c r="J580" s="45">
        <v>42773</v>
      </c>
      <c r="K580" s="45">
        <v>42772</v>
      </c>
      <c r="L580" s="45"/>
    </row>
    <row r="581" spans="1:12" ht="17.100000000000001" customHeight="1">
      <c r="A581" s="43" t="s">
        <v>377</v>
      </c>
      <c r="B581" s="44" t="s">
        <v>380</v>
      </c>
      <c r="C581" s="44" t="s">
        <v>73</v>
      </c>
      <c r="D581" s="85">
        <v>10104914321</v>
      </c>
      <c r="E581" s="44" t="s">
        <v>1238</v>
      </c>
      <c r="F581" s="44" t="s">
        <v>180</v>
      </c>
      <c r="G581" s="44" t="s">
        <v>437</v>
      </c>
      <c r="H581" s="44" t="s">
        <v>74</v>
      </c>
      <c r="I581" s="45">
        <v>42794</v>
      </c>
      <c r="J581" s="45">
        <v>42795</v>
      </c>
      <c r="K581" s="45">
        <v>42794</v>
      </c>
      <c r="L581" s="45"/>
    </row>
    <row r="582" spans="1:12" ht="17.100000000000001" customHeight="1">
      <c r="A582" s="43" t="s">
        <v>377</v>
      </c>
      <c r="B582" s="44" t="s">
        <v>379</v>
      </c>
      <c r="C582" s="44" t="s">
        <v>73</v>
      </c>
      <c r="D582" s="85">
        <v>10104898035</v>
      </c>
      <c r="E582" s="44" t="s">
        <v>381</v>
      </c>
      <c r="F582" s="44" t="s">
        <v>180</v>
      </c>
      <c r="G582" s="44" t="s">
        <v>382</v>
      </c>
      <c r="H582" s="44" t="s">
        <v>76</v>
      </c>
      <c r="I582" s="45">
        <v>42769</v>
      </c>
      <c r="J582" s="45">
        <v>42771</v>
      </c>
      <c r="K582" s="45">
        <v>42770</v>
      </c>
      <c r="L582" s="45"/>
    </row>
    <row r="583" spans="1:12" ht="17.100000000000001" customHeight="1">
      <c r="A583" s="43" t="s">
        <v>377</v>
      </c>
      <c r="B583" s="44" t="s">
        <v>379</v>
      </c>
      <c r="C583" s="44" t="s">
        <v>73</v>
      </c>
      <c r="D583" s="85">
        <v>10104898036</v>
      </c>
      <c r="E583" s="44" t="s">
        <v>381</v>
      </c>
      <c r="F583" s="44" t="s">
        <v>180</v>
      </c>
      <c r="G583" s="44" t="s">
        <v>383</v>
      </c>
      <c r="H583" s="44" t="s">
        <v>76</v>
      </c>
      <c r="I583" s="45">
        <v>42769</v>
      </c>
      <c r="J583" s="45">
        <v>42771</v>
      </c>
      <c r="K583" s="45">
        <v>42771</v>
      </c>
      <c r="L583" s="45"/>
    </row>
    <row r="584" spans="1:12" ht="17.100000000000001" customHeight="1">
      <c r="A584" s="43" t="s">
        <v>377</v>
      </c>
      <c r="B584" s="44" t="s">
        <v>385</v>
      </c>
      <c r="C584" s="44" t="s">
        <v>73</v>
      </c>
      <c r="D584" s="85">
        <v>10104911919</v>
      </c>
      <c r="E584" s="44" t="s">
        <v>1239</v>
      </c>
      <c r="F584" s="44" t="s">
        <v>180</v>
      </c>
      <c r="G584" s="44" t="s">
        <v>384</v>
      </c>
      <c r="H584" s="44" t="s">
        <v>76</v>
      </c>
      <c r="I584" s="45">
        <v>42772</v>
      </c>
      <c r="J584" s="45">
        <v>42772</v>
      </c>
      <c r="K584" s="45">
        <v>42772</v>
      </c>
      <c r="L584" s="45"/>
    </row>
    <row r="585" spans="1:12" ht="17.100000000000001" customHeight="1">
      <c r="A585" s="43" t="s">
        <v>377</v>
      </c>
      <c r="B585" s="44" t="s">
        <v>380</v>
      </c>
      <c r="C585" s="44" t="s">
        <v>73</v>
      </c>
      <c r="D585" s="85">
        <v>10104929949</v>
      </c>
      <c r="E585" s="44" t="s">
        <v>1240</v>
      </c>
      <c r="F585" s="44" t="s">
        <v>180</v>
      </c>
      <c r="G585" s="44" t="s">
        <v>384</v>
      </c>
      <c r="H585" s="44" t="s">
        <v>74</v>
      </c>
      <c r="I585" s="45">
        <v>42777</v>
      </c>
      <c r="J585" s="45">
        <v>42795</v>
      </c>
      <c r="K585" s="45">
        <v>42787</v>
      </c>
      <c r="L585" s="45"/>
    </row>
    <row r="586" spans="1:12" ht="17.100000000000001" customHeight="1">
      <c r="A586" s="43" t="s">
        <v>377</v>
      </c>
      <c r="B586" s="44" t="s">
        <v>380</v>
      </c>
      <c r="C586" s="44" t="s">
        <v>73</v>
      </c>
      <c r="D586" s="85">
        <v>10104947835</v>
      </c>
      <c r="E586" s="44" t="s">
        <v>386</v>
      </c>
      <c r="F586" s="44" t="s">
        <v>146</v>
      </c>
      <c r="G586" s="44" t="s">
        <v>387</v>
      </c>
      <c r="H586" s="44" t="s">
        <v>74</v>
      </c>
      <c r="I586" s="45">
        <v>42778</v>
      </c>
      <c r="J586" s="45">
        <v>42781</v>
      </c>
      <c r="K586" s="45"/>
      <c r="L586" s="45"/>
    </row>
    <row r="587" spans="1:12" ht="17.100000000000001" customHeight="1">
      <c r="A587" s="43" t="s">
        <v>377</v>
      </c>
      <c r="B587" s="44" t="s">
        <v>385</v>
      </c>
      <c r="C587" s="44" t="s">
        <v>73</v>
      </c>
      <c r="D587" s="85">
        <v>10104899229</v>
      </c>
      <c r="E587" s="44" t="s">
        <v>1241</v>
      </c>
      <c r="F587" s="44" t="s">
        <v>180</v>
      </c>
      <c r="G587" s="44" t="s">
        <v>388</v>
      </c>
      <c r="H587" s="44" t="s">
        <v>74</v>
      </c>
      <c r="I587" s="45">
        <v>42768</v>
      </c>
      <c r="J587" s="45">
        <v>42768</v>
      </c>
      <c r="K587" s="45">
        <v>42768</v>
      </c>
      <c r="L587" s="45"/>
    </row>
    <row r="588" spans="1:12" ht="17.100000000000001" customHeight="1">
      <c r="A588" s="43" t="s">
        <v>377</v>
      </c>
      <c r="B588" s="44" t="s">
        <v>380</v>
      </c>
      <c r="C588" s="44" t="s">
        <v>73</v>
      </c>
      <c r="D588" s="85">
        <v>10104899196</v>
      </c>
      <c r="E588" s="44" t="s">
        <v>1242</v>
      </c>
      <c r="F588" s="44" t="s">
        <v>180</v>
      </c>
      <c r="G588" s="44" t="s">
        <v>389</v>
      </c>
      <c r="H588" s="44" t="s">
        <v>74</v>
      </c>
      <c r="I588" s="45">
        <v>42768</v>
      </c>
      <c r="J588" s="45">
        <v>42768</v>
      </c>
      <c r="K588" s="45">
        <v>42768</v>
      </c>
      <c r="L588" s="45"/>
    </row>
    <row r="589" spans="1:12" ht="17.100000000000001" customHeight="1">
      <c r="A589" s="43" t="s">
        <v>377</v>
      </c>
      <c r="B589" s="44" t="s">
        <v>380</v>
      </c>
      <c r="C589" s="44" t="s">
        <v>73</v>
      </c>
      <c r="D589" s="85">
        <v>10104947833</v>
      </c>
      <c r="E589" s="44" t="s">
        <v>800</v>
      </c>
      <c r="F589" s="44" t="s">
        <v>180</v>
      </c>
      <c r="G589" s="44" t="s">
        <v>390</v>
      </c>
      <c r="H589" s="44" t="s">
        <v>74</v>
      </c>
      <c r="I589" s="45">
        <v>42778</v>
      </c>
      <c r="J589" s="45">
        <v>42790</v>
      </c>
      <c r="K589" s="45">
        <v>42787</v>
      </c>
      <c r="L589" s="45"/>
    </row>
    <row r="590" spans="1:12" ht="17.100000000000001" customHeight="1">
      <c r="A590" s="43" t="s">
        <v>377</v>
      </c>
      <c r="B590" s="44" t="s">
        <v>380</v>
      </c>
      <c r="C590" s="44" t="s">
        <v>73</v>
      </c>
      <c r="D590" s="85">
        <v>10104933007</v>
      </c>
      <c r="E590" s="44" t="s">
        <v>391</v>
      </c>
      <c r="F590" s="44" t="s">
        <v>180</v>
      </c>
      <c r="G590" s="44" t="s">
        <v>392</v>
      </c>
      <c r="H590" s="44" t="s">
        <v>74</v>
      </c>
      <c r="I590" s="45">
        <v>42768</v>
      </c>
      <c r="J590" s="45">
        <v>42768</v>
      </c>
      <c r="K590" s="45">
        <v>42768</v>
      </c>
      <c r="L590" s="45"/>
    </row>
    <row r="591" spans="1:12" ht="17.100000000000001" customHeight="1">
      <c r="A591" s="43" t="s">
        <v>377</v>
      </c>
      <c r="B591" s="44" t="s">
        <v>380</v>
      </c>
      <c r="C591" s="44" t="s">
        <v>73</v>
      </c>
      <c r="D591" s="85">
        <v>10104941541</v>
      </c>
      <c r="E591" s="44" t="s">
        <v>391</v>
      </c>
      <c r="F591" s="44" t="s">
        <v>180</v>
      </c>
      <c r="G591" s="44" t="s">
        <v>392</v>
      </c>
      <c r="H591" s="44" t="s">
        <v>74</v>
      </c>
      <c r="I591" s="45">
        <v>42779</v>
      </c>
      <c r="J591" s="45">
        <v>42790</v>
      </c>
      <c r="K591" s="45">
        <v>42780</v>
      </c>
      <c r="L591" s="45"/>
    </row>
    <row r="592" spans="1:12" ht="17.100000000000001" customHeight="1">
      <c r="A592" s="43" t="s">
        <v>377</v>
      </c>
      <c r="B592" s="44" t="s">
        <v>380</v>
      </c>
      <c r="C592" s="44" t="s">
        <v>73</v>
      </c>
      <c r="D592" s="85">
        <v>10104958402</v>
      </c>
      <c r="E592" s="44" t="s">
        <v>391</v>
      </c>
      <c r="F592" s="44" t="s">
        <v>219</v>
      </c>
      <c r="G592" s="44" t="s">
        <v>392</v>
      </c>
      <c r="H592" s="44" t="s">
        <v>74</v>
      </c>
      <c r="I592" s="45">
        <v>42793</v>
      </c>
      <c r="J592" s="45">
        <v>42796</v>
      </c>
      <c r="K592" s="45"/>
      <c r="L592" s="45"/>
    </row>
    <row r="593" spans="1:12" ht="17.100000000000001" customHeight="1">
      <c r="A593" s="43" t="s">
        <v>377</v>
      </c>
      <c r="B593" s="44" t="s">
        <v>380</v>
      </c>
      <c r="C593" s="44" t="s">
        <v>73</v>
      </c>
      <c r="D593" s="85">
        <v>10104949757</v>
      </c>
      <c r="E593" s="44" t="s">
        <v>391</v>
      </c>
      <c r="F593" s="44" t="s">
        <v>180</v>
      </c>
      <c r="G593" s="44" t="s">
        <v>392</v>
      </c>
      <c r="H593" s="44" t="s">
        <v>74</v>
      </c>
      <c r="I593" s="45">
        <v>42786</v>
      </c>
      <c r="J593" s="45">
        <v>42793</v>
      </c>
      <c r="K593" s="45">
        <v>42790</v>
      </c>
      <c r="L593" s="45"/>
    </row>
    <row r="594" spans="1:12" ht="17.100000000000001" customHeight="1">
      <c r="A594" s="43" t="s">
        <v>377</v>
      </c>
      <c r="B594" s="44" t="s">
        <v>385</v>
      </c>
      <c r="C594" s="44" t="s">
        <v>73</v>
      </c>
      <c r="D594" s="85">
        <v>10104928342</v>
      </c>
      <c r="E594" s="44" t="s">
        <v>1243</v>
      </c>
      <c r="F594" s="44" t="s">
        <v>180</v>
      </c>
      <c r="G594" s="44" t="s">
        <v>1244</v>
      </c>
      <c r="H594" s="44" t="s">
        <v>76</v>
      </c>
      <c r="I594" s="45">
        <v>42792</v>
      </c>
      <c r="J594" s="45">
        <v>42796</v>
      </c>
      <c r="K594" s="45">
        <v>42792</v>
      </c>
      <c r="L594" s="45"/>
    </row>
    <row r="595" spans="1:12" ht="17.100000000000001" customHeight="1">
      <c r="A595" s="43" t="s">
        <v>377</v>
      </c>
      <c r="B595" s="44" t="s">
        <v>380</v>
      </c>
      <c r="C595" s="44" t="s">
        <v>73</v>
      </c>
      <c r="D595" s="85">
        <v>10104899260</v>
      </c>
      <c r="E595" s="44" t="s">
        <v>1245</v>
      </c>
      <c r="F595" s="44" t="s">
        <v>219</v>
      </c>
      <c r="G595" s="44" t="s">
        <v>1244</v>
      </c>
      <c r="H595" s="44" t="s">
        <v>74</v>
      </c>
      <c r="I595" s="45">
        <v>42770</v>
      </c>
      <c r="J595" s="45">
        <v>42790</v>
      </c>
      <c r="K595" s="45"/>
      <c r="L595" s="45"/>
    </row>
    <row r="596" spans="1:12" ht="17.100000000000001" customHeight="1">
      <c r="A596" s="43" t="s">
        <v>377</v>
      </c>
      <c r="B596" s="44" t="s">
        <v>380</v>
      </c>
      <c r="C596" s="44" t="s">
        <v>73</v>
      </c>
      <c r="D596" s="85">
        <v>10104899248</v>
      </c>
      <c r="E596" s="44" t="s">
        <v>1246</v>
      </c>
      <c r="F596" s="44" t="s">
        <v>180</v>
      </c>
      <c r="G596" s="44" t="s">
        <v>1247</v>
      </c>
      <c r="H596" s="44" t="s">
        <v>74</v>
      </c>
      <c r="I596" s="45">
        <v>42768</v>
      </c>
      <c r="J596" s="45">
        <v>42768</v>
      </c>
      <c r="K596" s="45">
        <v>42768</v>
      </c>
      <c r="L596" s="45"/>
    </row>
    <row r="597" spans="1:12" ht="17.100000000000001" customHeight="1">
      <c r="A597" s="43" t="s">
        <v>377</v>
      </c>
      <c r="B597" s="44" t="s">
        <v>385</v>
      </c>
      <c r="C597" s="44" t="s">
        <v>73</v>
      </c>
      <c r="D597" s="85">
        <v>10104928343</v>
      </c>
      <c r="E597" s="44" t="s">
        <v>1248</v>
      </c>
      <c r="F597" s="44" t="s">
        <v>500</v>
      </c>
      <c r="G597" s="44" t="s">
        <v>1247</v>
      </c>
      <c r="H597" s="44" t="s">
        <v>76</v>
      </c>
      <c r="I597" s="45">
        <v>42792</v>
      </c>
      <c r="J597" s="45">
        <v>42792</v>
      </c>
      <c r="K597" s="45"/>
      <c r="L597" s="45"/>
    </row>
    <row r="598" spans="1:12" ht="17.100000000000001" customHeight="1">
      <c r="A598" s="43" t="s">
        <v>377</v>
      </c>
      <c r="B598" s="44" t="s">
        <v>385</v>
      </c>
      <c r="C598" s="44" t="s">
        <v>73</v>
      </c>
      <c r="D598" s="85">
        <v>10104928344</v>
      </c>
      <c r="E598" s="44" t="s">
        <v>1249</v>
      </c>
      <c r="F598" s="44" t="s">
        <v>500</v>
      </c>
      <c r="G598" s="44" t="s">
        <v>1250</v>
      </c>
      <c r="H598" s="44" t="s">
        <v>76</v>
      </c>
      <c r="I598" s="45">
        <v>42792</v>
      </c>
      <c r="J598" s="45">
        <v>42792</v>
      </c>
      <c r="K598" s="45"/>
      <c r="L598" s="45"/>
    </row>
    <row r="599" spans="1:12" ht="17.100000000000001" customHeight="1">
      <c r="A599" s="43" t="s">
        <v>377</v>
      </c>
      <c r="B599" s="44" t="s">
        <v>385</v>
      </c>
      <c r="C599" s="44" t="s">
        <v>73</v>
      </c>
      <c r="D599" s="85">
        <v>10104897016</v>
      </c>
      <c r="E599" s="44" t="s">
        <v>1251</v>
      </c>
      <c r="F599" s="44" t="s">
        <v>180</v>
      </c>
      <c r="G599" s="44" t="s">
        <v>393</v>
      </c>
      <c r="H599" s="44" t="s">
        <v>76</v>
      </c>
      <c r="I599" s="45">
        <v>42769</v>
      </c>
      <c r="J599" s="45">
        <v>42781</v>
      </c>
      <c r="K599" s="45">
        <v>42780</v>
      </c>
      <c r="L599" s="45"/>
    </row>
    <row r="600" spans="1:12" ht="17.100000000000001" customHeight="1">
      <c r="A600" s="43" t="s">
        <v>377</v>
      </c>
      <c r="B600" s="44" t="s">
        <v>380</v>
      </c>
      <c r="C600" s="44" t="s">
        <v>73</v>
      </c>
      <c r="D600" s="85">
        <v>10104899261</v>
      </c>
      <c r="E600" s="44" t="s">
        <v>1252</v>
      </c>
      <c r="F600" s="44" t="s">
        <v>180</v>
      </c>
      <c r="G600" s="44" t="s">
        <v>393</v>
      </c>
      <c r="H600" s="44" t="s">
        <v>74</v>
      </c>
      <c r="I600" s="45">
        <v>42768</v>
      </c>
      <c r="J600" s="45">
        <v>42768</v>
      </c>
      <c r="K600" s="45">
        <v>42768</v>
      </c>
      <c r="L600" s="45"/>
    </row>
    <row r="601" spans="1:12" ht="17.100000000000001" customHeight="1">
      <c r="A601" s="43" t="s">
        <v>377</v>
      </c>
      <c r="B601" s="44" t="s">
        <v>385</v>
      </c>
      <c r="C601" s="44" t="s">
        <v>73</v>
      </c>
      <c r="D601" s="85">
        <v>10104928345</v>
      </c>
      <c r="E601" s="44" t="s">
        <v>1253</v>
      </c>
      <c r="F601" s="44" t="s">
        <v>180</v>
      </c>
      <c r="G601" s="44" t="s">
        <v>393</v>
      </c>
      <c r="H601" s="44" t="s">
        <v>76</v>
      </c>
      <c r="I601" s="45">
        <v>42791</v>
      </c>
      <c r="J601" s="45">
        <v>42791</v>
      </c>
      <c r="K601" s="45">
        <v>42790</v>
      </c>
      <c r="L601" s="45"/>
    </row>
    <row r="602" spans="1:12" ht="17.100000000000001" customHeight="1">
      <c r="A602" s="43" t="s">
        <v>377</v>
      </c>
      <c r="B602" s="44" t="s">
        <v>380</v>
      </c>
      <c r="C602" s="44" t="s">
        <v>73</v>
      </c>
      <c r="D602" s="85">
        <v>10104947843</v>
      </c>
      <c r="E602" s="44" t="s">
        <v>756</v>
      </c>
      <c r="F602" s="44" t="s">
        <v>219</v>
      </c>
      <c r="G602" s="44" t="s">
        <v>394</v>
      </c>
      <c r="H602" s="44" t="s">
        <v>76</v>
      </c>
      <c r="I602" s="45">
        <v>42778</v>
      </c>
      <c r="J602" s="45">
        <v>42793</v>
      </c>
      <c r="K602" s="45"/>
      <c r="L602" s="45"/>
    </row>
    <row r="603" spans="1:12" ht="17.100000000000001" customHeight="1">
      <c r="A603" s="43" t="s">
        <v>377</v>
      </c>
      <c r="B603" s="44" t="s">
        <v>385</v>
      </c>
      <c r="C603" s="44" t="s">
        <v>73</v>
      </c>
      <c r="D603" s="85">
        <v>10104899224</v>
      </c>
      <c r="E603" s="44" t="s">
        <v>1254</v>
      </c>
      <c r="F603" s="44" t="s">
        <v>180</v>
      </c>
      <c r="G603" s="44" t="s">
        <v>394</v>
      </c>
      <c r="H603" s="44" t="s">
        <v>76</v>
      </c>
      <c r="I603" s="45">
        <v>42770</v>
      </c>
      <c r="J603" s="45">
        <v>42790</v>
      </c>
      <c r="K603" s="45">
        <v>42770</v>
      </c>
      <c r="L603" s="45"/>
    </row>
    <row r="604" spans="1:12" ht="17.100000000000001" customHeight="1">
      <c r="A604" s="43" t="s">
        <v>377</v>
      </c>
      <c r="B604" s="44" t="s">
        <v>380</v>
      </c>
      <c r="C604" s="44" t="s">
        <v>73</v>
      </c>
      <c r="D604" s="85">
        <v>10104899262</v>
      </c>
      <c r="E604" s="44" t="s">
        <v>1255</v>
      </c>
      <c r="F604" s="44" t="s">
        <v>180</v>
      </c>
      <c r="G604" s="44" t="s">
        <v>1256</v>
      </c>
      <c r="H604" s="44" t="s">
        <v>74</v>
      </c>
      <c r="I604" s="45">
        <v>42768</v>
      </c>
      <c r="J604" s="45">
        <v>42768</v>
      </c>
      <c r="K604" s="45">
        <v>42768</v>
      </c>
      <c r="L604" s="45"/>
    </row>
    <row r="605" spans="1:12" ht="17.100000000000001" customHeight="1">
      <c r="A605" s="43" t="s">
        <v>377</v>
      </c>
      <c r="B605" s="44" t="s">
        <v>380</v>
      </c>
      <c r="C605" s="44" t="s">
        <v>73</v>
      </c>
      <c r="D605" s="85">
        <v>10104899197</v>
      </c>
      <c r="E605" s="44" t="s">
        <v>1257</v>
      </c>
      <c r="F605" s="44" t="s">
        <v>180</v>
      </c>
      <c r="G605" s="44" t="s">
        <v>1256</v>
      </c>
      <c r="H605" s="44" t="s">
        <v>74</v>
      </c>
      <c r="I605" s="45">
        <v>42768</v>
      </c>
      <c r="J605" s="45">
        <v>42768</v>
      </c>
      <c r="K605" s="45">
        <v>42768</v>
      </c>
      <c r="L605" s="45"/>
    </row>
    <row r="606" spans="1:12" ht="17.100000000000001" customHeight="1">
      <c r="A606" s="43" t="s">
        <v>377</v>
      </c>
      <c r="B606" s="44" t="s">
        <v>380</v>
      </c>
      <c r="C606" s="44" t="s">
        <v>73</v>
      </c>
      <c r="D606" s="85">
        <v>10104899250</v>
      </c>
      <c r="E606" s="44" t="s">
        <v>1258</v>
      </c>
      <c r="F606" s="44" t="s">
        <v>180</v>
      </c>
      <c r="G606" s="44" t="s">
        <v>1259</v>
      </c>
      <c r="H606" s="44" t="s">
        <v>74</v>
      </c>
      <c r="I606" s="45">
        <v>42768</v>
      </c>
      <c r="J606" s="45">
        <v>42768</v>
      </c>
      <c r="K606" s="45">
        <v>42768</v>
      </c>
      <c r="L606" s="45"/>
    </row>
    <row r="607" spans="1:12" ht="17.100000000000001" customHeight="1">
      <c r="A607" s="43" t="s">
        <v>377</v>
      </c>
      <c r="B607" s="44" t="s">
        <v>380</v>
      </c>
      <c r="C607" s="44" t="s">
        <v>73</v>
      </c>
      <c r="D607" s="85">
        <v>10104958436</v>
      </c>
      <c r="E607" s="44" t="s">
        <v>396</v>
      </c>
      <c r="F607" s="44" t="s">
        <v>500</v>
      </c>
      <c r="G607" s="44" t="s">
        <v>397</v>
      </c>
      <c r="H607" s="44" t="s">
        <v>74</v>
      </c>
      <c r="I607" s="45">
        <v>42793</v>
      </c>
      <c r="J607" s="45">
        <v>42793</v>
      </c>
      <c r="K607" s="45"/>
      <c r="L607" s="45"/>
    </row>
    <row r="608" spans="1:12" ht="17.100000000000001" customHeight="1">
      <c r="A608" s="43" t="s">
        <v>377</v>
      </c>
      <c r="B608" s="44" t="s">
        <v>380</v>
      </c>
      <c r="C608" s="44" t="s">
        <v>73</v>
      </c>
      <c r="D608" s="85">
        <v>10104941569</v>
      </c>
      <c r="E608" s="44" t="s">
        <v>396</v>
      </c>
      <c r="F608" s="44" t="s">
        <v>180</v>
      </c>
      <c r="G608" s="44" t="s">
        <v>397</v>
      </c>
      <c r="H608" s="44" t="s">
        <v>74</v>
      </c>
      <c r="I608" s="45">
        <v>42779</v>
      </c>
      <c r="J608" s="45">
        <v>42791</v>
      </c>
      <c r="K608" s="45">
        <v>42780</v>
      </c>
      <c r="L608" s="45"/>
    </row>
    <row r="609" spans="1:12" ht="17.100000000000001" customHeight="1">
      <c r="A609" s="43" t="s">
        <v>377</v>
      </c>
      <c r="B609" s="44" t="s">
        <v>380</v>
      </c>
      <c r="C609" s="44" t="s">
        <v>73</v>
      </c>
      <c r="D609" s="85">
        <v>10104949787</v>
      </c>
      <c r="E609" s="44" t="s">
        <v>396</v>
      </c>
      <c r="F609" s="44" t="s">
        <v>219</v>
      </c>
      <c r="G609" s="44" t="s">
        <v>397</v>
      </c>
      <c r="H609" s="44" t="s">
        <v>74</v>
      </c>
      <c r="I609" s="45">
        <v>42786</v>
      </c>
      <c r="J609" s="45">
        <v>42793</v>
      </c>
      <c r="K609" s="45"/>
      <c r="L609" s="45"/>
    </row>
    <row r="610" spans="1:12" ht="17.100000000000001" customHeight="1">
      <c r="A610" s="43" t="s">
        <v>377</v>
      </c>
      <c r="B610" s="44" t="s">
        <v>380</v>
      </c>
      <c r="C610" s="44" t="s">
        <v>73</v>
      </c>
      <c r="D610" s="85">
        <v>10104933059</v>
      </c>
      <c r="E610" s="44" t="s">
        <v>396</v>
      </c>
      <c r="F610" s="44" t="s">
        <v>180</v>
      </c>
      <c r="G610" s="44" t="s">
        <v>397</v>
      </c>
      <c r="H610" s="44" t="s">
        <v>74</v>
      </c>
      <c r="I610" s="45">
        <v>42768</v>
      </c>
      <c r="J610" s="45">
        <v>42768</v>
      </c>
      <c r="K610" s="45">
        <v>42768</v>
      </c>
      <c r="L610" s="45"/>
    </row>
    <row r="611" spans="1:12" ht="17.100000000000001" customHeight="1">
      <c r="A611" s="43" t="s">
        <v>377</v>
      </c>
      <c r="B611" s="44" t="s">
        <v>379</v>
      </c>
      <c r="C611" s="44" t="s">
        <v>73</v>
      </c>
      <c r="D611" s="85">
        <v>10104898034</v>
      </c>
      <c r="E611" s="44" t="s">
        <v>1260</v>
      </c>
      <c r="F611" s="44" t="s">
        <v>180</v>
      </c>
      <c r="G611" s="44" t="s">
        <v>1261</v>
      </c>
      <c r="H611" s="44" t="s">
        <v>76</v>
      </c>
      <c r="I611" s="45">
        <v>42769</v>
      </c>
      <c r="J611" s="45">
        <v>42793</v>
      </c>
      <c r="K611" s="45">
        <v>42769</v>
      </c>
      <c r="L611" s="45"/>
    </row>
    <row r="612" spans="1:12" ht="17.100000000000001" customHeight="1">
      <c r="A612" s="43" t="s">
        <v>377</v>
      </c>
      <c r="B612" s="44" t="s">
        <v>380</v>
      </c>
      <c r="C612" s="44" t="s">
        <v>73</v>
      </c>
      <c r="D612" s="85">
        <v>10104930781</v>
      </c>
      <c r="E612" s="44" t="s">
        <v>1262</v>
      </c>
      <c r="F612" s="44" t="s">
        <v>500</v>
      </c>
      <c r="G612" s="44" t="s">
        <v>398</v>
      </c>
      <c r="H612" s="44" t="s">
        <v>74</v>
      </c>
      <c r="I612" s="45">
        <v>42794</v>
      </c>
      <c r="J612" s="45">
        <v>42794</v>
      </c>
      <c r="K612" s="45"/>
      <c r="L612" s="45"/>
    </row>
    <row r="613" spans="1:12" ht="17.100000000000001" customHeight="1">
      <c r="A613" s="43" t="s">
        <v>377</v>
      </c>
      <c r="B613" s="44" t="s">
        <v>380</v>
      </c>
      <c r="C613" s="44" t="s">
        <v>73</v>
      </c>
      <c r="D613" s="85">
        <v>10104930780</v>
      </c>
      <c r="E613" s="44" t="s">
        <v>1263</v>
      </c>
      <c r="F613" s="44" t="s">
        <v>180</v>
      </c>
      <c r="G613" s="44" t="s">
        <v>449</v>
      </c>
      <c r="H613" s="44" t="s">
        <v>74</v>
      </c>
      <c r="I613" s="45">
        <v>42780</v>
      </c>
      <c r="J613" s="45">
        <v>42780</v>
      </c>
      <c r="K613" s="45">
        <v>42779</v>
      </c>
      <c r="L613" s="45"/>
    </row>
    <row r="614" spans="1:12" ht="17.100000000000001" customHeight="1">
      <c r="A614" s="43" t="s">
        <v>377</v>
      </c>
      <c r="B614" s="44" t="s">
        <v>934</v>
      </c>
      <c r="C614" s="44" t="s">
        <v>73</v>
      </c>
      <c r="D614" s="85">
        <v>10104918780</v>
      </c>
      <c r="E614" s="44" t="s">
        <v>514</v>
      </c>
      <c r="F614" s="44" t="s">
        <v>596</v>
      </c>
      <c r="G614" s="44" t="s">
        <v>399</v>
      </c>
      <c r="H614" s="44" t="s">
        <v>76</v>
      </c>
      <c r="I614" s="45">
        <v>42783</v>
      </c>
      <c r="J614" s="45">
        <v>42783</v>
      </c>
      <c r="K614" s="45"/>
      <c r="L614" s="45"/>
    </row>
    <row r="615" spans="1:12" ht="17.100000000000001" customHeight="1">
      <c r="A615" s="43" t="s">
        <v>377</v>
      </c>
      <c r="B615" s="44" t="s">
        <v>380</v>
      </c>
      <c r="C615" s="44" t="s">
        <v>73</v>
      </c>
      <c r="D615" s="85">
        <v>10104942809</v>
      </c>
      <c r="E615" s="44" t="s">
        <v>516</v>
      </c>
      <c r="F615" s="44" t="s">
        <v>75</v>
      </c>
      <c r="G615" s="44" t="s">
        <v>707</v>
      </c>
      <c r="H615" s="44" t="s">
        <v>223</v>
      </c>
      <c r="I615" s="45">
        <v>42776</v>
      </c>
      <c r="J615" s="45">
        <v>42795</v>
      </c>
      <c r="K615" s="45">
        <v>42776</v>
      </c>
      <c r="L615" s="45"/>
    </row>
    <row r="616" spans="1:12" ht="17.100000000000001" customHeight="1">
      <c r="A616" s="43" t="s">
        <v>377</v>
      </c>
      <c r="B616" s="44" t="s">
        <v>380</v>
      </c>
      <c r="C616" s="44" t="s">
        <v>73</v>
      </c>
      <c r="D616" s="85">
        <v>10104949714</v>
      </c>
      <c r="E616" s="44" t="s">
        <v>1264</v>
      </c>
      <c r="F616" s="44" t="s">
        <v>180</v>
      </c>
      <c r="G616" s="44" t="s">
        <v>900</v>
      </c>
      <c r="H616" s="44" t="s">
        <v>74</v>
      </c>
      <c r="I616" s="45">
        <v>42794</v>
      </c>
      <c r="J616" s="45">
        <v>42795</v>
      </c>
      <c r="K616" s="45">
        <v>42787</v>
      </c>
      <c r="L616" s="45"/>
    </row>
    <row r="617" spans="1:12" ht="17.100000000000001" customHeight="1">
      <c r="A617" s="43" t="s">
        <v>377</v>
      </c>
      <c r="B617" s="44" t="s">
        <v>380</v>
      </c>
      <c r="C617" s="44" t="s">
        <v>73</v>
      </c>
      <c r="D617" s="85">
        <v>10104949727</v>
      </c>
      <c r="E617" s="44" t="s">
        <v>1265</v>
      </c>
      <c r="F617" s="44" t="s">
        <v>180</v>
      </c>
      <c r="G617" s="44" t="s">
        <v>1266</v>
      </c>
      <c r="H617" s="44" t="s">
        <v>74</v>
      </c>
      <c r="I617" s="45">
        <v>42794</v>
      </c>
      <c r="J617" s="45">
        <v>42795</v>
      </c>
      <c r="K617" s="45">
        <v>42787</v>
      </c>
      <c r="L617" s="45"/>
    </row>
    <row r="618" spans="1:12" ht="17.100000000000001" customHeight="1">
      <c r="A618" s="43" t="s">
        <v>377</v>
      </c>
      <c r="B618" s="44" t="s">
        <v>380</v>
      </c>
      <c r="C618" s="44" t="s">
        <v>73</v>
      </c>
      <c r="D618" s="85">
        <v>10104955291</v>
      </c>
      <c r="E618" s="44" t="s">
        <v>400</v>
      </c>
      <c r="F618" s="44" t="s">
        <v>180</v>
      </c>
      <c r="G618" s="44" t="s">
        <v>401</v>
      </c>
      <c r="H618" s="44" t="s">
        <v>74</v>
      </c>
      <c r="I618" s="45">
        <v>42790</v>
      </c>
      <c r="J618" s="45">
        <v>42795</v>
      </c>
      <c r="K618" s="45">
        <v>42787</v>
      </c>
      <c r="L618" s="45"/>
    </row>
    <row r="619" spans="1:12" ht="17.100000000000001" customHeight="1">
      <c r="A619" s="43" t="s">
        <v>377</v>
      </c>
      <c r="B619" s="44" t="s">
        <v>380</v>
      </c>
      <c r="C619" s="44" t="s">
        <v>73</v>
      </c>
      <c r="D619" s="85">
        <v>10104929891</v>
      </c>
      <c r="E619" s="44" t="s">
        <v>400</v>
      </c>
      <c r="F619" s="44" t="s">
        <v>75</v>
      </c>
      <c r="G619" s="44" t="s">
        <v>401</v>
      </c>
      <c r="H619" s="44" t="s">
        <v>74</v>
      </c>
      <c r="I619" s="45">
        <v>42769</v>
      </c>
      <c r="J619" s="45">
        <v>42795</v>
      </c>
      <c r="K619" s="45">
        <v>42769</v>
      </c>
      <c r="L619" s="45"/>
    </row>
    <row r="620" spans="1:12" ht="17.100000000000001" customHeight="1">
      <c r="A620" s="43" t="s">
        <v>377</v>
      </c>
      <c r="B620" s="44" t="s">
        <v>380</v>
      </c>
      <c r="C620" s="44" t="s">
        <v>73</v>
      </c>
      <c r="D620" s="85">
        <v>10104946846</v>
      </c>
      <c r="E620" s="44" t="s">
        <v>400</v>
      </c>
      <c r="F620" s="44" t="s">
        <v>180</v>
      </c>
      <c r="G620" s="44" t="s">
        <v>401</v>
      </c>
      <c r="H620" s="44" t="s">
        <v>74</v>
      </c>
      <c r="I620" s="45">
        <v>42783</v>
      </c>
      <c r="J620" s="45">
        <v>42786</v>
      </c>
      <c r="K620" s="45">
        <v>42779</v>
      </c>
      <c r="L620" s="45"/>
    </row>
    <row r="621" spans="1:12" ht="17.100000000000001" customHeight="1">
      <c r="A621" s="43" t="s">
        <v>377</v>
      </c>
      <c r="B621" s="44" t="s">
        <v>380</v>
      </c>
      <c r="C621" s="44" t="s">
        <v>73</v>
      </c>
      <c r="D621" s="85">
        <v>10104938646</v>
      </c>
      <c r="E621" s="44" t="s">
        <v>400</v>
      </c>
      <c r="F621" s="44" t="s">
        <v>180</v>
      </c>
      <c r="G621" s="44" t="s">
        <v>401</v>
      </c>
      <c r="H621" s="44" t="s">
        <v>74</v>
      </c>
      <c r="I621" s="45">
        <v>42776</v>
      </c>
      <c r="J621" s="45">
        <v>42795</v>
      </c>
      <c r="K621" s="45">
        <v>42776</v>
      </c>
      <c r="L621" s="45"/>
    </row>
    <row r="622" spans="1:12" ht="17.100000000000001" customHeight="1">
      <c r="A622" s="43" t="s">
        <v>377</v>
      </c>
      <c r="B622" s="44" t="s">
        <v>380</v>
      </c>
      <c r="C622" s="44" t="s">
        <v>73</v>
      </c>
      <c r="D622" s="85">
        <v>10104932866</v>
      </c>
      <c r="E622" s="44" t="s">
        <v>402</v>
      </c>
      <c r="F622" s="44" t="s">
        <v>180</v>
      </c>
      <c r="G622" s="44" t="s">
        <v>403</v>
      </c>
      <c r="H622" s="44" t="s">
        <v>74</v>
      </c>
      <c r="I622" s="45">
        <v>42772</v>
      </c>
      <c r="J622" s="45">
        <v>42775</v>
      </c>
      <c r="K622" s="45">
        <v>42772</v>
      </c>
      <c r="L622" s="45"/>
    </row>
    <row r="623" spans="1:12" ht="17.100000000000001" customHeight="1">
      <c r="A623" s="43" t="s">
        <v>377</v>
      </c>
      <c r="B623" s="44" t="s">
        <v>380</v>
      </c>
      <c r="C623" s="44" t="s">
        <v>73</v>
      </c>
      <c r="D623" s="85">
        <v>10104941516</v>
      </c>
      <c r="E623" s="44" t="s">
        <v>402</v>
      </c>
      <c r="F623" s="44" t="s">
        <v>180</v>
      </c>
      <c r="G623" s="44" t="s">
        <v>403</v>
      </c>
      <c r="H623" s="44" t="s">
        <v>74</v>
      </c>
      <c r="I623" s="45">
        <v>42779</v>
      </c>
      <c r="J623" s="45">
        <v>42786</v>
      </c>
      <c r="K623" s="45">
        <v>42779</v>
      </c>
      <c r="L623" s="45"/>
    </row>
    <row r="624" spans="1:12" ht="17.100000000000001" customHeight="1">
      <c r="A624" s="43" t="s">
        <v>377</v>
      </c>
      <c r="B624" s="44" t="s">
        <v>380</v>
      </c>
      <c r="C624" s="44" t="s">
        <v>73</v>
      </c>
      <c r="D624" s="85">
        <v>10104949710</v>
      </c>
      <c r="E624" s="44" t="s">
        <v>402</v>
      </c>
      <c r="F624" s="44" t="s">
        <v>180</v>
      </c>
      <c r="G624" s="44" t="s">
        <v>403</v>
      </c>
      <c r="H624" s="44" t="s">
        <v>74</v>
      </c>
      <c r="I624" s="45">
        <v>42786</v>
      </c>
      <c r="J624" s="45">
        <v>42795</v>
      </c>
      <c r="K624" s="45">
        <v>42786</v>
      </c>
      <c r="L624" s="45"/>
    </row>
    <row r="625" spans="1:12" ht="17.100000000000001" customHeight="1">
      <c r="A625" s="43" t="s">
        <v>377</v>
      </c>
      <c r="B625" s="44" t="s">
        <v>380</v>
      </c>
      <c r="C625" s="44" t="s">
        <v>73</v>
      </c>
      <c r="D625" s="85">
        <v>10104958370</v>
      </c>
      <c r="E625" s="44" t="s">
        <v>402</v>
      </c>
      <c r="F625" s="44" t="s">
        <v>180</v>
      </c>
      <c r="G625" s="44" t="s">
        <v>403</v>
      </c>
      <c r="H625" s="44" t="s">
        <v>74</v>
      </c>
      <c r="I625" s="45">
        <v>42793</v>
      </c>
      <c r="J625" s="45">
        <v>42795</v>
      </c>
      <c r="K625" s="45">
        <v>42795</v>
      </c>
      <c r="L625" s="45"/>
    </row>
    <row r="626" spans="1:12" ht="17.100000000000001" customHeight="1">
      <c r="A626" s="43" t="s">
        <v>377</v>
      </c>
      <c r="B626" s="44" t="s">
        <v>385</v>
      </c>
      <c r="C626" s="44" t="s">
        <v>73</v>
      </c>
      <c r="D626" s="85">
        <v>10104893719</v>
      </c>
      <c r="E626" s="44" t="s">
        <v>1267</v>
      </c>
      <c r="F626" s="44" t="s">
        <v>180</v>
      </c>
      <c r="G626" s="44" t="s">
        <v>1268</v>
      </c>
      <c r="H626" s="44" t="s">
        <v>76</v>
      </c>
      <c r="I626" s="45">
        <v>42773</v>
      </c>
      <c r="J626" s="45">
        <v>42773</v>
      </c>
      <c r="K626" s="45">
        <v>42772</v>
      </c>
      <c r="L626" s="45"/>
    </row>
    <row r="627" spans="1:12" ht="17.100000000000001" customHeight="1">
      <c r="A627" s="43" t="s">
        <v>377</v>
      </c>
      <c r="B627" s="44" t="s">
        <v>385</v>
      </c>
      <c r="C627" s="44" t="s">
        <v>73</v>
      </c>
      <c r="D627" s="85">
        <v>10104893644</v>
      </c>
      <c r="E627" s="44" t="s">
        <v>1269</v>
      </c>
      <c r="F627" s="44" t="s">
        <v>180</v>
      </c>
      <c r="G627" s="44" t="s">
        <v>1268</v>
      </c>
      <c r="H627" s="44" t="s">
        <v>76</v>
      </c>
      <c r="I627" s="45">
        <v>42773</v>
      </c>
      <c r="J627" s="45">
        <v>42773</v>
      </c>
      <c r="K627" s="45">
        <v>42772</v>
      </c>
      <c r="L627" s="45"/>
    </row>
    <row r="628" spans="1:12" ht="17.100000000000001" customHeight="1">
      <c r="A628" s="43" t="s">
        <v>377</v>
      </c>
      <c r="B628" s="44" t="s">
        <v>380</v>
      </c>
      <c r="C628" s="44" t="s">
        <v>73</v>
      </c>
      <c r="D628" s="85">
        <v>10104949715</v>
      </c>
      <c r="E628" s="44" t="s">
        <v>1270</v>
      </c>
      <c r="F628" s="44" t="s">
        <v>180</v>
      </c>
      <c r="G628" s="44" t="s">
        <v>1268</v>
      </c>
      <c r="H628" s="44" t="s">
        <v>74</v>
      </c>
      <c r="I628" s="45">
        <v>42794</v>
      </c>
      <c r="J628" s="45">
        <v>42795</v>
      </c>
      <c r="K628" s="45">
        <v>42794</v>
      </c>
      <c r="L628" s="45"/>
    </row>
    <row r="629" spans="1:12" ht="17.100000000000001" customHeight="1">
      <c r="A629" s="43" t="s">
        <v>377</v>
      </c>
      <c r="B629" s="44" t="s">
        <v>380</v>
      </c>
      <c r="C629" s="44" t="s">
        <v>73</v>
      </c>
      <c r="D629" s="85">
        <v>10104949716</v>
      </c>
      <c r="E629" s="44" t="s">
        <v>1271</v>
      </c>
      <c r="F629" s="44" t="s">
        <v>180</v>
      </c>
      <c r="G629" s="44" t="s">
        <v>1268</v>
      </c>
      <c r="H629" s="44" t="s">
        <v>74</v>
      </c>
      <c r="I629" s="45">
        <v>42794</v>
      </c>
      <c r="J629" s="45">
        <v>42795</v>
      </c>
      <c r="K629" s="45">
        <v>42794</v>
      </c>
      <c r="L629" s="45"/>
    </row>
    <row r="630" spans="1:12" ht="17.100000000000001" customHeight="1">
      <c r="A630" s="43" t="s">
        <v>377</v>
      </c>
      <c r="B630" s="44" t="s">
        <v>385</v>
      </c>
      <c r="C630" s="44" t="s">
        <v>73</v>
      </c>
      <c r="D630" s="85">
        <v>10104893641</v>
      </c>
      <c r="E630" s="44" t="s">
        <v>1272</v>
      </c>
      <c r="F630" s="44" t="s">
        <v>180</v>
      </c>
      <c r="G630" s="44" t="s">
        <v>1273</v>
      </c>
      <c r="H630" s="44" t="s">
        <v>76</v>
      </c>
      <c r="I630" s="45">
        <v>42773</v>
      </c>
      <c r="J630" s="45">
        <v>42773</v>
      </c>
      <c r="K630" s="45">
        <v>42772</v>
      </c>
      <c r="L630" s="45"/>
    </row>
    <row r="631" spans="1:12" ht="17.100000000000001" customHeight="1">
      <c r="A631" s="43" t="s">
        <v>377</v>
      </c>
      <c r="B631" s="44" t="s">
        <v>385</v>
      </c>
      <c r="C631" s="44" t="s">
        <v>73</v>
      </c>
      <c r="D631" s="85">
        <v>10104893627</v>
      </c>
      <c r="E631" s="44" t="s">
        <v>1274</v>
      </c>
      <c r="F631" s="44" t="s">
        <v>180</v>
      </c>
      <c r="G631" s="44" t="s">
        <v>1273</v>
      </c>
      <c r="H631" s="44" t="s">
        <v>76</v>
      </c>
      <c r="I631" s="45">
        <v>42773</v>
      </c>
      <c r="J631" s="45">
        <v>42773</v>
      </c>
      <c r="K631" s="45">
        <v>42772</v>
      </c>
      <c r="L631" s="45"/>
    </row>
    <row r="632" spans="1:12" ht="17.100000000000001" customHeight="1">
      <c r="A632" s="43" t="s">
        <v>377</v>
      </c>
      <c r="B632" s="44" t="s">
        <v>380</v>
      </c>
      <c r="C632" s="44" t="s">
        <v>73</v>
      </c>
      <c r="D632" s="85">
        <v>10104949717</v>
      </c>
      <c r="E632" s="44" t="s">
        <v>1275</v>
      </c>
      <c r="F632" s="44" t="s">
        <v>180</v>
      </c>
      <c r="G632" s="44" t="s">
        <v>1273</v>
      </c>
      <c r="H632" s="44" t="s">
        <v>74</v>
      </c>
      <c r="I632" s="45">
        <v>42794</v>
      </c>
      <c r="J632" s="45">
        <v>42795</v>
      </c>
      <c r="K632" s="45">
        <v>42794</v>
      </c>
      <c r="L632" s="45"/>
    </row>
    <row r="633" spans="1:12" ht="17.100000000000001" customHeight="1">
      <c r="A633" s="43" t="s">
        <v>377</v>
      </c>
      <c r="B633" s="44" t="s">
        <v>385</v>
      </c>
      <c r="C633" s="44" t="s">
        <v>73</v>
      </c>
      <c r="D633" s="85">
        <v>10104893704</v>
      </c>
      <c r="E633" s="44" t="s">
        <v>1276</v>
      </c>
      <c r="F633" s="44" t="s">
        <v>180</v>
      </c>
      <c r="G633" s="44" t="s">
        <v>1277</v>
      </c>
      <c r="H633" s="44" t="s">
        <v>76</v>
      </c>
      <c r="I633" s="45">
        <v>42773</v>
      </c>
      <c r="J633" s="45">
        <v>42773</v>
      </c>
      <c r="K633" s="45">
        <v>42772</v>
      </c>
      <c r="L633" s="45"/>
    </row>
    <row r="634" spans="1:12" ht="17.100000000000001" customHeight="1">
      <c r="A634" s="43" t="s">
        <v>377</v>
      </c>
      <c r="B634" s="44" t="s">
        <v>385</v>
      </c>
      <c r="C634" s="44" t="s">
        <v>73</v>
      </c>
      <c r="D634" s="85">
        <v>10104893720</v>
      </c>
      <c r="E634" s="44" t="s">
        <v>1278</v>
      </c>
      <c r="F634" s="44" t="s">
        <v>180</v>
      </c>
      <c r="G634" s="44" t="s">
        <v>1277</v>
      </c>
      <c r="H634" s="44" t="s">
        <v>76</v>
      </c>
      <c r="I634" s="45">
        <v>42773</v>
      </c>
      <c r="J634" s="45">
        <v>42773</v>
      </c>
      <c r="K634" s="45">
        <v>42772</v>
      </c>
      <c r="L634" s="45"/>
    </row>
    <row r="635" spans="1:12" ht="17.100000000000001" customHeight="1">
      <c r="A635" s="43" t="s">
        <v>377</v>
      </c>
      <c r="B635" s="44" t="s">
        <v>380</v>
      </c>
      <c r="C635" s="44" t="s">
        <v>73</v>
      </c>
      <c r="D635" s="85">
        <v>10104949728</v>
      </c>
      <c r="E635" s="44" t="s">
        <v>1279</v>
      </c>
      <c r="F635" s="44" t="s">
        <v>219</v>
      </c>
      <c r="G635" s="44" t="s">
        <v>1277</v>
      </c>
      <c r="H635" s="44" t="s">
        <v>74</v>
      </c>
      <c r="I635" s="45">
        <v>42787</v>
      </c>
      <c r="J635" s="45">
        <v>42787</v>
      </c>
      <c r="K635" s="45"/>
      <c r="L635" s="45"/>
    </row>
    <row r="636" spans="1:12" ht="17.100000000000001" customHeight="1">
      <c r="A636" s="43" t="s">
        <v>377</v>
      </c>
      <c r="B636" s="44" t="s">
        <v>380</v>
      </c>
      <c r="C636" s="44" t="s">
        <v>73</v>
      </c>
      <c r="D636" s="85">
        <v>10104949729</v>
      </c>
      <c r="E636" s="44" t="s">
        <v>1280</v>
      </c>
      <c r="F636" s="44" t="s">
        <v>219</v>
      </c>
      <c r="G636" s="44" t="s">
        <v>1277</v>
      </c>
      <c r="H636" s="44" t="s">
        <v>74</v>
      </c>
      <c r="I636" s="45">
        <v>42787</v>
      </c>
      <c r="J636" s="45">
        <v>42787</v>
      </c>
      <c r="K636" s="45"/>
      <c r="L636" s="45"/>
    </row>
    <row r="637" spans="1:12" ht="17.100000000000001" customHeight="1">
      <c r="A637" s="43" t="s">
        <v>377</v>
      </c>
      <c r="B637" s="44" t="s">
        <v>380</v>
      </c>
      <c r="C637" s="44" t="s">
        <v>73</v>
      </c>
      <c r="D637" s="85">
        <v>10104949730</v>
      </c>
      <c r="E637" s="44" t="s">
        <v>1281</v>
      </c>
      <c r="F637" s="44" t="s">
        <v>180</v>
      </c>
      <c r="G637" s="44" t="s">
        <v>1282</v>
      </c>
      <c r="H637" s="44" t="s">
        <v>74</v>
      </c>
      <c r="I637" s="45">
        <v>42794</v>
      </c>
      <c r="J637" s="45">
        <v>42795</v>
      </c>
      <c r="K637" s="45">
        <v>42794</v>
      </c>
      <c r="L637" s="45"/>
    </row>
    <row r="638" spans="1:12" ht="17.100000000000001" customHeight="1">
      <c r="A638" s="43" t="s">
        <v>377</v>
      </c>
      <c r="B638" s="44" t="s">
        <v>385</v>
      </c>
      <c r="C638" s="44" t="s">
        <v>73</v>
      </c>
      <c r="D638" s="85">
        <v>10104893721</v>
      </c>
      <c r="E638" s="44" t="s">
        <v>1283</v>
      </c>
      <c r="F638" s="44" t="s">
        <v>180</v>
      </c>
      <c r="G638" s="44" t="s">
        <v>1282</v>
      </c>
      <c r="H638" s="44" t="s">
        <v>76</v>
      </c>
      <c r="I638" s="45">
        <v>42771</v>
      </c>
      <c r="J638" s="45">
        <v>42771</v>
      </c>
      <c r="K638" s="45">
        <v>42771</v>
      </c>
      <c r="L638" s="45"/>
    </row>
    <row r="639" spans="1:12" ht="17.100000000000001" customHeight="1">
      <c r="A639" s="43" t="s">
        <v>377</v>
      </c>
      <c r="B639" s="44" t="s">
        <v>380</v>
      </c>
      <c r="C639" s="44" t="s">
        <v>73</v>
      </c>
      <c r="D639" s="85">
        <v>10104949718</v>
      </c>
      <c r="E639" s="44" t="s">
        <v>1284</v>
      </c>
      <c r="F639" s="44" t="s">
        <v>180</v>
      </c>
      <c r="G639" s="44" t="s">
        <v>1282</v>
      </c>
      <c r="H639" s="44" t="s">
        <v>74</v>
      </c>
      <c r="I639" s="45">
        <v>42794</v>
      </c>
      <c r="J639" s="45">
        <v>42795</v>
      </c>
      <c r="K639" s="45">
        <v>42794</v>
      </c>
      <c r="L639" s="45"/>
    </row>
    <row r="640" spans="1:12" ht="17.100000000000001" customHeight="1">
      <c r="A640" s="43" t="s">
        <v>377</v>
      </c>
      <c r="B640" s="44" t="s">
        <v>385</v>
      </c>
      <c r="C640" s="44" t="s">
        <v>73</v>
      </c>
      <c r="D640" s="85">
        <v>10104893642</v>
      </c>
      <c r="E640" s="44" t="s">
        <v>1285</v>
      </c>
      <c r="F640" s="44" t="s">
        <v>180</v>
      </c>
      <c r="G640" s="44" t="s">
        <v>1282</v>
      </c>
      <c r="H640" s="44" t="s">
        <v>76</v>
      </c>
      <c r="I640" s="45">
        <v>42771</v>
      </c>
      <c r="J640" s="45">
        <v>42771</v>
      </c>
      <c r="K640" s="45">
        <v>42771</v>
      </c>
      <c r="L640" s="45"/>
    </row>
    <row r="641" spans="1:12" ht="17.100000000000001" customHeight="1">
      <c r="A641" s="43" t="s">
        <v>377</v>
      </c>
      <c r="B641" s="44" t="s">
        <v>380</v>
      </c>
      <c r="C641" s="44" t="s">
        <v>73</v>
      </c>
      <c r="D641" s="85">
        <v>10104949731</v>
      </c>
      <c r="E641" s="44" t="s">
        <v>1286</v>
      </c>
      <c r="F641" s="44" t="s">
        <v>180</v>
      </c>
      <c r="G641" s="44" t="s">
        <v>1287</v>
      </c>
      <c r="H641" s="44" t="s">
        <v>74</v>
      </c>
      <c r="I641" s="45">
        <v>42794</v>
      </c>
      <c r="J641" s="45">
        <v>42795</v>
      </c>
      <c r="K641" s="45">
        <v>42794</v>
      </c>
      <c r="L641" s="45"/>
    </row>
    <row r="642" spans="1:12" ht="17.100000000000001" customHeight="1">
      <c r="A642" s="43" t="s">
        <v>377</v>
      </c>
      <c r="B642" s="44" t="s">
        <v>385</v>
      </c>
      <c r="C642" s="44" t="s">
        <v>73</v>
      </c>
      <c r="D642" s="85">
        <v>10104893722</v>
      </c>
      <c r="E642" s="44" t="s">
        <v>1288</v>
      </c>
      <c r="F642" s="44" t="s">
        <v>180</v>
      </c>
      <c r="G642" s="44" t="s">
        <v>1287</v>
      </c>
      <c r="H642" s="44" t="s">
        <v>76</v>
      </c>
      <c r="I642" s="45">
        <v>42771</v>
      </c>
      <c r="J642" s="45">
        <v>42771</v>
      </c>
      <c r="K642" s="45">
        <v>42771</v>
      </c>
      <c r="L642" s="45"/>
    </row>
    <row r="643" spans="1:12" ht="17.100000000000001" customHeight="1">
      <c r="A643" s="43" t="s">
        <v>377</v>
      </c>
      <c r="B643" s="44" t="s">
        <v>380</v>
      </c>
      <c r="C643" s="44" t="s">
        <v>73</v>
      </c>
      <c r="D643" s="85">
        <v>10104949732</v>
      </c>
      <c r="E643" s="44" t="s">
        <v>1289</v>
      </c>
      <c r="F643" s="44" t="s">
        <v>180</v>
      </c>
      <c r="G643" s="44" t="s">
        <v>1290</v>
      </c>
      <c r="H643" s="44" t="s">
        <v>74</v>
      </c>
      <c r="I643" s="45">
        <v>42794</v>
      </c>
      <c r="J643" s="45">
        <v>42795</v>
      </c>
      <c r="K643" s="45">
        <v>42787</v>
      </c>
      <c r="L643" s="45"/>
    </row>
    <row r="644" spans="1:12" ht="17.100000000000001" customHeight="1">
      <c r="A644" s="43" t="s">
        <v>377</v>
      </c>
      <c r="B644" s="44" t="s">
        <v>380</v>
      </c>
      <c r="C644" s="44" t="s">
        <v>73</v>
      </c>
      <c r="D644" s="85">
        <v>10104949719</v>
      </c>
      <c r="E644" s="44" t="s">
        <v>1291</v>
      </c>
      <c r="F644" s="44" t="s">
        <v>180</v>
      </c>
      <c r="G644" s="44" t="s">
        <v>1290</v>
      </c>
      <c r="H644" s="44" t="s">
        <v>74</v>
      </c>
      <c r="I644" s="45">
        <v>42794</v>
      </c>
      <c r="J644" s="45">
        <v>42795</v>
      </c>
      <c r="K644" s="45">
        <v>42787</v>
      </c>
      <c r="L644" s="45"/>
    </row>
    <row r="645" spans="1:12" ht="17.100000000000001" customHeight="1">
      <c r="A645" s="43" t="s">
        <v>377</v>
      </c>
      <c r="B645" s="44" t="s">
        <v>385</v>
      </c>
      <c r="C645" s="44" t="s">
        <v>73</v>
      </c>
      <c r="D645" s="85">
        <v>10104893600</v>
      </c>
      <c r="E645" s="44" t="s">
        <v>1292</v>
      </c>
      <c r="F645" s="44" t="s">
        <v>180</v>
      </c>
      <c r="G645" s="44" t="s">
        <v>1290</v>
      </c>
      <c r="H645" s="44" t="s">
        <v>76</v>
      </c>
      <c r="I645" s="45">
        <v>42772</v>
      </c>
      <c r="J645" s="45">
        <v>42772</v>
      </c>
      <c r="K645" s="45">
        <v>42772</v>
      </c>
      <c r="L645" s="45"/>
    </row>
    <row r="646" spans="1:12" ht="17.100000000000001" customHeight="1">
      <c r="A646" s="43" t="s">
        <v>377</v>
      </c>
      <c r="B646" s="44" t="s">
        <v>385</v>
      </c>
      <c r="C646" s="44" t="s">
        <v>73</v>
      </c>
      <c r="D646" s="85">
        <v>10104893599</v>
      </c>
      <c r="E646" s="44" t="s">
        <v>1293</v>
      </c>
      <c r="F646" s="44" t="s">
        <v>180</v>
      </c>
      <c r="G646" s="44" t="s">
        <v>1290</v>
      </c>
      <c r="H646" s="44" t="s">
        <v>76</v>
      </c>
      <c r="I646" s="45">
        <v>42772</v>
      </c>
      <c r="J646" s="45">
        <v>42772</v>
      </c>
      <c r="K646" s="45">
        <v>42772</v>
      </c>
      <c r="L646" s="45"/>
    </row>
    <row r="647" spans="1:12" ht="17.100000000000001" customHeight="1">
      <c r="A647" s="43" t="s">
        <v>377</v>
      </c>
      <c r="B647" s="44" t="s">
        <v>380</v>
      </c>
      <c r="C647" s="44" t="s">
        <v>73</v>
      </c>
      <c r="D647" s="85">
        <v>10104958364</v>
      </c>
      <c r="E647" s="44" t="s">
        <v>405</v>
      </c>
      <c r="F647" s="44" t="s">
        <v>180</v>
      </c>
      <c r="G647" s="44" t="s">
        <v>404</v>
      </c>
      <c r="H647" s="44" t="s">
        <v>74</v>
      </c>
      <c r="I647" s="45">
        <v>42793</v>
      </c>
      <c r="J647" s="45">
        <v>42795</v>
      </c>
      <c r="K647" s="45">
        <v>42794</v>
      </c>
      <c r="L647" s="45"/>
    </row>
    <row r="648" spans="1:12" ht="17.100000000000001" customHeight="1">
      <c r="A648" s="43" t="s">
        <v>377</v>
      </c>
      <c r="B648" s="44" t="s">
        <v>380</v>
      </c>
      <c r="C648" s="44" t="s">
        <v>73</v>
      </c>
      <c r="D648" s="85">
        <v>10104949704</v>
      </c>
      <c r="E648" s="44" t="s">
        <v>405</v>
      </c>
      <c r="F648" s="44" t="s">
        <v>180</v>
      </c>
      <c r="G648" s="44" t="s">
        <v>404</v>
      </c>
      <c r="H648" s="44" t="s">
        <v>74</v>
      </c>
      <c r="I648" s="45">
        <v>42786</v>
      </c>
      <c r="J648" s="45">
        <v>42795</v>
      </c>
      <c r="K648" s="45">
        <v>42794</v>
      </c>
      <c r="L648" s="45"/>
    </row>
    <row r="649" spans="1:12" ht="17.100000000000001" customHeight="1">
      <c r="A649" s="43" t="s">
        <v>377</v>
      </c>
      <c r="B649" s="44" t="s">
        <v>380</v>
      </c>
      <c r="C649" s="44" t="s">
        <v>73</v>
      </c>
      <c r="D649" s="85">
        <v>10104941510</v>
      </c>
      <c r="E649" s="44" t="s">
        <v>405</v>
      </c>
      <c r="F649" s="44" t="s">
        <v>219</v>
      </c>
      <c r="G649" s="44" t="s">
        <v>404</v>
      </c>
      <c r="H649" s="44" t="s">
        <v>74</v>
      </c>
      <c r="I649" s="45">
        <v>42779</v>
      </c>
      <c r="J649" s="45">
        <v>42786</v>
      </c>
      <c r="K649" s="45"/>
      <c r="L649" s="45"/>
    </row>
    <row r="650" spans="1:12" ht="17.100000000000001" customHeight="1">
      <c r="A650" s="43" t="s">
        <v>377</v>
      </c>
      <c r="B650" s="44" t="s">
        <v>380</v>
      </c>
      <c r="C650" s="44" t="s">
        <v>73</v>
      </c>
      <c r="D650" s="85">
        <v>10104932856</v>
      </c>
      <c r="E650" s="44" t="s">
        <v>405</v>
      </c>
      <c r="F650" s="44" t="s">
        <v>219</v>
      </c>
      <c r="G650" s="44" t="s">
        <v>404</v>
      </c>
      <c r="H650" s="44" t="s">
        <v>74</v>
      </c>
      <c r="I650" s="45">
        <v>42772</v>
      </c>
      <c r="J650" s="45">
        <v>42772</v>
      </c>
      <c r="K650" s="45"/>
      <c r="L650" s="45"/>
    </row>
    <row r="651" spans="1:12" ht="17.100000000000001" customHeight="1">
      <c r="A651" s="43" t="s">
        <v>377</v>
      </c>
      <c r="B651" s="44" t="s">
        <v>380</v>
      </c>
      <c r="C651" s="44" t="s">
        <v>73</v>
      </c>
      <c r="D651" s="85">
        <v>10104941536</v>
      </c>
      <c r="E651" s="44" t="s">
        <v>407</v>
      </c>
      <c r="F651" s="44" t="s">
        <v>180</v>
      </c>
      <c r="G651" s="44" t="s">
        <v>406</v>
      </c>
      <c r="H651" s="44" t="s">
        <v>74</v>
      </c>
      <c r="I651" s="45">
        <v>42779</v>
      </c>
      <c r="J651" s="45">
        <v>42786</v>
      </c>
      <c r="K651" s="45">
        <v>42780</v>
      </c>
      <c r="L651" s="45"/>
    </row>
    <row r="652" spans="1:12" ht="17.100000000000001" customHeight="1">
      <c r="A652" s="43" t="s">
        <v>377</v>
      </c>
      <c r="B652" s="44" t="s">
        <v>380</v>
      </c>
      <c r="C652" s="44" t="s">
        <v>73</v>
      </c>
      <c r="D652" s="85">
        <v>10104949751</v>
      </c>
      <c r="E652" s="44" t="s">
        <v>407</v>
      </c>
      <c r="F652" s="44" t="s">
        <v>180</v>
      </c>
      <c r="G652" s="44" t="s">
        <v>406</v>
      </c>
      <c r="H652" s="44" t="s">
        <v>74</v>
      </c>
      <c r="I652" s="45">
        <v>42786</v>
      </c>
      <c r="J652" s="45">
        <v>42795</v>
      </c>
      <c r="K652" s="45">
        <v>42787</v>
      </c>
      <c r="L652" s="45"/>
    </row>
    <row r="653" spans="1:12" ht="17.100000000000001" customHeight="1">
      <c r="A653" s="43" t="s">
        <v>377</v>
      </c>
      <c r="B653" s="44" t="s">
        <v>380</v>
      </c>
      <c r="C653" s="44" t="s">
        <v>73</v>
      </c>
      <c r="D653" s="85">
        <v>10104933001</v>
      </c>
      <c r="E653" s="44" t="s">
        <v>407</v>
      </c>
      <c r="F653" s="44" t="s">
        <v>180</v>
      </c>
      <c r="G653" s="44" t="s">
        <v>406</v>
      </c>
      <c r="H653" s="44" t="s">
        <v>74</v>
      </c>
      <c r="I653" s="45">
        <v>42772</v>
      </c>
      <c r="J653" s="45">
        <v>42775</v>
      </c>
      <c r="K653" s="45">
        <v>42772</v>
      </c>
      <c r="L653" s="45"/>
    </row>
    <row r="654" spans="1:12" ht="17.100000000000001" customHeight="1">
      <c r="A654" s="43" t="s">
        <v>377</v>
      </c>
      <c r="B654" s="44" t="s">
        <v>380</v>
      </c>
      <c r="C654" s="44" t="s">
        <v>73</v>
      </c>
      <c r="D654" s="85">
        <v>10104958397</v>
      </c>
      <c r="E654" s="44" t="s">
        <v>407</v>
      </c>
      <c r="F654" s="44" t="s">
        <v>180</v>
      </c>
      <c r="G654" s="44" t="s">
        <v>406</v>
      </c>
      <c r="H654" s="44" t="s">
        <v>74</v>
      </c>
      <c r="I654" s="45">
        <v>42793</v>
      </c>
      <c r="J654" s="45">
        <v>42795</v>
      </c>
      <c r="K654" s="45">
        <v>42794</v>
      </c>
      <c r="L654" s="45"/>
    </row>
    <row r="655" spans="1:12" ht="17.100000000000001" customHeight="1">
      <c r="A655" s="43" t="s">
        <v>377</v>
      </c>
      <c r="B655" s="44" t="s">
        <v>380</v>
      </c>
      <c r="C655" s="44" t="s">
        <v>73</v>
      </c>
      <c r="D655" s="85">
        <v>10104958365</v>
      </c>
      <c r="E655" s="44" t="s">
        <v>408</v>
      </c>
      <c r="F655" s="44" t="s">
        <v>180</v>
      </c>
      <c r="G655" s="44" t="s">
        <v>409</v>
      </c>
      <c r="H655" s="44" t="s">
        <v>74</v>
      </c>
      <c r="I655" s="45">
        <v>42793</v>
      </c>
      <c r="J655" s="45">
        <v>42795</v>
      </c>
      <c r="K655" s="45">
        <v>42793</v>
      </c>
      <c r="L655" s="45"/>
    </row>
    <row r="656" spans="1:12" ht="17.100000000000001" customHeight="1">
      <c r="A656" s="43" t="s">
        <v>377</v>
      </c>
      <c r="B656" s="44" t="s">
        <v>380</v>
      </c>
      <c r="C656" s="44" t="s">
        <v>73</v>
      </c>
      <c r="D656" s="85">
        <v>10104949705</v>
      </c>
      <c r="E656" s="44" t="s">
        <v>408</v>
      </c>
      <c r="F656" s="44" t="s">
        <v>180</v>
      </c>
      <c r="G656" s="44" t="s">
        <v>409</v>
      </c>
      <c r="H656" s="44" t="s">
        <v>74</v>
      </c>
      <c r="I656" s="45">
        <v>42786</v>
      </c>
      <c r="J656" s="45">
        <v>42795</v>
      </c>
      <c r="K656" s="45">
        <v>42787</v>
      </c>
      <c r="L656" s="45"/>
    </row>
    <row r="657" spans="1:12" ht="17.100000000000001" customHeight="1">
      <c r="A657" s="43" t="s">
        <v>377</v>
      </c>
      <c r="B657" s="44" t="s">
        <v>380</v>
      </c>
      <c r="C657" s="44" t="s">
        <v>73</v>
      </c>
      <c r="D657" s="85">
        <v>10104932857</v>
      </c>
      <c r="E657" s="44" t="s">
        <v>408</v>
      </c>
      <c r="F657" s="44" t="s">
        <v>180</v>
      </c>
      <c r="G657" s="44" t="s">
        <v>409</v>
      </c>
      <c r="H657" s="44" t="s">
        <v>74</v>
      </c>
      <c r="I657" s="45">
        <v>42772</v>
      </c>
      <c r="J657" s="45">
        <v>42775</v>
      </c>
      <c r="K657" s="45">
        <v>42772</v>
      </c>
      <c r="L657" s="45"/>
    </row>
    <row r="658" spans="1:12" ht="17.100000000000001" customHeight="1">
      <c r="A658" s="43" t="s">
        <v>377</v>
      </c>
      <c r="B658" s="44" t="s">
        <v>380</v>
      </c>
      <c r="C658" s="44" t="s">
        <v>73</v>
      </c>
      <c r="D658" s="85">
        <v>10104941511</v>
      </c>
      <c r="E658" s="44" t="s">
        <v>408</v>
      </c>
      <c r="F658" s="44" t="s">
        <v>180</v>
      </c>
      <c r="G658" s="44" t="s">
        <v>409</v>
      </c>
      <c r="H658" s="44" t="s">
        <v>74</v>
      </c>
      <c r="I658" s="45">
        <v>42779</v>
      </c>
      <c r="J658" s="45">
        <v>42786</v>
      </c>
      <c r="K658" s="45">
        <v>42780</v>
      </c>
      <c r="L658" s="45"/>
    </row>
    <row r="659" spans="1:12" ht="17.100000000000001" customHeight="1">
      <c r="A659" s="43" t="s">
        <v>377</v>
      </c>
      <c r="B659" s="44" t="s">
        <v>380</v>
      </c>
      <c r="C659" s="44" t="s">
        <v>73</v>
      </c>
      <c r="D659" s="85">
        <v>10104949771</v>
      </c>
      <c r="E659" s="44" t="s">
        <v>411</v>
      </c>
      <c r="F659" s="44" t="s">
        <v>180</v>
      </c>
      <c r="G659" s="44" t="s">
        <v>410</v>
      </c>
      <c r="H659" s="44" t="s">
        <v>74</v>
      </c>
      <c r="I659" s="45">
        <v>42786</v>
      </c>
      <c r="J659" s="45">
        <v>42795</v>
      </c>
      <c r="K659" s="45">
        <v>42787</v>
      </c>
      <c r="L659" s="45"/>
    </row>
    <row r="660" spans="1:12" ht="17.100000000000001" customHeight="1">
      <c r="A660" s="43" t="s">
        <v>377</v>
      </c>
      <c r="B660" s="44" t="s">
        <v>380</v>
      </c>
      <c r="C660" s="44" t="s">
        <v>73</v>
      </c>
      <c r="D660" s="85">
        <v>10104958409</v>
      </c>
      <c r="E660" s="44" t="s">
        <v>411</v>
      </c>
      <c r="F660" s="44" t="s">
        <v>180</v>
      </c>
      <c r="G660" s="44" t="s">
        <v>410</v>
      </c>
      <c r="H660" s="44" t="s">
        <v>74</v>
      </c>
      <c r="I660" s="45">
        <v>42793</v>
      </c>
      <c r="J660" s="45">
        <v>42795</v>
      </c>
      <c r="K660" s="45">
        <v>42794</v>
      </c>
      <c r="L660" s="45"/>
    </row>
    <row r="661" spans="1:12" ht="17.100000000000001" customHeight="1">
      <c r="A661" s="43" t="s">
        <v>377</v>
      </c>
      <c r="B661" s="44" t="s">
        <v>380</v>
      </c>
      <c r="C661" s="44" t="s">
        <v>73</v>
      </c>
      <c r="D661" s="85">
        <v>10104941550</v>
      </c>
      <c r="E661" s="44" t="s">
        <v>411</v>
      </c>
      <c r="F661" s="44" t="s">
        <v>180</v>
      </c>
      <c r="G661" s="44" t="s">
        <v>410</v>
      </c>
      <c r="H661" s="44" t="s">
        <v>74</v>
      </c>
      <c r="I661" s="45">
        <v>42779</v>
      </c>
      <c r="J661" s="45">
        <v>42786</v>
      </c>
      <c r="K661" s="45">
        <v>42780</v>
      </c>
      <c r="L661" s="45"/>
    </row>
    <row r="662" spans="1:12" ht="17.100000000000001" customHeight="1">
      <c r="A662" s="43" t="s">
        <v>377</v>
      </c>
      <c r="B662" s="44" t="s">
        <v>380</v>
      </c>
      <c r="C662" s="44" t="s">
        <v>73</v>
      </c>
      <c r="D662" s="85">
        <v>10104933013</v>
      </c>
      <c r="E662" s="44" t="s">
        <v>411</v>
      </c>
      <c r="F662" s="44" t="s">
        <v>180</v>
      </c>
      <c r="G662" s="44" t="s">
        <v>410</v>
      </c>
      <c r="H662" s="44" t="s">
        <v>74</v>
      </c>
      <c r="I662" s="45">
        <v>42772</v>
      </c>
      <c r="J662" s="45">
        <v>42775</v>
      </c>
      <c r="K662" s="45">
        <v>42772</v>
      </c>
      <c r="L662" s="45"/>
    </row>
    <row r="663" spans="1:12" ht="17.100000000000001" customHeight="1">
      <c r="A663" s="43" t="s">
        <v>377</v>
      </c>
      <c r="B663" s="44" t="s">
        <v>380</v>
      </c>
      <c r="C663" s="44" t="s">
        <v>73</v>
      </c>
      <c r="D663" s="85">
        <v>10104949706</v>
      </c>
      <c r="E663" s="44" t="s">
        <v>412</v>
      </c>
      <c r="F663" s="44" t="s">
        <v>180</v>
      </c>
      <c r="G663" s="44" t="s">
        <v>413</v>
      </c>
      <c r="H663" s="44" t="s">
        <v>74</v>
      </c>
      <c r="I663" s="45">
        <v>42786</v>
      </c>
      <c r="J663" s="45">
        <v>42795</v>
      </c>
      <c r="K663" s="45">
        <v>42786</v>
      </c>
      <c r="L663" s="45"/>
    </row>
    <row r="664" spans="1:12" ht="17.100000000000001" customHeight="1">
      <c r="A664" s="43" t="s">
        <v>377</v>
      </c>
      <c r="B664" s="44" t="s">
        <v>380</v>
      </c>
      <c r="C664" s="44" t="s">
        <v>73</v>
      </c>
      <c r="D664" s="85">
        <v>10104932858</v>
      </c>
      <c r="E664" s="44" t="s">
        <v>412</v>
      </c>
      <c r="F664" s="44" t="s">
        <v>180</v>
      </c>
      <c r="G664" s="44" t="s">
        <v>413</v>
      </c>
      <c r="H664" s="44" t="s">
        <v>74</v>
      </c>
      <c r="I664" s="45">
        <v>42772</v>
      </c>
      <c r="J664" s="45">
        <v>42775</v>
      </c>
      <c r="K664" s="45">
        <v>42772</v>
      </c>
      <c r="L664" s="45"/>
    </row>
    <row r="665" spans="1:12" ht="17.100000000000001" customHeight="1">
      <c r="A665" s="43" t="s">
        <v>377</v>
      </c>
      <c r="B665" s="44" t="s">
        <v>380</v>
      </c>
      <c r="C665" s="44" t="s">
        <v>73</v>
      </c>
      <c r="D665" s="85">
        <v>10104941512</v>
      </c>
      <c r="E665" s="44" t="s">
        <v>412</v>
      </c>
      <c r="F665" s="44" t="s">
        <v>180</v>
      </c>
      <c r="G665" s="44" t="s">
        <v>413</v>
      </c>
      <c r="H665" s="44" t="s">
        <v>74</v>
      </c>
      <c r="I665" s="45">
        <v>42779</v>
      </c>
      <c r="J665" s="45">
        <v>42786</v>
      </c>
      <c r="K665" s="45">
        <v>42780</v>
      </c>
      <c r="L665" s="45"/>
    </row>
    <row r="666" spans="1:12" ht="17.100000000000001" customHeight="1">
      <c r="A666" s="43" t="s">
        <v>377</v>
      </c>
      <c r="B666" s="44" t="s">
        <v>380</v>
      </c>
      <c r="C666" s="44" t="s">
        <v>73</v>
      </c>
      <c r="D666" s="85">
        <v>10104958366</v>
      </c>
      <c r="E666" s="44" t="s">
        <v>412</v>
      </c>
      <c r="F666" s="44" t="s">
        <v>180</v>
      </c>
      <c r="G666" s="44" t="s">
        <v>413</v>
      </c>
      <c r="H666" s="44" t="s">
        <v>74</v>
      </c>
      <c r="I666" s="45">
        <v>42793</v>
      </c>
      <c r="J666" s="45">
        <v>42795</v>
      </c>
      <c r="K666" s="45">
        <v>42794</v>
      </c>
      <c r="L666" s="45"/>
    </row>
    <row r="667" spans="1:12" ht="17.100000000000001" customHeight="1">
      <c r="A667" s="43" t="s">
        <v>377</v>
      </c>
      <c r="B667" s="44" t="s">
        <v>380</v>
      </c>
      <c r="C667" s="44" t="s">
        <v>73</v>
      </c>
      <c r="D667" s="85">
        <v>10104949707</v>
      </c>
      <c r="E667" s="44" t="s">
        <v>414</v>
      </c>
      <c r="F667" s="44" t="s">
        <v>180</v>
      </c>
      <c r="G667" s="44" t="s">
        <v>415</v>
      </c>
      <c r="H667" s="44" t="s">
        <v>74</v>
      </c>
      <c r="I667" s="45">
        <v>42786</v>
      </c>
      <c r="J667" s="45">
        <v>42795</v>
      </c>
      <c r="K667" s="45">
        <v>42786</v>
      </c>
      <c r="L667" s="45"/>
    </row>
    <row r="668" spans="1:12" ht="17.100000000000001" customHeight="1">
      <c r="A668" s="43" t="s">
        <v>377</v>
      </c>
      <c r="B668" s="44" t="s">
        <v>380</v>
      </c>
      <c r="C668" s="44" t="s">
        <v>73</v>
      </c>
      <c r="D668" s="85">
        <v>10104932859</v>
      </c>
      <c r="E668" s="44" t="s">
        <v>414</v>
      </c>
      <c r="F668" s="44" t="s">
        <v>180</v>
      </c>
      <c r="G668" s="44" t="s">
        <v>415</v>
      </c>
      <c r="H668" s="44" t="s">
        <v>74</v>
      </c>
      <c r="I668" s="45">
        <v>42772</v>
      </c>
      <c r="J668" s="45">
        <v>42775</v>
      </c>
      <c r="K668" s="45">
        <v>42772</v>
      </c>
      <c r="L668" s="45"/>
    </row>
    <row r="669" spans="1:12" ht="17.100000000000001" customHeight="1">
      <c r="A669" s="43" t="s">
        <v>377</v>
      </c>
      <c r="B669" s="44" t="s">
        <v>380</v>
      </c>
      <c r="C669" s="44" t="s">
        <v>73</v>
      </c>
      <c r="D669" s="85">
        <v>10104941513</v>
      </c>
      <c r="E669" s="44" t="s">
        <v>414</v>
      </c>
      <c r="F669" s="44" t="s">
        <v>180</v>
      </c>
      <c r="G669" s="44" t="s">
        <v>415</v>
      </c>
      <c r="H669" s="44" t="s">
        <v>74</v>
      </c>
      <c r="I669" s="45">
        <v>42779</v>
      </c>
      <c r="J669" s="45">
        <v>42786</v>
      </c>
      <c r="K669" s="45">
        <v>42780</v>
      </c>
      <c r="L669" s="45"/>
    </row>
    <row r="670" spans="1:12" ht="17.100000000000001" customHeight="1">
      <c r="A670" s="43" t="s">
        <v>377</v>
      </c>
      <c r="B670" s="44" t="s">
        <v>380</v>
      </c>
      <c r="C670" s="44" t="s">
        <v>73</v>
      </c>
      <c r="D670" s="85">
        <v>10104958367</v>
      </c>
      <c r="E670" s="44" t="s">
        <v>414</v>
      </c>
      <c r="F670" s="44" t="s">
        <v>180</v>
      </c>
      <c r="G670" s="44" t="s">
        <v>415</v>
      </c>
      <c r="H670" s="44" t="s">
        <v>74</v>
      </c>
      <c r="I670" s="45">
        <v>42793</v>
      </c>
      <c r="J670" s="45">
        <v>42795</v>
      </c>
      <c r="K670" s="45">
        <v>42794</v>
      </c>
      <c r="L670" s="45"/>
    </row>
    <row r="671" spans="1:12" ht="17.100000000000001" customHeight="1">
      <c r="A671" s="43" t="s">
        <v>377</v>
      </c>
      <c r="B671" s="44" t="s">
        <v>380</v>
      </c>
      <c r="C671" s="44" t="s">
        <v>73</v>
      </c>
      <c r="D671" s="85">
        <v>10104949752</v>
      </c>
      <c r="E671" s="44" t="s">
        <v>416</v>
      </c>
      <c r="F671" s="44" t="s">
        <v>180</v>
      </c>
      <c r="G671" s="44" t="s">
        <v>417</v>
      </c>
      <c r="H671" s="44" t="s">
        <v>74</v>
      </c>
      <c r="I671" s="45">
        <v>42786</v>
      </c>
      <c r="J671" s="45">
        <v>42795</v>
      </c>
      <c r="K671" s="45">
        <v>42786</v>
      </c>
      <c r="L671" s="45"/>
    </row>
    <row r="672" spans="1:12" ht="17.100000000000001" customHeight="1">
      <c r="A672" s="43" t="s">
        <v>377</v>
      </c>
      <c r="B672" s="44" t="s">
        <v>380</v>
      </c>
      <c r="C672" s="44" t="s">
        <v>73</v>
      </c>
      <c r="D672" s="85">
        <v>10104941537</v>
      </c>
      <c r="E672" s="44" t="s">
        <v>416</v>
      </c>
      <c r="F672" s="44" t="s">
        <v>180</v>
      </c>
      <c r="G672" s="44" t="s">
        <v>417</v>
      </c>
      <c r="H672" s="44" t="s">
        <v>74</v>
      </c>
      <c r="I672" s="45">
        <v>42779</v>
      </c>
      <c r="J672" s="45">
        <v>42786</v>
      </c>
      <c r="K672" s="45">
        <v>42779</v>
      </c>
      <c r="L672" s="45"/>
    </row>
    <row r="673" spans="1:12" ht="17.100000000000001" customHeight="1">
      <c r="A673" s="43" t="s">
        <v>377</v>
      </c>
      <c r="B673" s="44" t="s">
        <v>380</v>
      </c>
      <c r="C673" s="44" t="s">
        <v>73</v>
      </c>
      <c r="D673" s="85">
        <v>10104955290</v>
      </c>
      <c r="E673" s="44" t="s">
        <v>418</v>
      </c>
      <c r="F673" s="44" t="s">
        <v>180</v>
      </c>
      <c r="G673" s="44" t="s">
        <v>417</v>
      </c>
      <c r="H673" s="44" t="s">
        <v>74</v>
      </c>
      <c r="I673" s="45">
        <v>42790</v>
      </c>
      <c r="J673" s="45">
        <v>42795</v>
      </c>
      <c r="K673" s="45">
        <v>42794</v>
      </c>
      <c r="L673" s="45"/>
    </row>
    <row r="674" spans="1:12" ht="17.100000000000001" customHeight="1">
      <c r="A674" s="43" t="s">
        <v>377</v>
      </c>
      <c r="B674" s="44" t="s">
        <v>380</v>
      </c>
      <c r="C674" s="44" t="s">
        <v>73</v>
      </c>
      <c r="D674" s="85">
        <v>10104946845</v>
      </c>
      <c r="E674" s="44" t="s">
        <v>418</v>
      </c>
      <c r="F674" s="44" t="s">
        <v>219</v>
      </c>
      <c r="G674" s="44" t="s">
        <v>417</v>
      </c>
      <c r="H674" s="44" t="s">
        <v>74</v>
      </c>
      <c r="I674" s="45">
        <v>42783</v>
      </c>
      <c r="J674" s="45">
        <v>42786</v>
      </c>
      <c r="K674" s="45"/>
      <c r="L674" s="45"/>
    </row>
    <row r="675" spans="1:12" ht="17.100000000000001" customHeight="1">
      <c r="A675" s="43" t="s">
        <v>377</v>
      </c>
      <c r="B675" s="44" t="s">
        <v>380</v>
      </c>
      <c r="C675" s="44" t="s">
        <v>73</v>
      </c>
      <c r="D675" s="85">
        <v>10104929890</v>
      </c>
      <c r="E675" s="44" t="s">
        <v>418</v>
      </c>
      <c r="F675" s="44" t="s">
        <v>75</v>
      </c>
      <c r="G675" s="44" t="s">
        <v>417</v>
      </c>
      <c r="H675" s="44" t="s">
        <v>74</v>
      </c>
      <c r="I675" s="45">
        <v>42769</v>
      </c>
      <c r="J675" s="45">
        <v>42795</v>
      </c>
      <c r="K675" s="45">
        <v>42769</v>
      </c>
      <c r="L675" s="45"/>
    </row>
    <row r="676" spans="1:12" ht="17.100000000000001" customHeight="1">
      <c r="A676" s="43" t="s">
        <v>377</v>
      </c>
      <c r="B676" s="44" t="s">
        <v>380</v>
      </c>
      <c r="C676" s="44" t="s">
        <v>73</v>
      </c>
      <c r="D676" s="85">
        <v>10104958398</v>
      </c>
      <c r="E676" s="44" t="s">
        <v>416</v>
      </c>
      <c r="F676" s="44" t="s">
        <v>180</v>
      </c>
      <c r="G676" s="44" t="s">
        <v>417</v>
      </c>
      <c r="H676" s="44" t="s">
        <v>74</v>
      </c>
      <c r="I676" s="45">
        <v>42793</v>
      </c>
      <c r="J676" s="45">
        <v>42795</v>
      </c>
      <c r="K676" s="45">
        <v>42794</v>
      </c>
      <c r="L676" s="45"/>
    </row>
    <row r="677" spans="1:12" ht="17.100000000000001" customHeight="1">
      <c r="A677" s="43" t="s">
        <v>377</v>
      </c>
      <c r="B677" s="44" t="s">
        <v>380</v>
      </c>
      <c r="C677" s="44" t="s">
        <v>73</v>
      </c>
      <c r="D677" s="85">
        <v>10104933002</v>
      </c>
      <c r="E677" s="44" t="s">
        <v>416</v>
      </c>
      <c r="F677" s="44" t="s">
        <v>180</v>
      </c>
      <c r="G677" s="44" t="s">
        <v>417</v>
      </c>
      <c r="H677" s="44" t="s">
        <v>74</v>
      </c>
      <c r="I677" s="45">
        <v>42772</v>
      </c>
      <c r="J677" s="45">
        <v>42772</v>
      </c>
      <c r="K677" s="45">
        <v>42772</v>
      </c>
      <c r="L677" s="45"/>
    </row>
    <row r="678" spans="1:12" ht="17.100000000000001" customHeight="1">
      <c r="A678" s="43" t="s">
        <v>377</v>
      </c>
      <c r="B678" s="44" t="s">
        <v>380</v>
      </c>
      <c r="C678" s="44" t="s">
        <v>73</v>
      </c>
      <c r="D678" s="85">
        <v>10104938645</v>
      </c>
      <c r="E678" s="44" t="s">
        <v>418</v>
      </c>
      <c r="F678" s="44" t="s">
        <v>219</v>
      </c>
      <c r="G678" s="44" t="s">
        <v>417</v>
      </c>
      <c r="H678" s="44" t="s">
        <v>74</v>
      </c>
      <c r="I678" s="45">
        <v>42776</v>
      </c>
      <c r="J678" s="45">
        <v>42786</v>
      </c>
      <c r="K678" s="45"/>
      <c r="L678" s="45"/>
    </row>
    <row r="679" spans="1:12" ht="17.100000000000001" customHeight="1">
      <c r="A679" s="43" t="s">
        <v>377</v>
      </c>
      <c r="B679" s="44" t="s">
        <v>380</v>
      </c>
      <c r="C679" s="44" t="s">
        <v>73</v>
      </c>
      <c r="D679" s="85">
        <v>10104949772</v>
      </c>
      <c r="E679" s="44" t="s">
        <v>419</v>
      </c>
      <c r="F679" s="44" t="s">
        <v>180</v>
      </c>
      <c r="G679" s="44" t="s">
        <v>420</v>
      </c>
      <c r="H679" s="44" t="s">
        <v>74</v>
      </c>
      <c r="I679" s="45">
        <v>42786</v>
      </c>
      <c r="J679" s="45">
        <v>42795</v>
      </c>
      <c r="K679" s="45">
        <v>42794</v>
      </c>
      <c r="L679" s="45"/>
    </row>
    <row r="680" spans="1:12" ht="17.100000000000001" customHeight="1">
      <c r="A680" s="43" t="s">
        <v>377</v>
      </c>
      <c r="B680" s="44" t="s">
        <v>380</v>
      </c>
      <c r="C680" s="44" t="s">
        <v>73</v>
      </c>
      <c r="D680" s="85">
        <v>10104958410</v>
      </c>
      <c r="E680" s="44" t="s">
        <v>419</v>
      </c>
      <c r="F680" s="44" t="s">
        <v>180</v>
      </c>
      <c r="G680" s="44" t="s">
        <v>420</v>
      </c>
      <c r="H680" s="44" t="s">
        <v>74</v>
      </c>
      <c r="I680" s="45">
        <v>42793</v>
      </c>
      <c r="J680" s="45">
        <v>42795</v>
      </c>
      <c r="K680" s="45">
        <v>42794</v>
      </c>
      <c r="L680" s="45"/>
    </row>
    <row r="681" spans="1:12" ht="17.100000000000001" customHeight="1">
      <c r="A681" s="43" t="s">
        <v>377</v>
      </c>
      <c r="B681" s="44" t="s">
        <v>380</v>
      </c>
      <c r="C681" s="44" t="s">
        <v>73</v>
      </c>
      <c r="D681" s="85">
        <v>10104933014</v>
      </c>
      <c r="E681" s="44" t="s">
        <v>419</v>
      </c>
      <c r="F681" s="44" t="s">
        <v>180</v>
      </c>
      <c r="G681" s="44" t="s">
        <v>420</v>
      </c>
      <c r="H681" s="44" t="s">
        <v>74</v>
      </c>
      <c r="I681" s="45">
        <v>42772</v>
      </c>
      <c r="J681" s="45">
        <v>42772</v>
      </c>
      <c r="K681" s="45">
        <v>42772</v>
      </c>
      <c r="L681" s="45"/>
    </row>
    <row r="682" spans="1:12" ht="17.100000000000001" customHeight="1">
      <c r="A682" s="43" t="s">
        <v>377</v>
      </c>
      <c r="B682" s="44" t="s">
        <v>380</v>
      </c>
      <c r="C682" s="44" t="s">
        <v>73</v>
      </c>
      <c r="D682" s="85">
        <v>10104941551</v>
      </c>
      <c r="E682" s="44" t="s">
        <v>419</v>
      </c>
      <c r="F682" s="44" t="s">
        <v>219</v>
      </c>
      <c r="G682" s="44" t="s">
        <v>420</v>
      </c>
      <c r="H682" s="44" t="s">
        <v>74</v>
      </c>
      <c r="I682" s="45">
        <v>42779</v>
      </c>
      <c r="J682" s="45">
        <v>42786</v>
      </c>
      <c r="K682" s="45"/>
      <c r="L682" s="45"/>
    </row>
    <row r="683" spans="1:12" ht="17.100000000000001" customHeight="1">
      <c r="A683" s="43" t="s">
        <v>377</v>
      </c>
      <c r="B683" s="44" t="s">
        <v>380</v>
      </c>
      <c r="C683" s="44" t="s">
        <v>73</v>
      </c>
      <c r="D683" s="85">
        <v>10104932040</v>
      </c>
      <c r="E683" s="44" t="s">
        <v>1294</v>
      </c>
      <c r="F683" s="44" t="s">
        <v>180</v>
      </c>
      <c r="G683" s="44" t="s">
        <v>1295</v>
      </c>
      <c r="H683" s="44" t="s">
        <v>74</v>
      </c>
      <c r="I683" s="45">
        <v>42780</v>
      </c>
      <c r="J683" s="45">
        <v>42780</v>
      </c>
      <c r="K683" s="45">
        <v>42779</v>
      </c>
      <c r="L683" s="45"/>
    </row>
    <row r="684" spans="1:12" ht="17.100000000000001" customHeight="1">
      <c r="A684" s="43" t="s">
        <v>377</v>
      </c>
      <c r="B684" s="44" t="s">
        <v>380</v>
      </c>
      <c r="C684" s="44" t="s">
        <v>73</v>
      </c>
      <c r="D684" s="85">
        <v>10104932039</v>
      </c>
      <c r="E684" s="44" t="s">
        <v>1296</v>
      </c>
      <c r="F684" s="44" t="s">
        <v>180</v>
      </c>
      <c r="G684" s="44" t="s">
        <v>1295</v>
      </c>
      <c r="H684" s="44" t="s">
        <v>74</v>
      </c>
      <c r="I684" s="45">
        <v>42794</v>
      </c>
      <c r="J684" s="45">
        <v>42795</v>
      </c>
      <c r="K684" s="45">
        <v>42794</v>
      </c>
      <c r="L684" s="45"/>
    </row>
    <row r="685" spans="1:12" ht="17.100000000000001" customHeight="1">
      <c r="A685" s="43" t="s">
        <v>377</v>
      </c>
      <c r="B685" s="44" t="s">
        <v>380</v>
      </c>
      <c r="C685" s="44" t="s">
        <v>73</v>
      </c>
      <c r="D685" s="85">
        <v>10104932038</v>
      </c>
      <c r="E685" s="44" t="s">
        <v>1297</v>
      </c>
      <c r="F685" s="44" t="s">
        <v>219</v>
      </c>
      <c r="G685" s="44" t="s">
        <v>1295</v>
      </c>
      <c r="H685" s="44" t="s">
        <v>74</v>
      </c>
      <c r="I685" s="45">
        <v>42780</v>
      </c>
      <c r="J685" s="45">
        <v>42780</v>
      </c>
      <c r="K685" s="45"/>
      <c r="L685" s="45"/>
    </row>
    <row r="686" spans="1:12" ht="17.100000000000001" customHeight="1">
      <c r="A686" s="43" t="s">
        <v>377</v>
      </c>
      <c r="B686" s="44" t="s">
        <v>380</v>
      </c>
      <c r="C686" s="44" t="s">
        <v>73</v>
      </c>
      <c r="D686" s="85">
        <v>10104932860</v>
      </c>
      <c r="E686" s="44" t="s">
        <v>421</v>
      </c>
      <c r="F686" s="44" t="s">
        <v>180</v>
      </c>
      <c r="G686" s="44" t="s">
        <v>422</v>
      </c>
      <c r="H686" s="44" t="s">
        <v>74</v>
      </c>
      <c r="I686" s="45">
        <v>42772</v>
      </c>
      <c r="J686" s="45">
        <v>42772</v>
      </c>
      <c r="K686" s="45">
        <v>42772</v>
      </c>
      <c r="L686" s="45"/>
    </row>
    <row r="687" spans="1:12" ht="17.100000000000001" customHeight="1">
      <c r="A687" s="43" t="s">
        <v>377</v>
      </c>
      <c r="B687" s="44" t="s">
        <v>380</v>
      </c>
      <c r="C687" s="44" t="s">
        <v>73</v>
      </c>
      <c r="D687" s="85">
        <v>10104949708</v>
      </c>
      <c r="E687" s="44" t="s">
        <v>421</v>
      </c>
      <c r="F687" s="44" t="s">
        <v>180</v>
      </c>
      <c r="G687" s="44" t="s">
        <v>422</v>
      </c>
      <c r="H687" s="44" t="s">
        <v>74</v>
      </c>
      <c r="I687" s="45">
        <v>42786</v>
      </c>
      <c r="J687" s="45">
        <v>42795</v>
      </c>
      <c r="K687" s="45">
        <v>42786</v>
      </c>
      <c r="L687" s="45"/>
    </row>
    <row r="688" spans="1:12" ht="17.100000000000001" customHeight="1">
      <c r="A688" s="43" t="s">
        <v>377</v>
      </c>
      <c r="B688" s="44" t="s">
        <v>380</v>
      </c>
      <c r="C688" s="44" t="s">
        <v>73</v>
      </c>
      <c r="D688" s="85">
        <v>10104958368</v>
      </c>
      <c r="E688" s="44" t="s">
        <v>421</v>
      </c>
      <c r="F688" s="44" t="s">
        <v>180</v>
      </c>
      <c r="G688" s="44" t="s">
        <v>422</v>
      </c>
      <c r="H688" s="44" t="s">
        <v>74</v>
      </c>
      <c r="I688" s="45">
        <v>42793</v>
      </c>
      <c r="J688" s="45">
        <v>42795</v>
      </c>
      <c r="K688" s="45">
        <v>42794</v>
      </c>
      <c r="L688" s="45"/>
    </row>
    <row r="689" spans="1:12" ht="17.100000000000001" customHeight="1">
      <c r="A689" s="43" t="s">
        <v>377</v>
      </c>
      <c r="B689" s="44" t="s">
        <v>380</v>
      </c>
      <c r="C689" s="44" t="s">
        <v>73</v>
      </c>
      <c r="D689" s="85">
        <v>10104941514</v>
      </c>
      <c r="E689" s="44" t="s">
        <v>421</v>
      </c>
      <c r="F689" s="44" t="s">
        <v>180</v>
      </c>
      <c r="G689" s="44" t="s">
        <v>422</v>
      </c>
      <c r="H689" s="44" t="s">
        <v>74</v>
      </c>
      <c r="I689" s="45">
        <v>42779</v>
      </c>
      <c r="J689" s="45">
        <v>42786</v>
      </c>
      <c r="K689" s="45">
        <v>42779</v>
      </c>
      <c r="L689" s="45"/>
    </row>
    <row r="690" spans="1:12" ht="17.100000000000001" customHeight="1">
      <c r="A690" s="43" t="s">
        <v>377</v>
      </c>
      <c r="B690" s="44" t="s">
        <v>385</v>
      </c>
      <c r="C690" s="44" t="s">
        <v>73</v>
      </c>
      <c r="D690" s="85">
        <v>10104932087</v>
      </c>
      <c r="E690" s="44" t="s">
        <v>1298</v>
      </c>
      <c r="F690" s="44" t="s">
        <v>180</v>
      </c>
      <c r="G690" s="44" t="s">
        <v>1299</v>
      </c>
      <c r="H690" s="44" t="s">
        <v>76</v>
      </c>
      <c r="I690" s="45">
        <v>42774</v>
      </c>
      <c r="J690" s="45">
        <v>42774</v>
      </c>
      <c r="K690" s="45">
        <v>42772</v>
      </c>
      <c r="L690" s="45"/>
    </row>
    <row r="691" spans="1:12" ht="17.100000000000001" customHeight="1">
      <c r="A691" s="43" t="s">
        <v>377</v>
      </c>
      <c r="B691" s="44" t="s">
        <v>385</v>
      </c>
      <c r="C691" s="44" t="s">
        <v>73</v>
      </c>
      <c r="D691" s="85">
        <v>10104932086</v>
      </c>
      <c r="E691" s="44" t="s">
        <v>1300</v>
      </c>
      <c r="F691" s="44" t="s">
        <v>180</v>
      </c>
      <c r="G691" s="44" t="s">
        <v>1299</v>
      </c>
      <c r="H691" s="44" t="s">
        <v>76</v>
      </c>
      <c r="I691" s="45">
        <v>42774</v>
      </c>
      <c r="J691" s="45">
        <v>42774</v>
      </c>
      <c r="K691" s="45">
        <v>42772</v>
      </c>
      <c r="L691" s="45"/>
    </row>
    <row r="692" spans="1:12" ht="17.100000000000001" customHeight="1">
      <c r="A692" s="43" t="s">
        <v>377</v>
      </c>
      <c r="B692" s="44" t="s">
        <v>385</v>
      </c>
      <c r="C692" s="44" t="s">
        <v>73</v>
      </c>
      <c r="D692" s="85">
        <v>10104932077</v>
      </c>
      <c r="E692" s="44" t="s">
        <v>1301</v>
      </c>
      <c r="F692" s="44" t="s">
        <v>180</v>
      </c>
      <c r="G692" s="44" t="s">
        <v>1299</v>
      </c>
      <c r="H692" s="44" t="s">
        <v>76</v>
      </c>
      <c r="I692" s="45">
        <v>42774</v>
      </c>
      <c r="J692" s="45">
        <v>42774</v>
      </c>
      <c r="K692" s="45">
        <v>42772</v>
      </c>
      <c r="L692" s="45"/>
    </row>
    <row r="693" spans="1:12" ht="17.100000000000001" customHeight="1">
      <c r="A693" s="43" t="s">
        <v>377</v>
      </c>
      <c r="B693" s="44" t="s">
        <v>380</v>
      </c>
      <c r="C693" s="44" t="s">
        <v>73</v>
      </c>
      <c r="D693" s="85">
        <v>10104949720</v>
      </c>
      <c r="E693" s="44" t="s">
        <v>814</v>
      </c>
      <c r="F693" s="44" t="s">
        <v>180</v>
      </c>
      <c r="G693" s="44" t="s">
        <v>1299</v>
      </c>
      <c r="H693" s="44" t="s">
        <v>74</v>
      </c>
      <c r="I693" s="45">
        <v>42794</v>
      </c>
      <c r="J693" s="45">
        <v>42795</v>
      </c>
      <c r="K693" s="45">
        <v>42794</v>
      </c>
      <c r="L693" s="45"/>
    </row>
    <row r="694" spans="1:12" ht="17.100000000000001" customHeight="1">
      <c r="A694" s="43" t="s">
        <v>377</v>
      </c>
      <c r="B694" s="44" t="s">
        <v>380</v>
      </c>
      <c r="C694" s="44" t="s">
        <v>73</v>
      </c>
      <c r="D694" s="85">
        <v>10104949721</v>
      </c>
      <c r="E694" s="44" t="s">
        <v>813</v>
      </c>
      <c r="F694" s="44" t="s">
        <v>180</v>
      </c>
      <c r="G694" s="44" t="s">
        <v>1299</v>
      </c>
      <c r="H694" s="44" t="s">
        <v>74</v>
      </c>
      <c r="I694" s="45">
        <v>42794</v>
      </c>
      <c r="J694" s="45">
        <v>42795</v>
      </c>
      <c r="K694" s="45">
        <v>42794</v>
      </c>
      <c r="L694" s="45"/>
    </row>
    <row r="695" spans="1:12" ht="17.100000000000001" customHeight="1">
      <c r="A695" s="43" t="s">
        <v>377</v>
      </c>
      <c r="B695" s="44" t="s">
        <v>380</v>
      </c>
      <c r="C695" s="44" t="s">
        <v>73</v>
      </c>
      <c r="D695" s="85">
        <v>10104949733</v>
      </c>
      <c r="E695" s="44" t="s">
        <v>812</v>
      </c>
      <c r="F695" s="44" t="s">
        <v>180</v>
      </c>
      <c r="G695" s="44" t="s">
        <v>1299</v>
      </c>
      <c r="H695" s="44" t="s">
        <v>74</v>
      </c>
      <c r="I695" s="45">
        <v>42794</v>
      </c>
      <c r="J695" s="45">
        <v>42795</v>
      </c>
      <c r="K695" s="45">
        <v>42794</v>
      </c>
      <c r="L695" s="45"/>
    </row>
    <row r="696" spans="1:12" ht="17.100000000000001" customHeight="1">
      <c r="A696" s="43" t="s">
        <v>377</v>
      </c>
      <c r="B696" s="44" t="s">
        <v>380</v>
      </c>
      <c r="C696" s="44" t="s">
        <v>73</v>
      </c>
      <c r="D696" s="85">
        <v>10104949734</v>
      </c>
      <c r="E696" s="44" t="s">
        <v>1302</v>
      </c>
      <c r="F696" s="44" t="s">
        <v>180</v>
      </c>
      <c r="G696" s="44" t="s">
        <v>1299</v>
      </c>
      <c r="H696" s="44" t="s">
        <v>74</v>
      </c>
      <c r="I696" s="45">
        <v>42794</v>
      </c>
      <c r="J696" s="45">
        <v>42795</v>
      </c>
      <c r="K696" s="45">
        <v>42794</v>
      </c>
      <c r="L696" s="45"/>
    </row>
    <row r="697" spans="1:12" ht="17.100000000000001" customHeight="1">
      <c r="A697" s="43" t="s">
        <v>377</v>
      </c>
      <c r="B697" s="44" t="s">
        <v>380</v>
      </c>
      <c r="C697" s="44" t="s">
        <v>73</v>
      </c>
      <c r="D697" s="85">
        <v>10104949742</v>
      </c>
      <c r="E697" s="44" t="s">
        <v>814</v>
      </c>
      <c r="F697" s="44" t="s">
        <v>180</v>
      </c>
      <c r="G697" s="44" t="s">
        <v>1303</v>
      </c>
      <c r="H697" s="44" t="s">
        <v>74</v>
      </c>
      <c r="I697" s="45">
        <v>42794</v>
      </c>
      <c r="J697" s="45">
        <v>42795</v>
      </c>
      <c r="K697" s="45">
        <v>42794</v>
      </c>
      <c r="L697" s="45"/>
    </row>
    <row r="698" spans="1:12" ht="17.100000000000001" customHeight="1">
      <c r="A698" s="43" t="s">
        <v>377</v>
      </c>
      <c r="B698" s="44" t="s">
        <v>380</v>
      </c>
      <c r="C698" s="44" t="s">
        <v>73</v>
      </c>
      <c r="D698" s="85">
        <v>10104949743</v>
      </c>
      <c r="E698" s="44" t="s">
        <v>812</v>
      </c>
      <c r="F698" s="44" t="s">
        <v>180</v>
      </c>
      <c r="G698" s="44" t="s">
        <v>1303</v>
      </c>
      <c r="H698" s="44" t="s">
        <v>74</v>
      </c>
      <c r="I698" s="45">
        <v>42794</v>
      </c>
      <c r="J698" s="45">
        <v>42795</v>
      </c>
      <c r="K698" s="45">
        <v>42794</v>
      </c>
      <c r="L698" s="45"/>
    </row>
    <row r="699" spans="1:12" ht="17.100000000000001" customHeight="1">
      <c r="A699" s="43" t="s">
        <v>377</v>
      </c>
      <c r="B699" s="44" t="s">
        <v>385</v>
      </c>
      <c r="C699" s="44" t="s">
        <v>73</v>
      </c>
      <c r="D699" s="85">
        <v>10104893613</v>
      </c>
      <c r="E699" s="44" t="s">
        <v>936</v>
      </c>
      <c r="F699" s="44" t="s">
        <v>180</v>
      </c>
      <c r="G699" s="44" t="s">
        <v>1303</v>
      </c>
      <c r="H699" s="44" t="s">
        <v>74</v>
      </c>
      <c r="I699" s="45">
        <v>42773</v>
      </c>
      <c r="J699" s="45">
        <v>42773</v>
      </c>
      <c r="K699" s="45">
        <v>42772</v>
      </c>
      <c r="L699" s="45"/>
    </row>
    <row r="700" spans="1:12" ht="17.100000000000001" customHeight="1">
      <c r="A700" s="43" t="s">
        <v>377</v>
      </c>
      <c r="B700" s="44" t="s">
        <v>385</v>
      </c>
      <c r="C700" s="44" t="s">
        <v>73</v>
      </c>
      <c r="D700" s="85">
        <v>10104893620</v>
      </c>
      <c r="E700" s="44" t="s">
        <v>938</v>
      </c>
      <c r="F700" s="44" t="s">
        <v>180</v>
      </c>
      <c r="G700" s="44" t="s">
        <v>1303</v>
      </c>
      <c r="H700" s="44" t="s">
        <v>76</v>
      </c>
      <c r="I700" s="45">
        <v>42773</v>
      </c>
      <c r="J700" s="45">
        <v>42773</v>
      </c>
      <c r="K700" s="45">
        <v>42772</v>
      </c>
      <c r="L700" s="45"/>
    </row>
    <row r="701" spans="1:12" ht="17.100000000000001" customHeight="1">
      <c r="A701" s="43" t="s">
        <v>377</v>
      </c>
      <c r="B701" s="44" t="s">
        <v>380</v>
      </c>
      <c r="C701" s="44" t="s">
        <v>73</v>
      </c>
      <c r="D701" s="85">
        <v>10104949754</v>
      </c>
      <c r="E701" s="44" t="s">
        <v>813</v>
      </c>
      <c r="F701" s="44" t="s">
        <v>180</v>
      </c>
      <c r="G701" s="44" t="s">
        <v>1303</v>
      </c>
      <c r="H701" s="44" t="s">
        <v>74</v>
      </c>
      <c r="I701" s="45">
        <v>42794</v>
      </c>
      <c r="J701" s="45">
        <v>42795</v>
      </c>
      <c r="K701" s="45">
        <v>42794</v>
      </c>
      <c r="L701" s="45"/>
    </row>
    <row r="702" spans="1:12" ht="17.100000000000001" customHeight="1">
      <c r="A702" s="43" t="s">
        <v>377</v>
      </c>
      <c r="B702" s="44" t="s">
        <v>385</v>
      </c>
      <c r="C702" s="44" t="s">
        <v>73</v>
      </c>
      <c r="D702" s="85">
        <v>10104893621</v>
      </c>
      <c r="E702" s="44" t="s">
        <v>937</v>
      </c>
      <c r="F702" s="44" t="s">
        <v>180</v>
      </c>
      <c r="G702" s="44" t="s">
        <v>1303</v>
      </c>
      <c r="H702" s="44" t="s">
        <v>76</v>
      </c>
      <c r="I702" s="45">
        <v>42773</v>
      </c>
      <c r="J702" s="45">
        <v>42773</v>
      </c>
      <c r="K702" s="45">
        <v>42772</v>
      </c>
      <c r="L702" s="45"/>
    </row>
    <row r="703" spans="1:12" ht="17.100000000000001" customHeight="1">
      <c r="A703" s="43" t="s">
        <v>377</v>
      </c>
      <c r="B703" s="44" t="s">
        <v>385</v>
      </c>
      <c r="C703" s="44" t="s">
        <v>73</v>
      </c>
      <c r="D703" s="85">
        <v>10104914403</v>
      </c>
      <c r="E703" s="44" t="s">
        <v>587</v>
      </c>
      <c r="F703" s="44" t="s">
        <v>596</v>
      </c>
      <c r="G703" s="44" t="s">
        <v>423</v>
      </c>
      <c r="H703" s="44" t="s">
        <v>76</v>
      </c>
      <c r="I703" s="45">
        <v>42779</v>
      </c>
      <c r="J703" s="45">
        <v>42779</v>
      </c>
      <c r="K703" s="45"/>
      <c r="L703" s="45"/>
    </row>
    <row r="704" spans="1:12" ht="17.100000000000001" customHeight="1">
      <c r="A704" s="43" t="s">
        <v>377</v>
      </c>
      <c r="B704" s="44" t="s">
        <v>385</v>
      </c>
      <c r="C704" s="44" t="s">
        <v>73</v>
      </c>
      <c r="D704" s="85">
        <v>10104911841</v>
      </c>
      <c r="E704" s="44" t="s">
        <v>1304</v>
      </c>
      <c r="F704" s="44" t="s">
        <v>180</v>
      </c>
      <c r="G704" s="44" t="s">
        <v>941</v>
      </c>
      <c r="H704" s="44" t="s">
        <v>76</v>
      </c>
      <c r="I704" s="45">
        <v>42772</v>
      </c>
      <c r="J704" s="45">
        <v>42772</v>
      </c>
      <c r="K704" s="45">
        <v>42772</v>
      </c>
      <c r="L704" s="45"/>
    </row>
    <row r="705" spans="1:12" ht="17.100000000000001" customHeight="1">
      <c r="A705" s="43" t="s">
        <v>377</v>
      </c>
      <c r="B705" s="44" t="s">
        <v>385</v>
      </c>
      <c r="C705" s="44" t="s">
        <v>73</v>
      </c>
      <c r="D705" s="85">
        <v>10104893589</v>
      </c>
      <c r="E705" s="44" t="s">
        <v>942</v>
      </c>
      <c r="F705" s="44" t="s">
        <v>180</v>
      </c>
      <c r="G705" s="44" t="s">
        <v>1305</v>
      </c>
      <c r="H705" s="44" t="s">
        <v>76</v>
      </c>
      <c r="I705" s="45">
        <v>42773</v>
      </c>
      <c r="J705" s="45">
        <v>42773</v>
      </c>
      <c r="K705" s="45">
        <v>42772</v>
      </c>
      <c r="L705" s="45"/>
    </row>
    <row r="706" spans="1:12" ht="17.100000000000001" customHeight="1">
      <c r="A706" s="43" t="s">
        <v>377</v>
      </c>
      <c r="B706" s="44" t="s">
        <v>385</v>
      </c>
      <c r="C706" s="44" t="s">
        <v>73</v>
      </c>
      <c r="D706" s="85">
        <v>10104893602</v>
      </c>
      <c r="E706" s="44" t="s">
        <v>943</v>
      </c>
      <c r="F706" s="44" t="s">
        <v>180</v>
      </c>
      <c r="G706" s="44" t="s">
        <v>1305</v>
      </c>
      <c r="H706" s="44" t="s">
        <v>76</v>
      </c>
      <c r="I706" s="45">
        <v>42773</v>
      </c>
      <c r="J706" s="45">
        <v>42773</v>
      </c>
      <c r="K706" s="45">
        <v>42772</v>
      </c>
      <c r="L706" s="45"/>
    </row>
    <row r="707" spans="1:12" ht="17.100000000000001" customHeight="1">
      <c r="A707" s="43" t="s">
        <v>377</v>
      </c>
      <c r="B707" s="44" t="s">
        <v>385</v>
      </c>
      <c r="C707" s="44" t="s">
        <v>73</v>
      </c>
      <c r="D707" s="85">
        <v>10104893623</v>
      </c>
      <c r="E707" s="44" t="s">
        <v>939</v>
      </c>
      <c r="F707" s="44" t="s">
        <v>180</v>
      </c>
      <c r="G707" s="44" t="s">
        <v>1305</v>
      </c>
      <c r="H707" s="44" t="s">
        <v>76</v>
      </c>
      <c r="I707" s="45">
        <v>42773</v>
      </c>
      <c r="J707" s="45">
        <v>42773</v>
      </c>
      <c r="K707" s="45">
        <v>42772</v>
      </c>
      <c r="L707" s="45"/>
    </row>
    <row r="708" spans="1:12" ht="17.100000000000001" customHeight="1">
      <c r="A708" s="43" t="s">
        <v>377</v>
      </c>
      <c r="B708" s="44" t="s">
        <v>385</v>
      </c>
      <c r="C708" s="44" t="s">
        <v>73</v>
      </c>
      <c r="D708" s="85">
        <v>10104893626</v>
      </c>
      <c r="E708" s="44" t="s">
        <v>940</v>
      </c>
      <c r="F708" s="44" t="s">
        <v>180</v>
      </c>
      <c r="G708" s="44" t="s">
        <v>1305</v>
      </c>
      <c r="H708" s="44" t="s">
        <v>76</v>
      </c>
      <c r="I708" s="45">
        <v>42773</v>
      </c>
      <c r="J708" s="45">
        <v>42773</v>
      </c>
      <c r="K708" s="45">
        <v>42772</v>
      </c>
      <c r="L708" s="45"/>
    </row>
    <row r="709" spans="1:12" ht="17.100000000000001" customHeight="1">
      <c r="A709" s="43" t="s">
        <v>377</v>
      </c>
      <c r="B709" s="44" t="s">
        <v>379</v>
      </c>
      <c r="C709" s="44" t="s">
        <v>73</v>
      </c>
      <c r="D709" s="85">
        <v>10104928570</v>
      </c>
      <c r="E709" s="44" t="s">
        <v>801</v>
      </c>
      <c r="F709" s="44" t="s">
        <v>75</v>
      </c>
      <c r="G709" s="44" t="s">
        <v>802</v>
      </c>
      <c r="H709" s="44" t="s">
        <v>74</v>
      </c>
      <c r="I709" s="45">
        <v>42791</v>
      </c>
      <c r="J709" s="45">
        <v>42795</v>
      </c>
      <c r="K709" s="45">
        <v>42791</v>
      </c>
      <c r="L709" s="45"/>
    </row>
    <row r="710" spans="1:12" ht="17.100000000000001" customHeight="1">
      <c r="A710" s="43" t="s">
        <v>377</v>
      </c>
      <c r="B710" s="44" t="s">
        <v>380</v>
      </c>
      <c r="C710" s="44" t="s">
        <v>73</v>
      </c>
      <c r="D710" s="85">
        <v>10104932049</v>
      </c>
      <c r="E710" s="44" t="s">
        <v>1306</v>
      </c>
      <c r="F710" s="44" t="s">
        <v>180</v>
      </c>
      <c r="G710" s="44" t="s">
        <v>424</v>
      </c>
      <c r="H710" s="44" t="s">
        <v>74</v>
      </c>
      <c r="I710" s="45">
        <v>42794</v>
      </c>
      <c r="J710" s="45">
        <v>42795</v>
      </c>
      <c r="K710" s="45">
        <v>42787</v>
      </c>
      <c r="L710" s="45"/>
    </row>
    <row r="711" spans="1:12" ht="17.100000000000001" customHeight="1">
      <c r="A711" s="43" t="s">
        <v>377</v>
      </c>
      <c r="B711" s="44" t="s">
        <v>380</v>
      </c>
      <c r="C711" s="44" t="s">
        <v>73</v>
      </c>
      <c r="D711" s="85">
        <v>10104932048</v>
      </c>
      <c r="E711" s="44" t="s">
        <v>1306</v>
      </c>
      <c r="F711" s="44" t="s">
        <v>1307</v>
      </c>
      <c r="G711" s="44" t="s">
        <v>529</v>
      </c>
      <c r="H711" s="44" t="s">
        <v>74</v>
      </c>
      <c r="I711" s="45">
        <v>42772</v>
      </c>
      <c r="J711" s="45">
        <v>42772</v>
      </c>
      <c r="K711" s="45"/>
      <c r="L711" s="45"/>
    </row>
    <row r="712" spans="1:12" ht="17.100000000000001" customHeight="1">
      <c r="A712" s="43" t="s">
        <v>377</v>
      </c>
      <c r="B712" s="44" t="s">
        <v>378</v>
      </c>
      <c r="C712" s="44" t="s">
        <v>73</v>
      </c>
      <c r="D712" s="85">
        <v>10104962401</v>
      </c>
      <c r="E712" s="44" t="s">
        <v>649</v>
      </c>
      <c r="F712" s="44" t="s">
        <v>180</v>
      </c>
      <c r="G712" s="44" t="s">
        <v>425</v>
      </c>
      <c r="H712" s="44" t="s">
        <v>223</v>
      </c>
      <c r="I712" s="45">
        <v>42794</v>
      </c>
      <c r="J712" s="45">
        <v>42796</v>
      </c>
      <c r="K712" s="45">
        <v>42789</v>
      </c>
      <c r="L712" s="45"/>
    </row>
    <row r="713" spans="1:12" ht="17.100000000000001" customHeight="1">
      <c r="A713" s="43" t="s">
        <v>377</v>
      </c>
      <c r="B713" s="44" t="s">
        <v>378</v>
      </c>
      <c r="C713" s="44" t="s">
        <v>73</v>
      </c>
      <c r="D713" s="85">
        <v>10104962333</v>
      </c>
      <c r="E713" s="44" t="s">
        <v>650</v>
      </c>
      <c r="F713" s="44" t="s">
        <v>180</v>
      </c>
      <c r="G713" s="44" t="s">
        <v>426</v>
      </c>
      <c r="H713" s="44" t="s">
        <v>223</v>
      </c>
      <c r="I713" s="45">
        <v>42794</v>
      </c>
      <c r="J713" s="45">
        <v>42796</v>
      </c>
      <c r="K713" s="45">
        <v>42789</v>
      </c>
      <c r="L713" s="45"/>
    </row>
    <row r="714" spans="1:12" ht="17.100000000000001" customHeight="1">
      <c r="A714" s="43" t="s">
        <v>377</v>
      </c>
      <c r="B714" s="44" t="s">
        <v>385</v>
      </c>
      <c r="C714" s="44" t="s">
        <v>73</v>
      </c>
      <c r="D714" s="85">
        <v>10104941521</v>
      </c>
      <c r="E714" s="44" t="s">
        <v>502</v>
      </c>
      <c r="F714" s="44" t="s">
        <v>596</v>
      </c>
      <c r="G714" s="44" t="s">
        <v>429</v>
      </c>
      <c r="H714" s="44" t="s">
        <v>76</v>
      </c>
      <c r="I714" s="45">
        <v>42786</v>
      </c>
      <c r="J714" s="45">
        <v>42786</v>
      </c>
      <c r="K714" s="45"/>
      <c r="L714" s="45"/>
    </row>
    <row r="715" spans="1:12" ht="17.100000000000001" customHeight="1">
      <c r="A715" s="43" t="s">
        <v>377</v>
      </c>
      <c r="B715" s="44" t="s">
        <v>385</v>
      </c>
      <c r="C715" s="44" t="s">
        <v>73</v>
      </c>
      <c r="D715" s="85">
        <v>10104941522</v>
      </c>
      <c r="E715" s="44" t="s">
        <v>501</v>
      </c>
      <c r="F715" s="44" t="s">
        <v>596</v>
      </c>
      <c r="G715" s="44" t="s">
        <v>429</v>
      </c>
      <c r="H715" s="44" t="s">
        <v>76</v>
      </c>
      <c r="I715" s="45">
        <v>42786</v>
      </c>
      <c r="J715" s="45">
        <v>42786</v>
      </c>
      <c r="K715" s="45"/>
      <c r="L715" s="45"/>
    </row>
    <row r="716" spans="1:12" ht="17.100000000000001" customHeight="1">
      <c r="A716" s="43" t="s">
        <v>377</v>
      </c>
      <c r="B716" s="44" t="s">
        <v>385</v>
      </c>
      <c r="C716" s="44" t="s">
        <v>73</v>
      </c>
      <c r="D716" s="85">
        <v>10104924473</v>
      </c>
      <c r="E716" s="44" t="s">
        <v>502</v>
      </c>
      <c r="F716" s="44" t="s">
        <v>596</v>
      </c>
      <c r="G716" s="44" t="s">
        <v>429</v>
      </c>
      <c r="H716" s="44" t="s">
        <v>76</v>
      </c>
      <c r="I716" s="45">
        <v>42772</v>
      </c>
      <c r="J716" s="45">
        <v>42772</v>
      </c>
      <c r="K716" s="45"/>
      <c r="L716" s="45"/>
    </row>
    <row r="717" spans="1:12" ht="17.100000000000001" customHeight="1">
      <c r="A717" s="43" t="s">
        <v>377</v>
      </c>
      <c r="B717" s="44" t="s">
        <v>385</v>
      </c>
      <c r="C717" s="44" t="s">
        <v>73</v>
      </c>
      <c r="D717" s="85">
        <v>10104924474</v>
      </c>
      <c r="E717" s="44" t="s">
        <v>501</v>
      </c>
      <c r="F717" s="44" t="s">
        <v>596</v>
      </c>
      <c r="G717" s="44" t="s">
        <v>429</v>
      </c>
      <c r="H717" s="44" t="s">
        <v>76</v>
      </c>
      <c r="I717" s="45">
        <v>42772</v>
      </c>
      <c r="J717" s="45">
        <v>42772</v>
      </c>
      <c r="K717" s="45"/>
      <c r="L717" s="45"/>
    </row>
    <row r="718" spans="1:12" ht="17.100000000000001" customHeight="1">
      <c r="A718" s="43" t="s">
        <v>377</v>
      </c>
      <c r="B718" s="44" t="s">
        <v>379</v>
      </c>
      <c r="C718" s="44" t="s">
        <v>73</v>
      </c>
      <c r="D718" s="85">
        <v>10104914429</v>
      </c>
      <c r="E718" s="44" t="s">
        <v>708</v>
      </c>
      <c r="F718" s="44" t="s">
        <v>596</v>
      </c>
      <c r="G718" s="44" t="s">
        <v>430</v>
      </c>
      <c r="H718" s="44" t="s">
        <v>76</v>
      </c>
      <c r="I718" s="45">
        <v>42779</v>
      </c>
      <c r="J718" s="45">
        <v>42779</v>
      </c>
      <c r="K718" s="45"/>
      <c r="L718" s="45"/>
    </row>
    <row r="719" spans="1:12" ht="17.100000000000001" customHeight="1">
      <c r="A719" s="43" t="s">
        <v>377</v>
      </c>
      <c r="B719" s="44" t="s">
        <v>380</v>
      </c>
      <c r="C719" s="44" t="s">
        <v>73</v>
      </c>
      <c r="D719" s="85">
        <v>10104949755</v>
      </c>
      <c r="E719" s="44" t="s">
        <v>1308</v>
      </c>
      <c r="F719" s="44" t="s">
        <v>219</v>
      </c>
      <c r="G719" s="44" t="s">
        <v>815</v>
      </c>
      <c r="H719" s="44" t="s">
        <v>74</v>
      </c>
      <c r="I719" s="45">
        <v>42787</v>
      </c>
      <c r="J719" s="45">
        <v>42787</v>
      </c>
      <c r="K719" s="45"/>
      <c r="L719" s="45"/>
    </row>
    <row r="720" spans="1:12" ht="17.100000000000001" customHeight="1">
      <c r="A720" s="43" t="s">
        <v>377</v>
      </c>
      <c r="B720" s="44" t="s">
        <v>380</v>
      </c>
      <c r="C720" s="44" t="s">
        <v>73</v>
      </c>
      <c r="D720" s="85">
        <v>10104949750</v>
      </c>
      <c r="E720" s="44" t="s">
        <v>1309</v>
      </c>
      <c r="F720" s="44" t="s">
        <v>219</v>
      </c>
      <c r="G720" s="44" t="s">
        <v>815</v>
      </c>
      <c r="H720" s="44" t="s">
        <v>74</v>
      </c>
      <c r="I720" s="45">
        <v>42787</v>
      </c>
      <c r="J720" s="45">
        <v>42787</v>
      </c>
      <c r="K720" s="45"/>
      <c r="L720" s="45"/>
    </row>
    <row r="721" spans="1:12" ht="17.100000000000001" customHeight="1">
      <c r="A721" s="43" t="s">
        <v>377</v>
      </c>
      <c r="B721" s="44" t="s">
        <v>380</v>
      </c>
      <c r="C721" s="44" t="s">
        <v>73</v>
      </c>
      <c r="D721" s="85">
        <v>10104949749</v>
      </c>
      <c r="E721" s="44" t="s">
        <v>1310</v>
      </c>
      <c r="F721" s="44" t="s">
        <v>219</v>
      </c>
      <c r="G721" s="44" t="s">
        <v>815</v>
      </c>
      <c r="H721" s="44" t="s">
        <v>74</v>
      </c>
      <c r="I721" s="45">
        <v>42787</v>
      </c>
      <c r="J721" s="45">
        <v>42787</v>
      </c>
      <c r="K721" s="45"/>
      <c r="L721" s="45"/>
    </row>
    <row r="722" spans="1:12" ht="17.100000000000001" customHeight="1">
      <c r="A722" s="43" t="s">
        <v>377</v>
      </c>
      <c r="B722" s="44" t="s">
        <v>380</v>
      </c>
      <c r="C722" s="44" t="s">
        <v>73</v>
      </c>
      <c r="D722" s="85">
        <v>10104949744</v>
      </c>
      <c r="E722" s="44" t="s">
        <v>1311</v>
      </c>
      <c r="F722" s="44" t="s">
        <v>219</v>
      </c>
      <c r="G722" s="44" t="s">
        <v>815</v>
      </c>
      <c r="H722" s="44" t="s">
        <v>74</v>
      </c>
      <c r="I722" s="45">
        <v>42787</v>
      </c>
      <c r="J722" s="45">
        <v>42787</v>
      </c>
      <c r="K722" s="45"/>
      <c r="L722" s="45"/>
    </row>
    <row r="723" spans="1:12" ht="17.100000000000001" customHeight="1">
      <c r="A723" s="43" t="s">
        <v>377</v>
      </c>
      <c r="B723" s="44" t="s">
        <v>380</v>
      </c>
      <c r="C723" s="44" t="s">
        <v>73</v>
      </c>
      <c r="D723" s="85">
        <v>10104949745</v>
      </c>
      <c r="E723" s="44" t="s">
        <v>1312</v>
      </c>
      <c r="F723" s="44" t="s">
        <v>180</v>
      </c>
      <c r="G723" s="44" t="s">
        <v>815</v>
      </c>
      <c r="H723" s="44" t="s">
        <v>74</v>
      </c>
      <c r="I723" s="45">
        <v>42794</v>
      </c>
      <c r="J723" s="45">
        <v>42795</v>
      </c>
      <c r="K723" s="45">
        <v>42795</v>
      </c>
      <c r="L723" s="45"/>
    </row>
    <row r="724" spans="1:12" ht="17.100000000000001" customHeight="1">
      <c r="A724" s="43" t="s">
        <v>377</v>
      </c>
      <c r="B724" s="44" t="s">
        <v>380</v>
      </c>
      <c r="C724" s="44" t="s">
        <v>73</v>
      </c>
      <c r="D724" s="85">
        <v>10104949746</v>
      </c>
      <c r="E724" s="44" t="s">
        <v>1313</v>
      </c>
      <c r="F724" s="44" t="s">
        <v>219</v>
      </c>
      <c r="G724" s="44" t="s">
        <v>815</v>
      </c>
      <c r="H724" s="44" t="s">
        <v>74</v>
      </c>
      <c r="I724" s="45">
        <v>42787</v>
      </c>
      <c r="J724" s="45">
        <v>42787</v>
      </c>
      <c r="K724" s="45"/>
      <c r="L724" s="45"/>
    </row>
    <row r="725" spans="1:12" ht="17.100000000000001" customHeight="1">
      <c r="A725" s="43" t="s">
        <v>377</v>
      </c>
      <c r="B725" s="44" t="s">
        <v>380</v>
      </c>
      <c r="C725" s="44" t="s">
        <v>73</v>
      </c>
      <c r="D725" s="85">
        <v>10104949747</v>
      </c>
      <c r="E725" s="44" t="s">
        <v>1314</v>
      </c>
      <c r="F725" s="44" t="s">
        <v>219</v>
      </c>
      <c r="G725" s="44" t="s">
        <v>815</v>
      </c>
      <c r="H725" s="44" t="s">
        <v>74</v>
      </c>
      <c r="I725" s="45">
        <v>42787</v>
      </c>
      <c r="J725" s="45">
        <v>42787</v>
      </c>
      <c r="K725" s="45"/>
      <c r="L725" s="45"/>
    </row>
    <row r="726" spans="1:12" ht="17.100000000000001" customHeight="1">
      <c r="A726" s="43" t="s">
        <v>377</v>
      </c>
      <c r="B726" s="44" t="s">
        <v>380</v>
      </c>
      <c r="C726" s="44" t="s">
        <v>73</v>
      </c>
      <c r="D726" s="85">
        <v>10104949748</v>
      </c>
      <c r="E726" s="44" t="s">
        <v>1315</v>
      </c>
      <c r="F726" s="44" t="s">
        <v>219</v>
      </c>
      <c r="G726" s="44" t="s">
        <v>815</v>
      </c>
      <c r="H726" s="44" t="s">
        <v>74</v>
      </c>
      <c r="I726" s="45">
        <v>42787</v>
      </c>
      <c r="J726" s="45">
        <v>42787</v>
      </c>
      <c r="K726" s="45"/>
      <c r="L726" s="45"/>
    </row>
    <row r="727" spans="1:12" ht="17.100000000000001" customHeight="1">
      <c r="A727" s="43" t="s">
        <v>377</v>
      </c>
      <c r="B727" s="44" t="s">
        <v>380</v>
      </c>
      <c r="C727" s="44" t="s">
        <v>73</v>
      </c>
      <c r="D727" s="85">
        <v>10104932865</v>
      </c>
      <c r="E727" s="44" t="s">
        <v>432</v>
      </c>
      <c r="F727" s="44" t="s">
        <v>180</v>
      </c>
      <c r="G727" s="44" t="s">
        <v>431</v>
      </c>
      <c r="H727" s="44" t="s">
        <v>74</v>
      </c>
      <c r="I727" s="45">
        <v>42772</v>
      </c>
      <c r="J727" s="45">
        <v>42775</v>
      </c>
      <c r="K727" s="45">
        <v>42772</v>
      </c>
      <c r="L727" s="45"/>
    </row>
    <row r="728" spans="1:12" ht="17.100000000000001" customHeight="1">
      <c r="A728" s="43" t="s">
        <v>377</v>
      </c>
      <c r="B728" s="44" t="s">
        <v>380</v>
      </c>
      <c r="C728" s="44" t="s">
        <v>73</v>
      </c>
      <c r="D728" s="85">
        <v>10104958369</v>
      </c>
      <c r="E728" s="44" t="s">
        <v>432</v>
      </c>
      <c r="F728" s="44" t="s">
        <v>180</v>
      </c>
      <c r="G728" s="44" t="s">
        <v>431</v>
      </c>
      <c r="H728" s="44" t="s">
        <v>74</v>
      </c>
      <c r="I728" s="45">
        <v>42793</v>
      </c>
      <c r="J728" s="45">
        <v>42795</v>
      </c>
      <c r="K728" s="45">
        <v>42794</v>
      </c>
      <c r="L728" s="45"/>
    </row>
    <row r="729" spans="1:12" ht="17.100000000000001" customHeight="1">
      <c r="A729" s="43" t="s">
        <v>377</v>
      </c>
      <c r="B729" s="44" t="s">
        <v>380</v>
      </c>
      <c r="C729" s="44" t="s">
        <v>73</v>
      </c>
      <c r="D729" s="85">
        <v>10104949709</v>
      </c>
      <c r="E729" s="44" t="s">
        <v>432</v>
      </c>
      <c r="F729" s="44" t="s">
        <v>180</v>
      </c>
      <c r="G729" s="44" t="s">
        <v>431</v>
      </c>
      <c r="H729" s="44" t="s">
        <v>74</v>
      </c>
      <c r="I729" s="45">
        <v>42786</v>
      </c>
      <c r="J729" s="45">
        <v>42795</v>
      </c>
      <c r="K729" s="45">
        <v>42787</v>
      </c>
      <c r="L729" s="45"/>
    </row>
    <row r="730" spans="1:12" ht="17.100000000000001" customHeight="1">
      <c r="A730" s="43" t="s">
        <v>377</v>
      </c>
      <c r="B730" s="44" t="s">
        <v>380</v>
      </c>
      <c r="C730" s="44" t="s">
        <v>73</v>
      </c>
      <c r="D730" s="85">
        <v>10104941515</v>
      </c>
      <c r="E730" s="44" t="s">
        <v>432</v>
      </c>
      <c r="F730" s="44" t="s">
        <v>180</v>
      </c>
      <c r="G730" s="44" t="s">
        <v>431</v>
      </c>
      <c r="H730" s="44" t="s">
        <v>74</v>
      </c>
      <c r="I730" s="45">
        <v>42779</v>
      </c>
      <c r="J730" s="45">
        <v>42786</v>
      </c>
      <c r="K730" s="45">
        <v>42779</v>
      </c>
      <c r="L730" s="45"/>
    </row>
    <row r="731" spans="1:12" ht="17.100000000000001" customHeight="1">
      <c r="A731" s="43" t="s">
        <v>377</v>
      </c>
      <c r="B731" s="44" t="s">
        <v>380</v>
      </c>
      <c r="C731" s="44" t="s">
        <v>73</v>
      </c>
      <c r="D731" s="85">
        <v>10104930782</v>
      </c>
      <c r="E731" s="44" t="s">
        <v>1316</v>
      </c>
      <c r="F731" s="44" t="s">
        <v>180</v>
      </c>
      <c r="G731" s="44" t="s">
        <v>1317</v>
      </c>
      <c r="H731" s="44" t="s">
        <v>74</v>
      </c>
      <c r="I731" s="45">
        <v>42794</v>
      </c>
      <c r="J731" s="45">
        <v>42795</v>
      </c>
      <c r="K731" s="45">
        <v>42794</v>
      </c>
      <c r="L731" s="45"/>
    </row>
    <row r="732" spans="1:12" ht="17.100000000000001" customHeight="1">
      <c r="A732" s="43" t="s">
        <v>377</v>
      </c>
      <c r="B732" s="44" t="s">
        <v>378</v>
      </c>
      <c r="C732" s="44" t="s">
        <v>120</v>
      </c>
      <c r="D732" s="85">
        <v>10104955289</v>
      </c>
      <c r="E732" s="44" t="s">
        <v>1318</v>
      </c>
      <c r="F732" s="44" t="s">
        <v>500</v>
      </c>
      <c r="G732" s="44" t="s">
        <v>568</v>
      </c>
      <c r="H732" s="44" t="s">
        <v>223</v>
      </c>
      <c r="I732" s="45">
        <v>42789</v>
      </c>
      <c r="J732" s="45">
        <v>42789</v>
      </c>
      <c r="K732" s="45"/>
      <c r="L732" s="45"/>
    </row>
    <row r="733" spans="1:12" ht="17.100000000000001" customHeight="1">
      <c r="A733" s="43" t="s">
        <v>377</v>
      </c>
      <c r="B733" s="44" t="s">
        <v>378</v>
      </c>
      <c r="C733" s="44" t="s">
        <v>120</v>
      </c>
      <c r="D733" s="85">
        <v>10104966062</v>
      </c>
      <c r="E733" s="44" t="s">
        <v>652</v>
      </c>
      <c r="F733" s="44" t="s">
        <v>180</v>
      </c>
      <c r="G733" s="44" t="s">
        <v>568</v>
      </c>
      <c r="H733" s="44" t="s">
        <v>223</v>
      </c>
      <c r="I733" s="45">
        <v>42794</v>
      </c>
      <c r="J733" s="45">
        <v>42796</v>
      </c>
      <c r="K733" s="45">
        <v>42794</v>
      </c>
      <c r="L733" s="45"/>
    </row>
    <row r="734" spans="1:12" ht="17.100000000000001" customHeight="1">
      <c r="A734" s="43" t="s">
        <v>377</v>
      </c>
      <c r="B734" s="44" t="s">
        <v>378</v>
      </c>
      <c r="C734" s="44" t="s">
        <v>120</v>
      </c>
      <c r="D734" s="85">
        <v>10104961078</v>
      </c>
      <c r="E734" s="44" t="s">
        <v>651</v>
      </c>
      <c r="F734" s="44" t="s">
        <v>180</v>
      </c>
      <c r="G734" s="44" t="s">
        <v>568</v>
      </c>
      <c r="H734" s="44" t="s">
        <v>223</v>
      </c>
      <c r="I734" s="45">
        <v>42790</v>
      </c>
      <c r="J734" s="45">
        <v>42796</v>
      </c>
      <c r="K734" s="45">
        <v>42767</v>
      </c>
      <c r="L734" s="45"/>
    </row>
    <row r="735" spans="1:12" ht="17.100000000000001" customHeight="1">
      <c r="A735" s="43" t="s">
        <v>377</v>
      </c>
      <c r="B735" s="44" t="s">
        <v>378</v>
      </c>
      <c r="C735" s="44" t="s">
        <v>120</v>
      </c>
      <c r="D735" s="85">
        <v>10104961071</v>
      </c>
      <c r="E735" s="44" t="s">
        <v>1319</v>
      </c>
      <c r="F735" s="44" t="s">
        <v>180</v>
      </c>
      <c r="G735" s="44" t="s">
        <v>568</v>
      </c>
      <c r="H735" s="44" t="s">
        <v>223</v>
      </c>
      <c r="I735" s="45">
        <v>42794</v>
      </c>
      <c r="J735" s="45">
        <v>42796</v>
      </c>
      <c r="K735" s="45">
        <v>42794</v>
      </c>
      <c r="L735" s="45"/>
    </row>
    <row r="736" spans="1:12" ht="17.100000000000001" customHeight="1">
      <c r="A736" s="43" t="s">
        <v>377</v>
      </c>
      <c r="B736" s="44" t="s">
        <v>378</v>
      </c>
      <c r="C736" s="44" t="s">
        <v>120</v>
      </c>
      <c r="D736" s="85">
        <v>10104959444</v>
      </c>
      <c r="E736" s="44" t="s">
        <v>588</v>
      </c>
      <c r="F736" s="44" t="s">
        <v>217</v>
      </c>
      <c r="G736" s="44" t="s">
        <v>568</v>
      </c>
      <c r="H736" s="44" t="s">
        <v>223</v>
      </c>
      <c r="I736" s="45">
        <v>42789</v>
      </c>
      <c r="J736" s="45">
        <v>42796</v>
      </c>
      <c r="K736" s="45"/>
      <c r="L736" s="45"/>
    </row>
    <row r="737" spans="1:12" ht="17.100000000000001" customHeight="1">
      <c r="A737" s="43" t="s">
        <v>377</v>
      </c>
      <c r="B737" s="44" t="s">
        <v>378</v>
      </c>
      <c r="C737" s="44" t="s">
        <v>120</v>
      </c>
      <c r="D737" s="85">
        <v>10104957556</v>
      </c>
      <c r="E737" s="44" t="s">
        <v>603</v>
      </c>
      <c r="F737" s="44" t="s">
        <v>217</v>
      </c>
      <c r="G737" s="44" t="s">
        <v>568</v>
      </c>
      <c r="H737" s="44" t="s">
        <v>223</v>
      </c>
      <c r="I737" s="45">
        <v>42787</v>
      </c>
      <c r="J737" s="45">
        <v>42796</v>
      </c>
      <c r="K737" s="45"/>
      <c r="L737" s="45"/>
    </row>
    <row r="738" spans="1:12" ht="17.100000000000001" customHeight="1">
      <c r="A738" s="43" t="s">
        <v>377</v>
      </c>
      <c r="B738" s="44" t="s">
        <v>378</v>
      </c>
      <c r="C738" s="44" t="s">
        <v>120</v>
      </c>
      <c r="D738" s="85">
        <v>10104959445</v>
      </c>
      <c r="E738" s="44" t="s">
        <v>602</v>
      </c>
      <c r="F738" s="44" t="s">
        <v>180</v>
      </c>
      <c r="G738" s="44" t="s">
        <v>568</v>
      </c>
      <c r="H738" s="44" t="s">
        <v>223</v>
      </c>
      <c r="I738" s="45">
        <v>42789</v>
      </c>
      <c r="J738" s="45">
        <v>42796</v>
      </c>
      <c r="K738" s="45">
        <v>42767</v>
      </c>
      <c r="L738" s="45"/>
    </row>
    <row r="739" spans="1:12" ht="17.100000000000001" customHeight="1">
      <c r="A739" s="43" t="s">
        <v>377</v>
      </c>
      <c r="B739" s="44" t="s">
        <v>378</v>
      </c>
      <c r="C739" s="44" t="s">
        <v>120</v>
      </c>
      <c r="D739" s="85">
        <v>10104936990</v>
      </c>
      <c r="E739" s="44" t="s">
        <v>1320</v>
      </c>
      <c r="F739" s="44" t="s">
        <v>180</v>
      </c>
      <c r="G739" s="44" t="s">
        <v>944</v>
      </c>
      <c r="H739" s="44" t="s">
        <v>223</v>
      </c>
      <c r="I739" s="45">
        <v>42786</v>
      </c>
      <c r="J739" s="45">
        <v>42790</v>
      </c>
      <c r="K739" s="45">
        <v>42774</v>
      </c>
      <c r="L739" s="45"/>
    </row>
    <row r="740" spans="1:12" ht="17.100000000000001" customHeight="1">
      <c r="A740" s="43" t="s">
        <v>377</v>
      </c>
      <c r="B740" s="44" t="s">
        <v>378</v>
      </c>
      <c r="C740" s="44" t="s">
        <v>120</v>
      </c>
      <c r="D740" s="85">
        <v>10104948883</v>
      </c>
      <c r="E740" s="44" t="s">
        <v>1321</v>
      </c>
      <c r="F740" s="44" t="s">
        <v>217</v>
      </c>
      <c r="G740" s="44" t="s">
        <v>434</v>
      </c>
      <c r="H740" s="44" t="s">
        <v>223</v>
      </c>
      <c r="I740" s="45">
        <v>42784</v>
      </c>
      <c r="J740" s="45">
        <v>42794</v>
      </c>
      <c r="K740" s="45"/>
      <c r="L740" s="45"/>
    </row>
    <row r="741" spans="1:12" ht="17.100000000000001" customHeight="1">
      <c r="A741" s="43" t="s">
        <v>377</v>
      </c>
      <c r="B741" s="44" t="s">
        <v>378</v>
      </c>
      <c r="C741" s="44" t="s">
        <v>120</v>
      </c>
      <c r="D741" s="85">
        <v>10104961043</v>
      </c>
      <c r="E741" s="44" t="s">
        <v>654</v>
      </c>
      <c r="F741" s="44" t="s">
        <v>180</v>
      </c>
      <c r="G741" s="44" t="s">
        <v>434</v>
      </c>
      <c r="H741" s="44" t="s">
        <v>223</v>
      </c>
      <c r="I741" s="45">
        <v>42793</v>
      </c>
      <c r="J741" s="45">
        <v>42796</v>
      </c>
      <c r="K741" s="45">
        <v>42786</v>
      </c>
      <c r="L741" s="45"/>
    </row>
    <row r="742" spans="1:12" ht="17.100000000000001" customHeight="1">
      <c r="A742" s="43" t="s">
        <v>377</v>
      </c>
      <c r="B742" s="44" t="s">
        <v>378</v>
      </c>
      <c r="C742" s="44" t="s">
        <v>120</v>
      </c>
      <c r="D742" s="85">
        <v>10104950815</v>
      </c>
      <c r="E742" s="44" t="s">
        <v>1322</v>
      </c>
      <c r="F742" s="44" t="s">
        <v>180</v>
      </c>
      <c r="G742" s="44" t="s">
        <v>434</v>
      </c>
      <c r="H742" s="44" t="s">
        <v>223</v>
      </c>
      <c r="I742" s="45">
        <v>42786</v>
      </c>
      <c r="J742" s="45">
        <v>42796</v>
      </c>
      <c r="K742" s="45">
        <v>42786</v>
      </c>
      <c r="L742" s="45"/>
    </row>
    <row r="743" spans="1:12" ht="17.100000000000001" customHeight="1">
      <c r="A743" s="43" t="s">
        <v>377</v>
      </c>
      <c r="B743" s="44" t="s">
        <v>378</v>
      </c>
      <c r="C743" s="44" t="s">
        <v>120</v>
      </c>
      <c r="D743" s="85">
        <v>10104953663</v>
      </c>
      <c r="E743" s="44" t="s">
        <v>604</v>
      </c>
      <c r="F743" s="44" t="s">
        <v>180</v>
      </c>
      <c r="G743" s="44" t="s">
        <v>434</v>
      </c>
      <c r="H743" s="44" t="s">
        <v>223</v>
      </c>
      <c r="I743" s="45">
        <v>42784</v>
      </c>
      <c r="J743" s="45">
        <v>42796</v>
      </c>
      <c r="K743" s="45">
        <v>42767</v>
      </c>
      <c r="L743" s="45"/>
    </row>
    <row r="744" spans="1:12" ht="17.100000000000001" customHeight="1">
      <c r="A744" s="43" t="s">
        <v>377</v>
      </c>
      <c r="B744" s="44" t="s">
        <v>378</v>
      </c>
      <c r="C744" s="44" t="s">
        <v>120</v>
      </c>
      <c r="D744" s="85">
        <v>10104948896</v>
      </c>
      <c r="E744" s="44" t="s">
        <v>1323</v>
      </c>
      <c r="F744" s="44" t="s">
        <v>180</v>
      </c>
      <c r="G744" s="44" t="s">
        <v>434</v>
      </c>
      <c r="H744" s="44" t="s">
        <v>223</v>
      </c>
      <c r="I744" s="45">
        <v>42791</v>
      </c>
      <c r="J744" s="45">
        <v>42796</v>
      </c>
      <c r="K744" s="45">
        <v>42786</v>
      </c>
      <c r="L744" s="45"/>
    </row>
    <row r="745" spans="1:12" ht="17.100000000000001" customHeight="1">
      <c r="A745" s="43" t="s">
        <v>377</v>
      </c>
      <c r="B745" s="44" t="s">
        <v>378</v>
      </c>
      <c r="C745" s="44" t="s">
        <v>120</v>
      </c>
      <c r="D745" s="85">
        <v>10104955288</v>
      </c>
      <c r="E745" s="44" t="s">
        <v>1324</v>
      </c>
      <c r="F745" s="44" t="s">
        <v>180</v>
      </c>
      <c r="G745" s="44" t="s">
        <v>434</v>
      </c>
      <c r="H745" s="44" t="s">
        <v>223</v>
      </c>
      <c r="I745" s="45">
        <v>42792</v>
      </c>
      <c r="J745" s="45">
        <v>42796</v>
      </c>
      <c r="K745" s="45">
        <v>42786</v>
      </c>
      <c r="L745" s="45"/>
    </row>
    <row r="746" spans="1:12" ht="17.100000000000001" customHeight="1">
      <c r="A746" s="43" t="s">
        <v>377</v>
      </c>
      <c r="B746" s="44" t="s">
        <v>378</v>
      </c>
      <c r="C746" s="44" t="s">
        <v>120</v>
      </c>
      <c r="D746" s="85">
        <v>10104961044</v>
      </c>
      <c r="E746" s="44" t="s">
        <v>653</v>
      </c>
      <c r="F746" s="44" t="s">
        <v>180</v>
      </c>
      <c r="G746" s="44" t="s">
        <v>434</v>
      </c>
      <c r="H746" s="44" t="s">
        <v>223</v>
      </c>
      <c r="I746" s="45">
        <v>42793</v>
      </c>
      <c r="J746" s="45">
        <v>42796</v>
      </c>
      <c r="K746" s="45">
        <v>42786</v>
      </c>
      <c r="L746" s="45"/>
    </row>
    <row r="747" spans="1:12" ht="17.100000000000001" customHeight="1">
      <c r="A747" s="43" t="s">
        <v>377</v>
      </c>
      <c r="B747" s="44" t="s">
        <v>378</v>
      </c>
      <c r="C747" s="44" t="s">
        <v>120</v>
      </c>
      <c r="D747" s="85">
        <v>10104953686</v>
      </c>
      <c r="E747" s="44" t="s">
        <v>1325</v>
      </c>
      <c r="F747" s="44" t="s">
        <v>180</v>
      </c>
      <c r="G747" s="44" t="s">
        <v>435</v>
      </c>
      <c r="H747" s="44" t="s">
        <v>223</v>
      </c>
      <c r="I747" s="45">
        <v>42788</v>
      </c>
      <c r="J747" s="45">
        <v>42796</v>
      </c>
      <c r="K747" s="45">
        <v>42786</v>
      </c>
      <c r="L747" s="45"/>
    </row>
    <row r="748" spans="1:12" ht="17.100000000000001" customHeight="1">
      <c r="A748" s="43" t="s">
        <v>377</v>
      </c>
      <c r="B748" s="44" t="s">
        <v>378</v>
      </c>
      <c r="C748" s="44" t="s">
        <v>120</v>
      </c>
      <c r="D748" s="85">
        <v>10104955263</v>
      </c>
      <c r="E748" s="44" t="s">
        <v>1326</v>
      </c>
      <c r="F748" s="44" t="s">
        <v>180</v>
      </c>
      <c r="G748" s="44" t="s">
        <v>435</v>
      </c>
      <c r="H748" s="44" t="s">
        <v>223</v>
      </c>
      <c r="I748" s="45">
        <v>42792</v>
      </c>
      <c r="J748" s="45">
        <v>42796</v>
      </c>
      <c r="K748" s="45">
        <v>42786</v>
      </c>
      <c r="L748" s="45"/>
    </row>
    <row r="749" spans="1:12" ht="17.100000000000001" customHeight="1">
      <c r="A749" s="43" t="s">
        <v>377</v>
      </c>
      <c r="B749" s="44" t="s">
        <v>378</v>
      </c>
      <c r="C749" s="44" t="s">
        <v>120</v>
      </c>
      <c r="D749" s="85">
        <v>10104962320</v>
      </c>
      <c r="E749" s="44" t="s">
        <v>655</v>
      </c>
      <c r="F749" s="44" t="s">
        <v>180</v>
      </c>
      <c r="G749" s="44" t="s">
        <v>435</v>
      </c>
      <c r="H749" s="44" t="s">
        <v>223</v>
      </c>
      <c r="I749" s="45">
        <v>42794</v>
      </c>
      <c r="J749" s="45">
        <v>42796</v>
      </c>
      <c r="K749" s="45">
        <v>42786</v>
      </c>
      <c r="L749" s="45"/>
    </row>
    <row r="750" spans="1:12" ht="17.100000000000001" customHeight="1">
      <c r="A750" s="43" t="s">
        <v>377</v>
      </c>
      <c r="B750" s="44" t="s">
        <v>378</v>
      </c>
      <c r="C750" s="44" t="s">
        <v>120</v>
      </c>
      <c r="D750" s="85">
        <v>10104937006</v>
      </c>
      <c r="E750" s="44" t="s">
        <v>1327</v>
      </c>
      <c r="F750" s="44" t="s">
        <v>180</v>
      </c>
      <c r="G750" s="44" t="s">
        <v>872</v>
      </c>
      <c r="H750" s="44" t="s">
        <v>223</v>
      </c>
      <c r="I750" s="45">
        <v>42786</v>
      </c>
      <c r="J750" s="45">
        <v>42790</v>
      </c>
      <c r="K750" s="45">
        <v>42788</v>
      </c>
      <c r="L750" s="45"/>
    </row>
    <row r="751" spans="1:12" ht="17.100000000000001" customHeight="1">
      <c r="A751" s="43" t="s">
        <v>377</v>
      </c>
      <c r="B751" s="44" t="s">
        <v>379</v>
      </c>
      <c r="C751" s="44" t="s">
        <v>120</v>
      </c>
      <c r="D751" s="85">
        <v>10104932019</v>
      </c>
      <c r="E751" s="44" t="s">
        <v>1328</v>
      </c>
      <c r="F751" s="44" t="s">
        <v>180</v>
      </c>
      <c r="G751" s="44" t="s">
        <v>1329</v>
      </c>
      <c r="H751" s="44" t="s">
        <v>76</v>
      </c>
      <c r="I751" s="45">
        <v>42779</v>
      </c>
      <c r="J751" s="45">
        <v>42779</v>
      </c>
      <c r="K751" s="45">
        <v>42776</v>
      </c>
      <c r="L751" s="45"/>
    </row>
    <row r="752" spans="1:12" ht="17.100000000000001" customHeight="1">
      <c r="A752" s="43" t="s">
        <v>377</v>
      </c>
      <c r="B752" s="44" t="s">
        <v>378</v>
      </c>
      <c r="C752" s="44" t="s">
        <v>120</v>
      </c>
      <c r="D752" s="85">
        <v>10104938640</v>
      </c>
      <c r="E752" s="44" t="s">
        <v>1330</v>
      </c>
      <c r="F752" s="44" t="s">
        <v>180</v>
      </c>
      <c r="G752" s="44" t="s">
        <v>945</v>
      </c>
      <c r="H752" s="44" t="s">
        <v>223</v>
      </c>
      <c r="I752" s="45">
        <v>42787</v>
      </c>
      <c r="J752" s="45">
        <v>42790</v>
      </c>
      <c r="K752" s="45">
        <v>42787</v>
      </c>
      <c r="L752" s="45"/>
    </row>
    <row r="753" spans="1:12" ht="17.100000000000001" customHeight="1">
      <c r="A753" s="43" t="s">
        <v>377</v>
      </c>
      <c r="B753" s="44" t="s">
        <v>378</v>
      </c>
      <c r="C753" s="44" t="s">
        <v>120</v>
      </c>
      <c r="D753" s="85">
        <v>10104938641</v>
      </c>
      <c r="E753" s="44" t="s">
        <v>1331</v>
      </c>
      <c r="F753" s="44" t="s">
        <v>180</v>
      </c>
      <c r="G753" s="44" t="s">
        <v>946</v>
      </c>
      <c r="H753" s="44" t="s">
        <v>223</v>
      </c>
      <c r="I753" s="45">
        <v>42787</v>
      </c>
      <c r="J753" s="45">
        <v>42794</v>
      </c>
      <c r="K753" s="45">
        <v>42775</v>
      </c>
      <c r="L753" s="45"/>
    </row>
    <row r="754" spans="1:12" ht="17.100000000000001" customHeight="1">
      <c r="A754" s="43" t="s">
        <v>377</v>
      </c>
      <c r="B754" s="44" t="s">
        <v>378</v>
      </c>
      <c r="C754" s="44" t="s">
        <v>120</v>
      </c>
      <c r="D754" s="85">
        <v>10104896252</v>
      </c>
      <c r="E754" s="44" t="s">
        <v>438</v>
      </c>
      <c r="F754" s="44" t="s">
        <v>217</v>
      </c>
      <c r="G754" s="44" t="s">
        <v>439</v>
      </c>
      <c r="H754" s="44" t="s">
        <v>223</v>
      </c>
      <c r="I754" s="45">
        <v>42767</v>
      </c>
      <c r="J754" s="45">
        <v>42795</v>
      </c>
      <c r="K754" s="45"/>
      <c r="L754" s="45"/>
    </row>
    <row r="755" spans="1:12" ht="17.100000000000001" customHeight="1">
      <c r="A755" s="43" t="s">
        <v>377</v>
      </c>
      <c r="B755" s="44" t="s">
        <v>379</v>
      </c>
      <c r="C755" s="44" t="s">
        <v>120</v>
      </c>
      <c r="D755" s="85">
        <v>10104914400</v>
      </c>
      <c r="E755" s="44" t="s">
        <v>515</v>
      </c>
      <c r="F755" s="44" t="s">
        <v>216</v>
      </c>
      <c r="G755" s="44" t="s">
        <v>440</v>
      </c>
      <c r="H755" s="44" t="s">
        <v>76</v>
      </c>
      <c r="I755" s="45">
        <v>42779</v>
      </c>
      <c r="J755" s="45">
        <v>42779</v>
      </c>
      <c r="K755" s="45"/>
      <c r="L755" s="45"/>
    </row>
    <row r="756" spans="1:12" ht="17.100000000000001" customHeight="1">
      <c r="A756" s="43" t="s">
        <v>377</v>
      </c>
      <c r="B756" s="44" t="s">
        <v>379</v>
      </c>
      <c r="C756" s="44" t="s">
        <v>120</v>
      </c>
      <c r="D756" s="85">
        <v>10104914467</v>
      </c>
      <c r="E756" s="44" t="s">
        <v>709</v>
      </c>
      <c r="F756" s="44" t="s">
        <v>216</v>
      </c>
      <c r="G756" s="44" t="s">
        <v>569</v>
      </c>
      <c r="H756" s="44" t="s">
        <v>76</v>
      </c>
      <c r="I756" s="45">
        <v>42779</v>
      </c>
      <c r="J756" s="45">
        <v>42779</v>
      </c>
      <c r="K756" s="45"/>
      <c r="L756" s="45"/>
    </row>
    <row r="757" spans="1:12" ht="17.100000000000001" customHeight="1">
      <c r="A757" s="43" t="s">
        <v>377</v>
      </c>
      <c r="B757" s="44" t="s">
        <v>378</v>
      </c>
      <c r="C757" s="44" t="s">
        <v>120</v>
      </c>
      <c r="D757" s="85">
        <v>10104936991</v>
      </c>
      <c r="E757" s="44" t="s">
        <v>1332</v>
      </c>
      <c r="F757" s="44" t="s">
        <v>180</v>
      </c>
      <c r="G757" s="44" t="s">
        <v>441</v>
      </c>
      <c r="H757" s="44" t="s">
        <v>223</v>
      </c>
      <c r="I757" s="45">
        <v>42786</v>
      </c>
      <c r="J757" s="45">
        <v>42790</v>
      </c>
      <c r="K757" s="45">
        <v>42784</v>
      </c>
      <c r="L757" s="45"/>
    </row>
    <row r="758" spans="1:12" ht="17.100000000000001" customHeight="1">
      <c r="A758" s="43" t="s">
        <v>377</v>
      </c>
      <c r="B758" s="44" t="s">
        <v>378</v>
      </c>
      <c r="C758" s="44" t="s">
        <v>120</v>
      </c>
      <c r="D758" s="85">
        <v>10104927065</v>
      </c>
      <c r="E758" s="44" t="s">
        <v>737</v>
      </c>
      <c r="F758" s="44" t="s">
        <v>217</v>
      </c>
      <c r="G758" s="44" t="s">
        <v>441</v>
      </c>
      <c r="H758" s="44" t="s">
        <v>223</v>
      </c>
      <c r="I758" s="45">
        <v>42767</v>
      </c>
      <c r="J758" s="45">
        <v>42795</v>
      </c>
      <c r="K758" s="45"/>
      <c r="L758" s="45"/>
    </row>
    <row r="759" spans="1:12" ht="17.100000000000001" customHeight="1">
      <c r="A759" s="43" t="s">
        <v>377</v>
      </c>
      <c r="B759" s="44" t="s">
        <v>378</v>
      </c>
      <c r="C759" s="44" t="s">
        <v>120</v>
      </c>
      <c r="D759" s="85">
        <v>10104950816</v>
      </c>
      <c r="E759" s="44" t="s">
        <v>1333</v>
      </c>
      <c r="F759" s="44" t="s">
        <v>217</v>
      </c>
      <c r="G759" s="44" t="s">
        <v>441</v>
      </c>
      <c r="H759" s="44" t="s">
        <v>223</v>
      </c>
      <c r="I759" s="45">
        <v>42786</v>
      </c>
      <c r="J759" s="45">
        <v>42795</v>
      </c>
      <c r="K759" s="45"/>
      <c r="L759" s="45"/>
    </row>
    <row r="760" spans="1:12" ht="17.100000000000001" customHeight="1">
      <c r="A760" s="43" t="s">
        <v>377</v>
      </c>
      <c r="B760" s="44" t="s">
        <v>378</v>
      </c>
      <c r="C760" s="44" t="s">
        <v>120</v>
      </c>
      <c r="D760" s="85">
        <v>10104949817</v>
      </c>
      <c r="E760" s="44" t="s">
        <v>1334</v>
      </c>
      <c r="F760" s="44" t="s">
        <v>217</v>
      </c>
      <c r="G760" s="44" t="s">
        <v>441</v>
      </c>
      <c r="H760" s="44" t="s">
        <v>223</v>
      </c>
      <c r="I760" s="45">
        <v>42787</v>
      </c>
      <c r="J760" s="45">
        <v>42795</v>
      </c>
      <c r="K760" s="45"/>
      <c r="L760" s="45"/>
    </row>
    <row r="761" spans="1:12" ht="17.100000000000001" customHeight="1">
      <c r="A761" s="43" t="s">
        <v>377</v>
      </c>
      <c r="B761" s="44" t="s">
        <v>378</v>
      </c>
      <c r="C761" s="44" t="s">
        <v>120</v>
      </c>
      <c r="D761" s="85">
        <v>10104953723</v>
      </c>
      <c r="E761" s="44" t="s">
        <v>1335</v>
      </c>
      <c r="F761" s="44" t="s">
        <v>217</v>
      </c>
      <c r="G761" s="44" t="s">
        <v>441</v>
      </c>
      <c r="H761" s="44" t="s">
        <v>223</v>
      </c>
      <c r="I761" s="45">
        <v>42788</v>
      </c>
      <c r="J761" s="45">
        <v>42795</v>
      </c>
      <c r="K761" s="45"/>
      <c r="L761" s="45"/>
    </row>
    <row r="762" spans="1:12" ht="17.100000000000001" customHeight="1">
      <c r="A762" s="43" t="s">
        <v>377</v>
      </c>
      <c r="B762" s="44" t="s">
        <v>378</v>
      </c>
      <c r="C762" s="44" t="s">
        <v>120</v>
      </c>
      <c r="D762" s="85">
        <v>10104959464</v>
      </c>
      <c r="E762" s="44" t="s">
        <v>657</v>
      </c>
      <c r="F762" s="44" t="s">
        <v>217</v>
      </c>
      <c r="G762" s="44" t="s">
        <v>441</v>
      </c>
      <c r="H762" s="44" t="s">
        <v>223</v>
      </c>
      <c r="I762" s="45">
        <v>42792</v>
      </c>
      <c r="J762" s="45">
        <v>42795</v>
      </c>
      <c r="K762" s="45"/>
      <c r="L762" s="45"/>
    </row>
    <row r="763" spans="1:12" ht="17.100000000000001" customHeight="1">
      <c r="A763" s="43" t="s">
        <v>377</v>
      </c>
      <c r="B763" s="44" t="s">
        <v>378</v>
      </c>
      <c r="C763" s="44" t="s">
        <v>120</v>
      </c>
      <c r="D763" s="85">
        <v>10104950788</v>
      </c>
      <c r="E763" s="44" t="s">
        <v>1336</v>
      </c>
      <c r="F763" s="44" t="s">
        <v>217</v>
      </c>
      <c r="G763" s="44" t="s">
        <v>441</v>
      </c>
      <c r="H763" s="44" t="s">
        <v>223</v>
      </c>
      <c r="I763" s="45">
        <v>42786</v>
      </c>
      <c r="J763" s="45">
        <v>42795</v>
      </c>
      <c r="K763" s="45"/>
      <c r="L763" s="45"/>
    </row>
    <row r="764" spans="1:12" ht="17.100000000000001" customHeight="1">
      <c r="A764" s="43" t="s">
        <v>377</v>
      </c>
      <c r="B764" s="44" t="s">
        <v>378</v>
      </c>
      <c r="C764" s="44" t="s">
        <v>120</v>
      </c>
      <c r="D764" s="85">
        <v>10104948893</v>
      </c>
      <c r="E764" s="44" t="s">
        <v>1337</v>
      </c>
      <c r="F764" s="44" t="s">
        <v>217</v>
      </c>
      <c r="G764" s="44" t="s">
        <v>441</v>
      </c>
      <c r="H764" s="44" t="s">
        <v>223</v>
      </c>
      <c r="I764" s="45">
        <v>42791</v>
      </c>
      <c r="J764" s="45">
        <v>42795</v>
      </c>
      <c r="K764" s="45"/>
      <c r="L764" s="45"/>
    </row>
    <row r="765" spans="1:12" ht="17.100000000000001" customHeight="1">
      <c r="A765" s="43" t="s">
        <v>377</v>
      </c>
      <c r="B765" s="44" t="s">
        <v>378</v>
      </c>
      <c r="C765" s="44" t="s">
        <v>120</v>
      </c>
      <c r="D765" s="85">
        <v>10104959465</v>
      </c>
      <c r="E765" s="44" t="s">
        <v>658</v>
      </c>
      <c r="F765" s="44" t="s">
        <v>217</v>
      </c>
      <c r="G765" s="44" t="s">
        <v>441</v>
      </c>
      <c r="H765" s="44" t="s">
        <v>223</v>
      </c>
      <c r="I765" s="45">
        <v>42792</v>
      </c>
      <c r="J765" s="45">
        <v>42795</v>
      </c>
      <c r="K765" s="45"/>
      <c r="L765" s="45"/>
    </row>
    <row r="766" spans="1:12" ht="17.100000000000001" customHeight="1">
      <c r="A766" s="43" t="s">
        <v>377</v>
      </c>
      <c r="B766" s="44" t="s">
        <v>378</v>
      </c>
      <c r="C766" s="44" t="s">
        <v>120</v>
      </c>
      <c r="D766" s="85">
        <v>10104948897</v>
      </c>
      <c r="E766" s="44" t="s">
        <v>1338</v>
      </c>
      <c r="F766" s="44" t="s">
        <v>217</v>
      </c>
      <c r="G766" s="44" t="s">
        <v>441</v>
      </c>
      <c r="H766" s="44" t="s">
        <v>223</v>
      </c>
      <c r="I766" s="45">
        <v>42791</v>
      </c>
      <c r="J766" s="45">
        <v>42795</v>
      </c>
      <c r="K766" s="45"/>
      <c r="L766" s="45"/>
    </row>
    <row r="767" spans="1:12" ht="17.100000000000001" customHeight="1">
      <c r="A767" s="43" t="s">
        <v>377</v>
      </c>
      <c r="B767" s="44" t="s">
        <v>378</v>
      </c>
      <c r="C767" s="44" t="s">
        <v>120</v>
      </c>
      <c r="D767" s="85">
        <v>10104955264</v>
      </c>
      <c r="E767" s="44" t="s">
        <v>1339</v>
      </c>
      <c r="F767" s="44" t="s">
        <v>217</v>
      </c>
      <c r="G767" s="44" t="s">
        <v>441</v>
      </c>
      <c r="H767" s="44" t="s">
        <v>223</v>
      </c>
      <c r="I767" s="45">
        <v>42792</v>
      </c>
      <c r="J767" s="45">
        <v>42795</v>
      </c>
      <c r="K767" s="45"/>
      <c r="L767" s="45"/>
    </row>
    <row r="768" spans="1:12" ht="17.100000000000001" customHeight="1">
      <c r="A768" s="43" t="s">
        <v>377</v>
      </c>
      <c r="B768" s="44" t="s">
        <v>378</v>
      </c>
      <c r="C768" s="44" t="s">
        <v>120</v>
      </c>
      <c r="D768" s="85">
        <v>10104959463</v>
      </c>
      <c r="E768" s="44" t="s">
        <v>656</v>
      </c>
      <c r="F768" s="44" t="s">
        <v>217</v>
      </c>
      <c r="G768" s="44" t="s">
        <v>441</v>
      </c>
      <c r="H768" s="44" t="s">
        <v>223</v>
      </c>
      <c r="I768" s="45">
        <v>42792</v>
      </c>
      <c r="J768" s="45">
        <v>42795</v>
      </c>
      <c r="K768" s="45"/>
      <c r="L768" s="45"/>
    </row>
    <row r="769" spans="1:12" ht="17.100000000000001" customHeight="1">
      <c r="A769" s="43" t="s">
        <v>377</v>
      </c>
      <c r="B769" s="44" t="s">
        <v>378</v>
      </c>
      <c r="C769" s="44" t="s">
        <v>120</v>
      </c>
      <c r="D769" s="85">
        <v>10104961076</v>
      </c>
      <c r="E769" s="44" t="s">
        <v>711</v>
      </c>
      <c r="F769" s="44" t="s">
        <v>217</v>
      </c>
      <c r="G769" s="44" t="s">
        <v>442</v>
      </c>
      <c r="H769" s="44" t="s">
        <v>223</v>
      </c>
      <c r="I769" s="45">
        <v>42793</v>
      </c>
      <c r="J769" s="45">
        <v>42795</v>
      </c>
      <c r="K769" s="45"/>
      <c r="L769" s="45"/>
    </row>
    <row r="770" spans="1:12" ht="17.100000000000001" customHeight="1">
      <c r="A770" s="43" t="s">
        <v>377</v>
      </c>
      <c r="B770" s="44" t="s">
        <v>378</v>
      </c>
      <c r="C770" s="44" t="s">
        <v>120</v>
      </c>
      <c r="D770" s="85">
        <v>10104959477</v>
      </c>
      <c r="E770" s="44" t="s">
        <v>660</v>
      </c>
      <c r="F770" s="44" t="s">
        <v>217</v>
      </c>
      <c r="G770" s="44" t="s">
        <v>442</v>
      </c>
      <c r="H770" s="44" t="s">
        <v>223</v>
      </c>
      <c r="I770" s="45">
        <v>42792</v>
      </c>
      <c r="J770" s="45">
        <v>42795</v>
      </c>
      <c r="K770" s="45"/>
      <c r="L770" s="45"/>
    </row>
    <row r="771" spans="1:12" ht="17.100000000000001" customHeight="1">
      <c r="A771" s="43" t="s">
        <v>377</v>
      </c>
      <c r="B771" s="44" t="s">
        <v>378</v>
      </c>
      <c r="C771" s="44" t="s">
        <v>120</v>
      </c>
      <c r="D771" s="85">
        <v>10104958489</v>
      </c>
      <c r="E771" s="44" t="s">
        <v>661</v>
      </c>
      <c r="F771" s="44" t="s">
        <v>180</v>
      </c>
      <c r="G771" s="44" t="s">
        <v>442</v>
      </c>
      <c r="H771" s="44" t="s">
        <v>223</v>
      </c>
      <c r="I771" s="45">
        <v>42788</v>
      </c>
      <c r="J771" s="45">
        <v>42796</v>
      </c>
      <c r="K771" s="45">
        <v>42786</v>
      </c>
      <c r="L771" s="45"/>
    </row>
    <row r="772" spans="1:12" ht="17.100000000000001" customHeight="1">
      <c r="A772" s="43" t="s">
        <v>377</v>
      </c>
      <c r="B772" s="44" t="s">
        <v>378</v>
      </c>
      <c r="C772" s="44" t="s">
        <v>120</v>
      </c>
      <c r="D772" s="85">
        <v>10104961077</v>
      </c>
      <c r="E772" s="44" t="s">
        <v>712</v>
      </c>
      <c r="F772" s="44" t="s">
        <v>217</v>
      </c>
      <c r="G772" s="44" t="s">
        <v>442</v>
      </c>
      <c r="H772" s="44" t="s">
        <v>223</v>
      </c>
      <c r="I772" s="45">
        <v>42793</v>
      </c>
      <c r="J772" s="45">
        <v>42796</v>
      </c>
      <c r="K772" s="45"/>
      <c r="L772" s="45"/>
    </row>
    <row r="773" spans="1:12" ht="17.100000000000001" customHeight="1">
      <c r="A773" s="43" t="s">
        <v>377</v>
      </c>
      <c r="B773" s="44" t="s">
        <v>378</v>
      </c>
      <c r="C773" s="44" t="s">
        <v>120</v>
      </c>
      <c r="D773" s="85">
        <v>10104953687</v>
      </c>
      <c r="E773" s="44" t="s">
        <v>1340</v>
      </c>
      <c r="F773" s="44" t="s">
        <v>217</v>
      </c>
      <c r="G773" s="44" t="s">
        <v>442</v>
      </c>
      <c r="H773" s="44" t="s">
        <v>223</v>
      </c>
      <c r="I773" s="45">
        <v>42788</v>
      </c>
      <c r="J773" s="45">
        <v>42795</v>
      </c>
      <c r="K773" s="45"/>
      <c r="L773" s="45"/>
    </row>
    <row r="774" spans="1:12" ht="17.100000000000001" customHeight="1">
      <c r="A774" s="43" t="s">
        <v>377</v>
      </c>
      <c r="B774" s="44" t="s">
        <v>378</v>
      </c>
      <c r="C774" s="44" t="s">
        <v>120</v>
      </c>
      <c r="D774" s="85">
        <v>10104953724</v>
      </c>
      <c r="E774" s="44" t="s">
        <v>1341</v>
      </c>
      <c r="F774" s="44" t="s">
        <v>217</v>
      </c>
      <c r="G774" s="44" t="s">
        <v>442</v>
      </c>
      <c r="H774" s="44" t="s">
        <v>223</v>
      </c>
      <c r="I774" s="45">
        <v>42788</v>
      </c>
      <c r="J774" s="45">
        <v>42795</v>
      </c>
      <c r="K774" s="45"/>
      <c r="L774" s="45"/>
    </row>
    <row r="775" spans="1:12" ht="17.100000000000001" customHeight="1">
      <c r="A775" s="43" t="s">
        <v>377</v>
      </c>
      <c r="B775" s="44" t="s">
        <v>378</v>
      </c>
      <c r="C775" s="44" t="s">
        <v>120</v>
      </c>
      <c r="D775" s="85">
        <v>10104957529</v>
      </c>
      <c r="E775" s="44" t="s">
        <v>710</v>
      </c>
      <c r="F775" s="44" t="s">
        <v>217</v>
      </c>
      <c r="G775" s="44" t="s">
        <v>442</v>
      </c>
      <c r="H775" s="44" t="s">
        <v>223</v>
      </c>
      <c r="I775" s="45">
        <v>42787</v>
      </c>
      <c r="J775" s="45">
        <v>42795</v>
      </c>
      <c r="K775" s="45"/>
      <c r="L775" s="45"/>
    </row>
    <row r="776" spans="1:12" ht="17.100000000000001" customHeight="1">
      <c r="A776" s="43" t="s">
        <v>377</v>
      </c>
      <c r="B776" s="44" t="s">
        <v>378</v>
      </c>
      <c r="C776" s="44" t="s">
        <v>120</v>
      </c>
      <c r="D776" s="85">
        <v>10104958488</v>
      </c>
      <c r="E776" s="44" t="s">
        <v>659</v>
      </c>
      <c r="F776" s="44" t="s">
        <v>217</v>
      </c>
      <c r="G776" s="44" t="s">
        <v>442</v>
      </c>
      <c r="H776" s="44" t="s">
        <v>223</v>
      </c>
      <c r="I776" s="45">
        <v>42788</v>
      </c>
      <c r="J776" s="45">
        <v>42795</v>
      </c>
      <c r="K776" s="45"/>
      <c r="L776" s="45"/>
    </row>
    <row r="777" spans="1:12" ht="17.100000000000001" customHeight="1">
      <c r="A777" s="43" t="s">
        <v>377</v>
      </c>
      <c r="B777" s="44" t="s">
        <v>378</v>
      </c>
      <c r="C777" s="44" t="s">
        <v>120</v>
      </c>
      <c r="D777" s="85">
        <v>10104961088</v>
      </c>
      <c r="E777" s="44" t="s">
        <v>713</v>
      </c>
      <c r="F777" s="44" t="s">
        <v>217</v>
      </c>
      <c r="G777" s="44" t="s">
        <v>442</v>
      </c>
      <c r="H777" s="44" t="s">
        <v>223</v>
      </c>
      <c r="I777" s="45">
        <v>42793</v>
      </c>
      <c r="J777" s="45">
        <v>42795</v>
      </c>
      <c r="K777" s="45"/>
      <c r="L777" s="45"/>
    </row>
    <row r="778" spans="1:12" ht="17.100000000000001" customHeight="1">
      <c r="A778" s="43" t="s">
        <v>377</v>
      </c>
      <c r="B778" s="44" t="s">
        <v>378</v>
      </c>
      <c r="C778" s="44" t="s">
        <v>120</v>
      </c>
      <c r="D778" s="85">
        <v>10104963973</v>
      </c>
      <c r="E778" s="44" t="s">
        <v>664</v>
      </c>
      <c r="F778" s="44" t="s">
        <v>180</v>
      </c>
      <c r="G778" s="44" t="s">
        <v>443</v>
      </c>
      <c r="H778" s="44" t="s">
        <v>223</v>
      </c>
      <c r="I778" s="45">
        <v>42793</v>
      </c>
      <c r="J778" s="45">
        <v>42796</v>
      </c>
      <c r="K778" s="45">
        <v>42793</v>
      </c>
      <c r="L778" s="45"/>
    </row>
    <row r="779" spans="1:12" ht="17.100000000000001" customHeight="1">
      <c r="A779" s="43" t="s">
        <v>377</v>
      </c>
      <c r="B779" s="44" t="s">
        <v>378</v>
      </c>
      <c r="C779" s="44" t="s">
        <v>120</v>
      </c>
      <c r="D779" s="85">
        <v>10104960997</v>
      </c>
      <c r="E779" s="44" t="s">
        <v>670</v>
      </c>
      <c r="F779" s="44" t="s">
        <v>217</v>
      </c>
      <c r="G779" s="44" t="s">
        <v>443</v>
      </c>
      <c r="H779" s="44" t="s">
        <v>223</v>
      </c>
      <c r="I779" s="45">
        <v>42793</v>
      </c>
      <c r="J779" s="45">
        <v>42795</v>
      </c>
      <c r="K779" s="45"/>
      <c r="L779" s="45"/>
    </row>
    <row r="780" spans="1:12" ht="17.100000000000001" customHeight="1">
      <c r="A780" s="43" t="s">
        <v>377</v>
      </c>
      <c r="B780" s="44" t="s">
        <v>378</v>
      </c>
      <c r="C780" s="44" t="s">
        <v>120</v>
      </c>
      <c r="D780" s="85">
        <v>10104962389</v>
      </c>
      <c r="E780" s="44" t="s">
        <v>1342</v>
      </c>
      <c r="F780" s="44" t="s">
        <v>217</v>
      </c>
      <c r="G780" s="44" t="s">
        <v>443</v>
      </c>
      <c r="H780" s="44" t="s">
        <v>223</v>
      </c>
      <c r="I780" s="45">
        <v>42793</v>
      </c>
      <c r="J780" s="45">
        <v>42795</v>
      </c>
      <c r="K780" s="45"/>
      <c r="L780" s="45"/>
    </row>
    <row r="781" spans="1:12" ht="17.100000000000001" customHeight="1">
      <c r="A781" s="43" t="s">
        <v>377</v>
      </c>
      <c r="B781" s="44" t="s">
        <v>378</v>
      </c>
      <c r="C781" s="44" t="s">
        <v>120</v>
      </c>
      <c r="D781" s="85">
        <v>10104959478</v>
      </c>
      <c r="E781" s="44" t="s">
        <v>663</v>
      </c>
      <c r="F781" s="44" t="s">
        <v>217</v>
      </c>
      <c r="G781" s="44" t="s">
        <v>443</v>
      </c>
      <c r="H781" s="44" t="s">
        <v>223</v>
      </c>
      <c r="I781" s="45">
        <v>42792</v>
      </c>
      <c r="J781" s="45">
        <v>42796</v>
      </c>
      <c r="K781" s="45"/>
      <c r="L781" s="45"/>
    </row>
    <row r="782" spans="1:12" ht="17.100000000000001" customHeight="1">
      <c r="A782" s="43" t="s">
        <v>377</v>
      </c>
      <c r="B782" s="44" t="s">
        <v>378</v>
      </c>
      <c r="C782" s="44" t="s">
        <v>120</v>
      </c>
      <c r="D782" s="85">
        <v>10104961070</v>
      </c>
      <c r="E782" s="44" t="s">
        <v>671</v>
      </c>
      <c r="F782" s="44" t="s">
        <v>217</v>
      </c>
      <c r="G782" s="44" t="s">
        <v>443</v>
      </c>
      <c r="H782" s="44" t="s">
        <v>223</v>
      </c>
      <c r="I782" s="45">
        <v>42790</v>
      </c>
      <c r="J782" s="45">
        <v>42795</v>
      </c>
      <c r="K782" s="45"/>
      <c r="L782" s="45"/>
    </row>
    <row r="783" spans="1:12" ht="17.100000000000001" customHeight="1">
      <c r="A783" s="43" t="s">
        <v>377</v>
      </c>
      <c r="B783" s="44" t="s">
        <v>378</v>
      </c>
      <c r="C783" s="44" t="s">
        <v>120</v>
      </c>
      <c r="D783" s="85">
        <v>10104961045</v>
      </c>
      <c r="E783" s="44" t="s">
        <v>662</v>
      </c>
      <c r="F783" s="44" t="s">
        <v>217</v>
      </c>
      <c r="G783" s="44" t="s">
        <v>443</v>
      </c>
      <c r="H783" s="44" t="s">
        <v>223</v>
      </c>
      <c r="I783" s="45">
        <v>42793</v>
      </c>
      <c r="J783" s="45">
        <v>42796</v>
      </c>
      <c r="K783" s="45"/>
      <c r="L783" s="45"/>
    </row>
    <row r="784" spans="1:12" ht="17.100000000000001" customHeight="1">
      <c r="A784" s="43" t="s">
        <v>377</v>
      </c>
      <c r="B784" s="44" t="s">
        <v>378</v>
      </c>
      <c r="C784" s="44" t="s">
        <v>120</v>
      </c>
      <c r="D784" s="85">
        <v>10104960996</v>
      </c>
      <c r="E784" s="44" t="s">
        <v>665</v>
      </c>
      <c r="F784" s="44" t="s">
        <v>217</v>
      </c>
      <c r="G784" s="44" t="s">
        <v>443</v>
      </c>
      <c r="H784" s="44" t="s">
        <v>223</v>
      </c>
      <c r="I784" s="45">
        <v>42793</v>
      </c>
      <c r="J784" s="45">
        <v>42795</v>
      </c>
      <c r="K784" s="45"/>
      <c r="L784" s="45"/>
    </row>
    <row r="785" spans="1:12" ht="17.100000000000001" customHeight="1">
      <c r="A785" s="43" t="s">
        <v>377</v>
      </c>
      <c r="B785" s="44" t="s">
        <v>378</v>
      </c>
      <c r="C785" s="44" t="s">
        <v>120</v>
      </c>
      <c r="D785" s="85">
        <v>10104963975</v>
      </c>
      <c r="E785" s="44" t="s">
        <v>667</v>
      </c>
      <c r="F785" s="44" t="s">
        <v>180</v>
      </c>
      <c r="G785" s="44" t="s">
        <v>443</v>
      </c>
      <c r="H785" s="44" t="s">
        <v>223</v>
      </c>
      <c r="I785" s="45">
        <v>42793</v>
      </c>
      <c r="J785" s="45">
        <v>42796</v>
      </c>
      <c r="K785" s="45">
        <v>42786</v>
      </c>
      <c r="L785" s="45"/>
    </row>
    <row r="786" spans="1:12" ht="17.100000000000001" customHeight="1">
      <c r="A786" s="43" t="s">
        <v>377</v>
      </c>
      <c r="B786" s="44" t="s">
        <v>378</v>
      </c>
      <c r="C786" s="44" t="s">
        <v>120</v>
      </c>
      <c r="D786" s="85">
        <v>10104963974</v>
      </c>
      <c r="E786" s="44" t="s">
        <v>668</v>
      </c>
      <c r="F786" s="44" t="s">
        <v>217</v>
      </c>
      <c r="G786" s="44" t="s">
        <v>443</v>
      </c>
      <c r="H786" s="44" t="s">
        <v>223</v>
      </c>
      <c r="I786" s="45">
        <v>42793</v>
      </c>
      <c r="J786" s="45">
        <v>42795</v>
      </c>
      <c r="K786" s="45"/>
      <c r="L786" s="45"/>
    </row>
    <row r="787" spans="1:12" ht="17.100000000000001" customHeight="1">
      <c r="A787" s="43" t="s">
        <v>377</v>
      </c>
      <c r="B787" s="44" t="s">
        <v>378</v>
      </c>
      <c r="C787" s="44" t="s">
        <v>120</v>
      </c>
      <c r="D787" s="85">
        <v>10104955260</v>
      </c>
      <c r="E787" s="44" t="s">
        <v>1343</v>
      </c>
      <c r="F787" s="44" t="s">
        <v>217</v>
      </c>
      <c r="G787" s="44" t="s">
        <v>443</v>
      </c>
      <c r="H787" s="44" t="s">
        <v>223</v>
      </c>
      <c r="I787" s="45">
        <v>42792</v>
      </c>
      <c r="J787" s="45">
        <v>42796</v>
      </c>
      <c r="K787" s="45"/>
      <c r="L787" s="45"/>
    </row>
    <row r="788" spans="1:12" ht="17.100000000000001" customHeight="1">
      <c r="A788" s="43" t="s">
        <v>377</v>
      </c>
      <c r="B788" s="44" t="s">
        <v>378</v>
      </c>
      <c r="C788" s="44" t="s">
        <v>120</v>
      </c>
      <c r="D788" s="85">
        <v>10104959479</v>
      </c>
      <c r="E788" s="44" t="s">
        <v>669</v>
      </c>
      <c r="F788" s="44" t="s">
        <v>217</v>
      </c>
      <c r="G788" s="44" t="s">
        <v>443</v>
      </c>
      <c r="H788" s="44" t="s">
        <v>223</v>
      </c>
      <c r="I788" s="45">
        <v>42792</v>
      </c>
      <c r="J788" s="45">
        <v>42796</v>
      </c>
      <c r="K788" s="45"/>
      <c r="L788" s="45"/>
    </row>
    <row r="789" spans="1:12" ht="17.100000000000001" customHeight="1">
      <c r="A789" s="43" t="s">
        <v>377</v>
      </c>
      <c r="B789" s="44" t="s">
        <v>378</v>
      </c>
      <c r="C789" s="44" t="s">
        <v>120</v>
      </c>
      <c r="D789" s="85">
        <v>10104961038</v>
      </c>
      <c r="E789" s="44" t="s">
        <v>666</v>
      </c>
      <c r="F789" s="44" t="s">
        <v>180</v>
      </c>
      <c r="G789" s="44" t="s">
        <v>443</v>
      </c>
      <c r="H789" s="44" t="s">
        <v>223</v>
      </c>
      <c r="I789" s="45">
        <v>42793</v>
      </c>
      <c r="J789" s="45">
        <v>42796</v>
      </c>
      <c r="K789" s="45">
        <v>42786</v>
      </c>
      <c r="L789" s="45"/>
    </row>
    <row r="790" spans="1:12" ht="17.100000000000001" customHeight="1">
      <c r="A790" s="43" t="s">
        <v>377</v>
      </c>
      <c r="B790" s="44" t="s">
        <v>378</v>
      </c>
      <c r="C790" s="44" t="s">
        <v>120</v>
      </c>
      <c r="D790" s="85">
        <v>10104938606</v>
      </c>
      <c r="E790" s="44" t="s">
        <v>1344</v>
      </c>
      <c r="F790" s="44" t="s">
        <v>217</v>
      </c>
      <c r="G790" s="44" t="s">
        <v>577</v>
      </c>
      <c r="H790" s="44" t="s">
        <v>223</v>
      </c>
      <c r="I790" s="45">
        <v>42787</v>
      </c>
      <c r="J790" s="45">
        <v>42794</v>
      </c>
      <c r="K790" s="45"/>
      <c r="L790" s="45"/>
    </row>
    <row r="791" spans="1:12" ht="17.100000000000001" customHeight="1">
      <c r="A791" s="43" t="s">
        <v>377</v>
      </c>
      <c r="B791" s="44" t="s">
        <v>379</v>
      </c>
      <c r="C791" s="44" t="s">
        <v>120</v>
      </c>
      <c r="D791" s="85">
        <v>10104932020</v>
      </c>
      <c r="E791" s="44" t="s">
        <v>1345</v>
      </c>
      <c r="F791" s="44" t="s">
        <v>180</v>
      </c>
      <c r="G791" s="44" t="s">
        <v>1346</v>
      </c>
      <c r="H791" s="44" t="s">
        <v>76</v>
      </c>
      <c r="I791" s="45">
        <v>42779</v>
      </c>
      <c r="J791" s="45">
        <v>42779</v>
      </c>
      <c r="K791" s="45">
        <v>42776</v>
      </c>
      <c r="L791" s="45"/>
    </row>
    <row r="792" spans="1:12" ht="17.100000000000001" customHeight="1">
      <c r="A792" s="43" t="s">
        <v>377</v>
      </c>
      <c r="B792" s="44" t="s">
        <v>378</v>
      </c>
      <c r="C792" s="44" t="s">
        <v>120</v>
      </c>
      <c r="D792" s="85">
        <v>10104938607</v>
      </c>
      <c r="E792" s="44" t="s">
        <v>1347</v>
      </c>
      <c r="F792" s="44" t="s">
        <v>180</v>
      </c>
      <c r="G792" s="44" t="s">
        <v>1348</v>
      </c>
      <c r="H792" s="44" t="s">
        <v>223</v>
      </c>
      <c r="I792" s="45">
        <v>42787</v>
      </c>
      <c r="J792" s="45">
        <v>42796</v>
      </c>
      <c r="K792" s="45">
        <v>42790</v>
      </c>
      <c r="L792" s="45"/>
    </row>
    <row r="793" spans="1:12" ht="17.100000000000001" customHeight="1">
      <c r="A793" s="43" t="s">
        <v>377</v>
      </c>
      <c r="B793" s="44" t="s">
        <v>385</v>
      </c>
      <c r="C793" s="44" t="s">
        <v>120</v>
      </c>
      <c r="D793" s="85">
        <v>10104928310</v>
      </c>
      <c r="E793" s="44" t="s">
        <v>1349</v>
      </c>
      <c r="F793" s="44" t="s">
        <v>146</v>
      </c>
      <c r="G793" s="44" t="s">
        <v>387</v>
      </c>
      <c r="H793" s="44" t="s">
        <v>76</v>
      </c>
      <c r="I793" s="45">
        <v>42792</v>
      </c>
      <c r="J793" s="45">
        <v>42793</v>
      </c>
      <c r="K793" s="45"/>
      <c r="L793" s="45"/>
    </row>
    <row r="794" spans="1:12" ht="17.100000000000001" customHeight="1">
      <c r="A794" s="43" t="s">
        <v>377</v>
      </c>
      <c r="B794" s="44" t="s">
        <v>379</v>
      </c>
      <c r="C794" s="44" t="s">
        <v>120</v>
      </c>
      <c r="D794" s="85">
        <v>10104930792</v>
      </c>
      <c r="E794" s="44" t="s">
        <v>1350</v>
      </c>
      <c r="F794" s="44" t="s">
        <v>213</v>
      </c>
      <c r="G794" s="44" t="s">
        <v>388</v>
      </c>
      <c r="H794" s="44" t="s">
        <v>332</v>
      </c>
      <c r="I794" s="45">
        <v>42780</v>
      </c>
      <c r="J794" s="45">
        <v>42780</v>
      </c>
      <c r="K794" s="45">
        <v>42780</v>
      </c>
      <c r="L794" s="45"/>
    </row>
    <row r="795" spans="1:12" ht="17.100000000000001" customHeight="1">
      <c r="A795" s="43" t="s">
        <v>377</v>
      </c>
      <c r="B795" s="44" t="s">
        <v>380</v>
      </c>
      <c r="C795" s="44" t="s">
        <v>120</v>
      </c>
      <c r="D795" s="85">
        <v>10104899223</v>
      </c>
      <c r="E795" s="44" t="s">
        <v>444</v>
      </c>
      <c r="F795" s="44" t="s">
        <v>146</v>
      </c>
      <c r="G795" s="44" t="s">
        <v>388</v>
      </c>
      <c r="H795" s="44" t="s">
        <v>74</v>
      </c>
      <c r="I795" s="45">
        <v>42770</v>
      </c>
      <c r="J795" s="45">
        <v>42790</v>
      </c>
      <c r="K795" s="45"/>
      <c r="L795" s="45"/>
    </row>
    <row r="796" spans="1:12" ht="17.100000000000001" customHeight="1">
      <c r="A796" s="43" t="s">
        <v>377</v>
      </c>
      <c r="B796" s="44" t="s">
        <v>380</v>
      </c>
      <c r="C796" s="44" t="s">
        <v>120</v>
      </c>
      <c r="D796" s="85">
        <v>10104899198</v>
      </c>
      <c r="E796" s="44" t="s">
        <v>1351</v>
      </c>
      <c r="F796" s="44" t="s">
        <v>146</v>
      </c>
      <c r="G796" s="44" t="s">
        <v>389</v>
      </c>
      <c r="H796" s="44" t="s">
        <v>74</v>
      </c>
      <c r="I796" s="45">
        <v>42770</v>
      </c>
      <c r="J796" s="45">
        <v>42790</v>
      </c>
      <c r="K796" s="45"/>
      <c r="L796" s="45"/>
    </row>
    <row r="797" spans="1:12" ht="17.100000000000001" customHeight="1">
      <c r="A797" s="43" t="s">
        <v>377</v>
      </c>
      <c r="B797" s="44" t="s">
        <v>380</v>
      </c>
      <c r="C797" s="44" t="s">
        <v>120</v>
      </c>
      <c r="D797" s="85">
        <v>10104928287</v>
      </c>
      <c r="E797" s="44" t="s">
        <v>1352</v>
      </c>
      <c r="F797" s="44" t="s">
        <v>846</v>
      </c>
      <c r="G797" s="44" t="s">
        <v>392</v>
      </c>
      <c r="H797" s="44" t="s">
        <v>74</v>
      </c>
      <c r="I797" s="45">
        <v>42792</v>
      </c>
      <c r="J797" s="45">
        <v>42792</v>
      </c>
      <c r="K797" s="45"/>
      <c r="L797" s="45"/>
    </row>
    <row r="798" spans="1:12" ht="17.100000000000001" customHeight="1">
      <c r="A798" s="43" t="s">
        <v>377</v>
      </c>
      <c r="B798" s="44" t="s">
        <v>379</v>
      </c>
      <c r="C798" s="44" t="s">
        <v>120</v>
      </c>
      <c r="D798" s="85">
        <v>10104930793</v>
      </c>
      <c r="E798" s="44" t="s">
        <v>1353</v>
      </c>
      <c r="F798" s="44" t="s">
        <v>213</v>
      </c>
      <c r="G798" s="44" t="s">
        <v>1354</v>
      </c>
      <c r="H798" s="44" t="s">
        <v>332</v>
      </c>
      <c r="I798" s="45">
        <v>42780</v>
      </c>
      <c r="J798" s="45">
        <v>42780</v>
      </c>
      <c r="K798" s="45">
        <v>42780</v>
      </c>
      <c r="L798" s="45"/>
    </row>
    <row r="799" spans="1:12" ht="17.100000000000001" customHeight="1">
      <c r="A799" s="43" t="s">
        <v>377</v>
      </c>
      <c r="B799" s="44" t="s">
        <v>380</v>
      </c>
      <c r="C799" s="44" t="s">
        <v>120</v>
      </c>
      <c r="D799" s="85">
        <v>10104895496</v>
      </c>
      <c r="E799" s="44" t="s">
        <v>1355</v>
      </c>
      <c r="F799" s="44" t="s">
        <v>146</v>
      </c>
      <c r="G799" s="44" t="s">
        <v>1244</v>
      </c>
      <c r="H799" s="44" t="s">
        <v>74</v>
      </c>
      <c r="I799" s="45">
        <v>42767</v>
      </c>
      <c r="J799" s="45">
        <v>42790</v>
      </c>
      <c r="K799" s="45"/>
      <c r="L799" s="45"/>
    </row>
    <row r="800" spans="1:12" ht="17.100000000000001" customHeight="1">
      <c r="A800" s="43" t="s">
        <v>377</v>
      </c>
      <c r="B800" s="44" t="s">
        <v>380</v>
      </c>
      <c r="C800" s="44" t="s">
        <v>120</v>
      </c>
      <c r="D800" s="85">
        <v>10104899193</v>
      </c>
      <c r="E800" s="44" t="s">
        <v>445</v>
      </c>
      <c r="F800" s="44" t="s">
        <v>146</v>
      </c>
      <c r="G800" s="44" t="s">
        <v>395</v>
      </c>
      <c r="H800" s="44" t="s">
        <v>74</v>
      </c>
      <c r="I800" s="45">
        <v>42770</v>
      </c>
      <c r="J800" s="45">
        <v>42790</v>
      </c>
      <c r="K800" s="45"/>
      <c r="L800" s="45"/>
    </row>
    <row r="801" spans="1:12" ht="17.100000000000001" customHeight="1">
      <c r="A801" s="43" t="s">
        <v>377</v>
      </c>
      <c r="B801" s="44" t="s">
        <v>380</v>
      </c>
      <c r="C801" s="44" t="s">
        <v>120</v>
      </c>
      <c r="D801" s="85">
        <v>10104899246</v>
      </c>
      <c r="E801" s="44" t="s">
        <v>447</v>
      </c>
      <c r="F801" s="44" t="s">
        <v>146</v>
      </c>
      <c r="G801" s="44" t="s">
        <v>446</v>
      </c>
      <c r="H801" s="44" t="s">
        <v>74</v>
      </c>
      <c r="I801" s="45">
        <v>42770</v>
      </c>
      <c r="J801" s="45">
        <v>42790</v>
      </c>
      <c r="K801" s="45"/>
      <c r="L801" s="45"/>
    </row>
    <row r="802" spans="1:12" ht="17.100000000000001" customHeight="1">
      <c r="A802" s="43" t="s">
        <v>377</v>
      </c>
      <c r="B802" s="44" t="s">
        <v>380</v>
      </c>
      <c r="C802" s="44" t="s">
        <v>120</v>
      </c>
      <c r="D802" s="85">
        <v>10104897027</v>
      </c>
      <c r="E802" s="44" t="s">
        <v>1356</v>
      </c>
      <c r="F802" s="44" t="s">
        <v>596</v>
      </c>
      <c r="G802" s="44" t="s">
        <v>1259</v>
      </c>
      <c r="H802" s="44" t="s">
        <v>74</v>
      </c>
      <c r="I802" s="45">
        <v>42793</v>
      </c>
      <c r="J802" s="45">
        <v>42793</v>
      </c>
      <c r="K802" s="45"/>
      <c r="L802" s="45"/>
    </row>
    <row r="803" spans="1:12" ht="17.100000000000001" customHeight="1">
      <c r="A803" s="43" t="s">
        <v>377</v>
      </c>
      <c r="B803" s="44" t="s">
        <v>380</v>
      </c>
      <c r="C803" s="44" t="s">
        <v>120</v>
      </c>
      <c r="D803" s="85">
        <v>10104896262</v>
      </c>
      <c r="E803" s="44" t="s">
        <v>1357</v>
      </c>
      <c r="F803" s="44" t="s">
        <v>846</v>
      </c>
      <c r="G803" s="44" t="s">
        <v>397</v>
      </c>
      <c r="H803" s="44" t="s">
        <v>74</v>
      </c>
      <c r="I803" s="45">
        <v>42792</v>
      </c>
      <c r="J803" s="45">
        <v>42792</v>
      </c>
      <c r="K803" s="45"/>
      <c r="L803" s="45"/>
    </row>
    <row r="804" spans="1:12" ht="17.100000000000001" customHeight="1">
      <c r="A804" s="43" t="s">
        <v>377</v>
      </c>
      <c r="B804" s="44" t="s">
        <v>378</v>
      </c>
      <c r="C804" s="44" t="s">
        <v>120</v>
      </c>
      <c r="D804" s="85">
        <v>10104948907</v>
      </c>
      <c r="E804" s="44" t="s">
        <v>1358</v>
      </c>
      <c r="F804" s="44" t="s">
        <v>500</v>
      </c>
      <c r="G804" s="44" t="s">
        <v>589</v>
      </c>
      <c r="H804" s="44" t="s">
        <v>223</v>
      </c>
      <c r="I804" s="45">
        <v>42784</v>
      </c>
      <c r="J804" s="45">
        <v>42784</v>
      </c>
      <c r="K804" s="45"/>
      <c r="L804" s="45"/>
    </row>
    <row r="805" spans="1:12" ht="17.100000000000001" customHeight="1">
      <c r="A805" s="43" t="s">
        <v>377</v>
      </c>
      <c r="B805" s="44" t="s">
        <v>378</v>
      </c>
      <c r="C805" s="44" t="s">
        <v>120</v>
      </c>
      <c r="D805" s="85">
        <v>10104953731</v>
      </c>
      <c r="E805" s="44" t="s">
        <v>624</v>
      </c>
      <c r="F805" s="44" t="s">
        <v>217</v>
      </c>
      <c r="G805" s="44" t="s">
        <v>589</v>
      </c>
      <c r="H805" s="44" t="s">
        <v>223</v>
      </c>
      <c r="I805" s="45">
        <v>42783</v>
      </c>
      <c r="J805" s="45">
        <v>42795</v>
      </c>
      <c r="K805" s="45"/>
      <c r="L805" s="45"/>
    </row>
    <row r="806" spans="1:12" ht="17.100000000000001" customHeight="1">
      <c r="A806" s="43" t="s">
        <v>377</v>
      </c>
      <c r="B806" s="44" t="s">
        <v>378</v>
      </c>
      <c r="C806" s="44" t="s">
        <v>120</v>
      </c>
      <c r="D806" s="85">
        <v>10104953722</v>
      </c>
      <c r="E806" s="44" t="s">
        <v>610</v>
      </c>
      <c r="F806" s="44" t="s">
        <v>500</v>
      </c>
      <c r="G806" s="44" t="s">
        <v>589</v>
      </c>
      <c r="H806" s="44" t="s">
        <v>223</v>
      </c>
      <c r="I806" s="45">
        <v>42784</v>
      </c>
      <c r="J806" s="45">
        <v>42784</v>
      </c>
      <c r="K806" s="45"/>
      <c r="L806" s="45"/>
    </row>
    <row r="807" spans="1:12" ht="17.100000000000001" customHeight="1">
      <c r="A807" s="43" t="s">
        <v>377</v>
      </c>
      <c r="B807" s="44" t="s">
        <v>378</v>
      </c>
      <c r="C807" s="44" t="s">
        <v>120</v>
      </c>
      <c r="D807" s="85">
        <v>10104953664</v>
      </c>
      <c r="E807" s="44" t="s">
        <v>614</v>
      </c>
      <c r="F807" s="44" t="s">
        <v>500</v>
      </c>
      <c r="G807" s="44" t="s">
        <v>589</v>
      </c>
      <c r="H807" s="44" t="s">
        <v>223</v>
      </c>
      <c r="I807" s="45">
        <v>42784</v>
      </c>
      <c r="J807" s="45">
        <v>42784</v>
      </c>
      <c r="K807" s="45"/>
      <c r="L807" s="45"/>
    </row>
    <row r="808" spans="1:12" ht="17.100000000000001" customHeight="1">
      <c r="A808" s="43" t="s">
        <v>377</v>
      </c>
      <c r="B808" s="44" t="s">
        <v>378</v>
      </c>
      <c r="C808" s="44" t="s">
        <v>120</v>
      </c>
      <c r="D808" s="85">
        <v>10104953696</v>
      </c>
      <c r="E808" s="44" t="s">
        <v>619</v>
      </c>
      <c r="F808" s="44" t="s">
        <v>500</v>
      </c>
      <c r="G808" s="44" t="s">
        <v>589</v>
      </c>
      <c r="H808" s="44" t="s">
        <v>223</v>
      </c>
      <c r="I808" s="45">
        <v>42783</v>
      </c>
      <c r="J808" s="45">
        <v>42783</v>
      </c>
      <c r="K808" s="45"/>
      <c r="L808" s="45"/>
    </row>
    <row r="809" spans="1:12" ht="17.100000000000001" customHeight="1">
      <c r="A809" s="43" t="s">
        <v>377</v>
      </c>
      <c r="B809" s="44" t="s">
        <v>378</v>
      </c>
      <c r="C809" s="44" t="s">
        <v>120</v>
      </c>
      <c r="D809" s="85">
        <v>10104953680</v>
      </c>
      <c r="E809" s="44" t="s">
        <v>623</v>
      </c>
      <c r="F809" s="44" t="s">
        <v>217</v>
      </c>
      <c r="G809" s="44" t="s">
        <v>589</v>
      </c>
      <c r="H809" s="44" t="s">
        <v>223</v>
      </c>
      <c r="I809" s="45">
        <v>42784</v>
      </c>
      <c r="J809" s="45">
        <v>42795</v>
      </c>
      <c r="K809" s="45"/>
      <c r="L809" s="45"/>
    </row>
    <row r="810" spans="1:12" ht="17.100000000000001" customHeight="1">
      <c r="A810" s="43" t="s">
        <v>377</v>
      </c>
      <c r="B810" s="44" t="s">
        <v>378</v>
      </c>
      <c r="C810" s="44" t="s">
        <v>120</v>
      </c>
      <c r="D810" s="85">
        <v>10104946847</v>
      </c>
      <c r="E810" s="44" t="s">
        <v>1359</v>
      </c>
      <c r="F810" s="44" t="s">
        <v>180</v>
      </c>
      <c r="G810" s="44" t="s">
        <v>589</v>
      </c>
      <c r="H810" s="44" t="s">
        <v>223</v>
      </c>
      <c r="I810" s="45">
        <v>42782</v>
      </c>
      <c r="J810" s="45">
        <v>42794</v>
      </c>
      <c r="K810" s="45">
        <v>42789</v>
      </c>
      <c r="L810" s="45"/>
    </row>
    <row r="811" spans="1:12" ht="17.100000000000001" customHeight="1">
      <c r="A811" s="43" t="s">
        <v>377</v>
      </c>
      <c r="B811" s="44" t="s">
        <v>378</v>
      </c>
      <c r="C811" s="44" t="s">
        <v>120</v>
      </c>
      <c r="D811" s="85">
        <v>10104953674</v>
      </c>
      <c r="E811" s="44" t="s">
        <v>608</v>
      </c>
      <c r="F811" s="44" t="s">
        <v>217</v>
      </c>
      <c r="G811" s="44" t="s">
        <v>589</v>
      </c>
      <c r="H811" s="44" t="s">
        <v>223</v>
      </c>
      <c r="I811" s="45">
        <v>42783</v>
      </c>
      <c r="J811" s="45">
        <v>42795</v>
      </c>
      <c r="K811" s="45"/>
      <c r="L811" s="45"/>
    </row>
    <row r="812" spans="1:12" ht="17.100000000000001" customHeight="1">
      <c r="A812" s="43" t="s">
        <v>377</v>
      </c>
      <c r="B812" s="44" t="s">
        <v>378</v>
      </c>
      <c r="C812" s="44" t="s">
        <v>120</v>
      </c>
      <c r="D812" s="85">
        <v>10104948908</v>
      </c>
      <c r="E812" s="44" t="s">
        <v>1360</v>
      </c>
      <c r="F812" s="44" t="s">
        <v>500</v>
      </c>
      <c r="G812" s="44" t="s">
        <v>589</v>
      </c>
      <c r="H812" s="44" t="s">
        <v>223</v>
      </c>
      <c r="I812" s="45">
        <v>42784</v>
      </c>
      <c r="J812" s="45">
        <v>42784</v>
      </c>
      <c r="K812" s="45"/>
      <c r="L812" s="45"/>
    </row>
    <row r="813" spans="1:12" ht="17.100000000000001" customHeight="1">
      <c r="A813" s="43" t="s">
        <v>377</v>
      </c>
      <c r="B813" s="44" t="s">
        <v>378</v>
      </c>
      <c r="C813" s="44" t="s">
        <v>120</v>
      </c>
      <c r="D813" s="85">
        <v>10104950818</v>
      </c>
      <c r="E813" s="44" t="s">
        <v>1361</v>
      </c>
      <c r="F813" s="44" t="s">
        <v>180</v>
      </c>
      <c r="G813" s="44" t="s">
        <v>589</v>
      </c>
      <c r="H813" s="44" t="s">
        <v>223</v>
      </c>
      <c r="I813" s="45">
        <v>42786</v>
      </c>
      <c r="J813" s="45">
        <v>42794</v>
      </c>
      <c r="K813" s="45">
        <v>42789</v>
      </c>
      <c r="L813" s="45"/>
    </row>
    <row r="814" spans="1:12" ht="17.100000000000001" customHeight="1">
      <c r="A814" s="43" t="s">
        <v>377</v>
      </c>
      <c r="B814" s="44" t="s">
        <v>378</v>
      </c>
      <c r="C814" s="44" t="s">
        <v>120</v>
      </c>
      <c r="D814" s="85">
        <v>10104953681</v>
      </c>
      <c r="E814" s="44" t="s">
        <v>615</v>
      </c>
      <c r="F814" s="44" t="s">
        <v>217</v>
      </c>
      <c r="G814" s="44" t="s">
        <v>589</v>
      </c>
      <c r="H814" s="44" t="s">
        <v>223</v>
      </c>
      <c r="I814" s="45">
        <v>42784</v>
      </c>
      <c r="J814" s="45">
        <v>42795</v>
      </c>
      <c r="K814" s="45"/>
      <c r="L814" s="45"/>
    </row>
    <row r="815" spans="1:12" ht="17.100000000000001" customHeight="1">
      <c r="A815" s="43" t="s">
        <v>377</v>
      </c>
      <c r="B815" s="44" t="s">
        <v>378</v>
      </c>
      <c r="C815" s="44" t="s">
        <v>120</v>
      </c>
      <c r="D815" s="85">
        <v>10104953679</v>
      </c>
      <c r="E815" s="44" t="s">
        <v>607</v>
      </c>
      <c r="F815" s="44" t="s">
        <v>500</v>
      </c>
      <c r="G815" s="44" t="s">
        <v>589</v>
      </c>
      <c r="H815" s="44" t="s">
        <v>223</v>
      </c>
      <c r="I815" s="45">
        <v>42784</v>
      </c>
      <c r="J815" s="45">
        <v>42784</v>
      </c>
      <c r="K815" s="45"/>
      <c r="L815" s="45"/>
    </row>
    <row r="816" spans="1:12" ht="17.100000000000001" customHeight="1">
      <c r="A816" s="43" t="s">
        <v>377</v>
      </c>
      <c r="B816" s="44" t="s">
        <v>378</v>
      </c>
      <c r="C816" s="44" t="s">
        <v>120</v>
      </c>
      <c r="D816" s="85">
        <v>10104953693</v>
      </c>
      <c r="E816" s="44" t="s">
        <v>616</v>
      </c>
      <c r="F816" s="44" t="s">
        <v>500</v>
      </c>
      <c r="G816" s="44" t="s">
        <v>589</v>
      </c>
      <c r="H816" s="44" t="s">
        <v>223</v>
      </c>
      <c r="I816" s="45">
        <v>42783</v>
      </c>
      <c r="J816" s="45">
        <v>42783</v>
      </c>
      <c r="K816" s="45"/>
      <c r="L816" s="45"/>
    </row>
    <row r="817" spans="1:12" ht="17.100000000000001" customHeight="1">
      <c r="A817" s="43" t="s">
        <v>377</v>
      </c>
      <c r="B817" s="44" t="s">
        <v>378</v>
      </c>
      <c r="C817" s="44" t="s">
        <v>120</v>
      </c>
      <c r="D817" s="85">
        <v>10104953695</v>
      </c>
      <c r="E817" s="44" t="s">
        <v>617</v>
      </c>
      <c r="F817" s="44" t="s">
        <v>217</v>
      </c>
      <c r="G817" s="44" t="s">
        <v>589</v>
      </c>
      <c r="H817" s="44" t="s">
        <v>223</v>
      </c>
      <c r="I817" s="45">
        <v>42783</v>
      </c>
      <c r="J817" s="45">
        <v>42795</v>
      </c>
      <c r="K817" s="45"/>
      <c r="L817" s="45"/>
    </row>
    <row r="818" spans="1:12" ht="17.100000000000001" customHeight="1">
      <c r="A818" s="43" t="s">
        <v>377</v>
      </c>
      <c r="B818" s="44" t="s">
        <v>378</v>
      </c>
      <c r="C818" s="44" t="s">
        <v>120</v>
      </c>
      <c r="D818" s="85">
        <v>10104950817</v>
      </c>
      <c r="E818" s="44" t="s">
        <v>1362</v>
      </c>
      <c r="F818" s="44" t="s">
        <v>180</v>
      </c>
      <c r="G818" s="44" t="s">
        <v>589</v>
      </c>
      <c r="H818" s="44" t="s">
        <v>223</v>
      </c>
      <c r="I818" s="45">
        <v>42786</v>
      </c>
      <c r="J818" s="45">
        <v>42794</v>
      </c>
      <c r="K818" s="45">
        <v>42789</v>
      </c>
      <c r="L818" s="45"/>
    </row>
    <row r="819" spans="1:12" ht="17.100000000000001" customHeight="1">
      <c r="A819" s="43" t="s">
        <v>377</v>
      </c>
      <c r="B819" s="44" t="s">
        <v>378</v>
      </c>
      <c r="C819" s="44" t="s">
        <v>120</v>
      </c>
      <c r="D819" s="85">
        <v>10104953673</v>
      </c>
      <c r="E819" s="44" t="s">
        <v>618</v>
      </c>
      <c r="F819" s="44" t="s">
        <v>217</v>
      </c>
      <c r="G819" s="44" t="s">
        <v>589</v>
      </c>
      <c r="H819" s="44" t="s">
        <v>223</v>
      </c>
      <c r="I819" s="45">
        <v>42783</v>
      </c>
      <c r="J819" s="45">
        <v>42795</v>
      </c>
      <c r="K819" s="45"/>
      <c r="L819" s="45"/>
    </row>
    <row r="820" spans="1:12" ht="17.100000000000001" customHeight="1">
      <c r="A820" s="43" t="s">
        <v>377</v>
      </c>
      <c r="B820" s="44" t="s">
        <v>378</v>
      </c>
      <c r="C820" s="44" t="s">
        <v>120</v>
      </c>
      <c r="D820" s="85">
        <v>10104953671</v>
      </c>
      <c r="E820" s="44" t="s">
        <v>611</v>
      </c>
      <c r="F820" s="44" t="s">
        <v>217</v>
      </c>
      <c r="G820" s="44" t="s">
        <v>589</v>
      </c>
      <c r="H820" s="44" t="s">
        <v>223</v>
      </c>
      <c r="I820" s="45">
        <v>42783</v>
      </c>
      <c r="J820" s="45">
        <v>42795</v>
      </c>
      <c r="K820" s="45"/>
      <c r="L820" s="45"/>
    </row>
    <row r="821" spans="1:12" ht="17.100000000000001" customHeight="1">
      <c r="A821" s="43" t="s">
        <v>377</v>
      </c>
      <c r="B821" s="44" t="s">
        <v>378</v>
      </c>
      <c r="C821" s="44" t="s">
        <v>120</v>
      </c>
      <c r="D821" s="85">
        <v>10104952332</v>
      </c>
      <c r="E821" s="44" t="s">
        <v>1363</v>
      </c>
      <c r="F821" s="44" t="s">
        <v>500</v>
      </c>
      <c r="G821" s="44" t="s">
        <v>589</v>
      </c>
      <c r="H821" s="44" t="s">
        <v>223</v>
      </c>
      <c r="I821" s="45">
        <v>42784</v>
      </c>
      <c r="J821" s="45">
        <v>42784</v>
      </c>
      <c r="K821" s="45"/>
      <c r="L821" s="45"/>
    </row>
    <row r="822" spans="1:12" ht="17.100000000000001" customHeight="1">
      <c r="A822" s="43" t="s">
        <v>377</v>
      </c>
      <c r="B822" s="44" t="s">
        <v>378</v>
      </c>
      <c r="C822" s="44" t="s">
        <v>120</v>
      </c>
      <c r="D822" s="85">
        <v>10104952353</v>
      </c>
      <c r="E822" s="44" t="s">
        <v>1364</v>
      </c>
      <c r="F822" s="44" t="s">
        <v>500</v>
      </c>
      <c r="G822" s="44" t="s">
        <v>589</v>
      </c>
      <c r="H822" s="44" t="s">
        <v>223</v>
      </c>
      <c r="I822" s="45">
        <v>42784</v>
      </c>
      <c r="J822" s="45">
        <v>42784</v>
      </c>
      <c r="K822" s="45"/>
      <c r="L822" s="45"/>
    </row>
    <row r="823" spans="1:12" ht="17.100000000000001" customHeight="1">
      <c r="A823" s="43" t="s">
        <v>377</v>
      </c>
      <c r="B823" s="44" t="s">
        <v>378</v>
      </c>
      <c r="C823" s="44" t="s">
        <v>120</v>
      </c>
      <c r="D823" s="85">
        <v>10104953678</v>
      </c>
      <c r="E823" s="44" t="s">
        <v>622</v>
      </c>
      <c r="F823" s="44" t="s">
        <v>500</v>
      </c>
      <c r="G823" s="44" t="s">
        <v>589</v>
      </c>
      <c r="H823" s="44" t="s">
        <v>223</v>
      </c>
      <c r="I823" s="45">
        <v>42784</v>
      </c>
      <c r="J823" s="45">
        <v>42784</v>
      </c>
      <c r="K823" s="45"/>
      <c r="L823" s="45"/>
    </row>
    <row r="824" spans="1:12" ht="17.100000000000001" customHeight="1">
      <c r="A824" s="43" t="s">
        <v>377</v>
      </c>
      <c r="B824" s="44" t="s">
        <v>378</v>
      </c>
      <c r="C824" s="44" t="s">
        <v>120</v>
      </c>
      <c r="D824" s="85">
        <v>10104953667</v>
      </c>
      <c r="E824" s="44" t="s">
        <v>621</v>
      </c>
      <c r="F824" s="44" t="s">
        <v>500</v>
      </c>
      <c r="G824" s="44" t="s">
        <v>589</v>
      </c>
      <c r="H824" s="44" t="s">
        <v>223</v>
      </c>
      <c r="I824" s="45">
        <v>42784</v>
      </c>
      <c r="J824" s="45">
        <v>42784</v>
      </c>
      <c r="K824" s="45"/>
      <c r="L824" s="45"/>
    </row>
    <row r="825" spans="1:12" ht="17.100000000000001" customHeight="1">
      <c r="A825" s="43" t="s">
        <v>377</v>
      </c>
      <c r="B825" s="44" t="s">
        <v>378</v>
      </c>
      <c r="C825" s="44" t="s">
        <v>120</v>
      </c>
      <c r="D825" s="85">
        <v>10104946844</v>
      </c>
      <c r="E825" s="44" t="s">
        <v>1365</v>
      </c>
      <c r="F825" s="44" t="s">
        <v>500</v>
      </c>
      <c r="G825" s="44" t="s">
        <v>589</v>
      </c>
      <c r="H825" s="44" t="s">
        <v>223</v>
      </c>
      <c r="I825" s="45">
        <v>42782</v>
      </c>
      <c r="J825" s="45">
        <v>42782</v>
      </c>
      <c r="K825" s="45"/>
      <c r="L825" s="45"/>
    </row>
    <row r="826" spans="1:12" ht="17.100000000000001" customHeight="1">
      <c r="A826" s="43" t="s">
        <v>377</v>
      </c>
      <c r="B826" s="44" t="s">
        <v>378</v>
      </c>
      <c r="C826" s="44" t="s">
        <v>120</v>
      </c>
      <c r="D826" s="85">
        <v>10104948884</v>
      </c>
      <c r="E826" s="44" t="s">
        <v>1366</v>
      </c>
      <c r="F826" s="44" t="s">
        <v>180</v>
      </c>
      <c r="G826" s="44" t="s">
        <v>589</v>
      </c>
      <c r="H826" s="44" t="s">
        <v>223</v>
      </c>
      <c r="I826" s="45">
        <v>42784</v>
      </c>
      <c r="J826" s="45">
        <v>42794</v>
      </c>
      <c r="K826" s="45">
        <v>42789</v>
      </c>
      <c r="L826" s="45"/>
    </row>
    <row r="827" spans="1:12" ht="17.100000000000001" customHeight="1">
      <c r="A827" s="43" t="s">
        <v>377</v>
      </c>
      <c r="B827" s="44" t="s">
        <v>378</v>
      </c>
      <c r="C827" s="44" t="s">
        <v>120</v>
      </c>
      <c r="D827" s="85">
        <v>10104953666</v>
      </c>
      <c r="E827" s="44" t="s">
        <v>612</v>
      </c>
      <c r="F827" s="44" t="s">
        <v>500</v>
      </c>
      <c r="G827" s="44" t="s">
        <v>589</v>
      </c>
      <c r="H827" s="44" t="s">
        <v>223</v>
      </c>
      <c r="I827" s="45">
        <v>42784</v>
      </c>
      <c r="J827" s="45">
        <v>42784</v>
      </c>
      <c r="K827" s="45"/>
      <c r="L827" s="45"/>
    </row>
    <row r="828" spans="1:12" ht="17.100000000000001" customHeight="1">
      <c r="A828" s="43" t="s">
        <v>377</v>
      </c>
      <c r="B828" s="44" t="s">
        <v>378</v>
      </c>
      <c r="C828" s="44" t="s">
        <v>120</v>
      </c>
      <c r="D828" s="85">
        <v>10104953665</v>
      </c>
      <c r="E828" s="44" t="s">
        <v>620</v>
      </c>
      <c r="F828" s="44" t="s">
        <v>500</v>
      </c>
      <c r="G828" s="44" t="s">
        <v>589</v>
      </c>
      <c r="H828" s="44" t="s">
        <v>223</v>
      </c>
      <c r="I828" s="45">
        <v>42784</v>
      </c>
      <c r="J828" s="45">
        <v>42784</v>
      </c>
      <c r="K828" s="45"/>
      <c r="L828" s="45"/>
    </row>
    <row r="829" spans="1:12" ht="17.100000000000001" customHeight="1">
      <c r="A829" s="43" t="s">
        <v>377</v>
      </c>
      <c r="B829" s="44" t="s">
        <v>378</v>
      </c>
      <c r="C829" s="44" t="s">
        <v>120</v>
      </c>
      <c r="D829" s="85">
        <v>10104953672</v>
      </c>
      <c r="E829" s="44" t="s">
        <v>606</v>
      </c>
      <c r="F829" s="44" t="s">
        <v>217</v>
      </c>
      <c r="G829" s="44" t="s">
        <v>589</v>
      </c>
      <c r="H829" s="44" t="s">
        <v>223</v>
      </c>
      <c r="I829" s="45">
        <v>42783</v>
      </c>
      <c r="J829" s="45">
        <v>42795</v>
      </c>
      <c r="K829" s="45"/>
      <c r="L829" s="45"/>
    </row>
    <row r="830" spans="1:12" ht="17.100000000000001" customHeight="1">
      <c r="A830" s="43" t="s">
        <v>377</v>
      </c>
      <c r="B830" s="44" t="s">
        <v>378</v>
      </c>
      <c r="C830" s="44" t="s">
        <v>120</v>
      </c>
      <c r="D830" s="85">
        <v>10104953694</v>
      </c>
      <c r="E830" s="44" t="s">
        <v>613</v>
      </c>
      <c r="F830" s="44" t="s">
        <v>500</v>
      </c>
      <c r="G830" s="44" t="s">
        <v>589</v>
      </c>
      <c r="H830" s="44" t="s">
        <v>223</v>
      </c>
      <c r="I830" s="45">
        <v>42783</v>
      </c>
      <c r="J830" s="45">
        <v>42783</v>
      </c>
      <c r="K830" s="45"/>
      <c r="L830" s="45"/>
    </row>
    <row r="831" spans="1:12" ht="17.100000000000001" customHeight="1">
      <c r="A831" s="43" t="s">
        <v>377</v>
      </c>
      <c r="B831" s="44" t="s">
        <v>378</v>
      </c>
      <c r="C831" s="44" t="s">
        <v>120</v>
      </c>
      <c r="D831" s="85">
        <v>10104953670</v>
      </c>
      <c r="E831" s="44" t="s">
        <v>605</v>
      </c>
      <c r="F831" s="44" t="s">
        <v>500</v>
      </c>
      <c r="G831" s="44" t="s">
        <v>589</v>
      </c>
      <c r="H831" s="44" t="s">
        <v>223</v>
      </c>
      <c r="I831" s="45">
        <v>42783</v>
      </c>
      <c r="J831" s="45">
        <v>42783</v>
      </c>
      <c r="K831" s="45"/>
      <c r="L831" s="45"/>
    </row>
    <row r="832" spans="1:12" ht="17.100000000000001" customHeight="1">
      <c r="A832" s="43" t="s">
        <v>377</v>
      </c>
      <c r="B832" s="44" t="s">
        <v>378</v>
      </c>
      <c r="C832" s="44" t="s">
        <v>120</v>
      </c>
      <c r="D832" s="85">
        <v>10104953668</v>
      </c>
      <c r="E832" s="44" t="s">
        <v>609</v>
      </c>
      <c r="F832" s="44" t="s">
        <v>500</v>
      </c>
      <c r="G832" s="44" t="s">
        <v>589</v>
      </c>
      <c r="H832" s="44" t="s">
        <v>223</v>
      </c>
      <c r="I832" s="45">
        <v>42784</v>
      </c>
      <c r="J832" s="45">
        <v>42784</v>
      </c>
      <c r="K832" s="45"/>
      <c r="L832" s="45"/>
    </row>
    <row r="833" spans="1:12" ht="17.100000000000001" customHeight="1">
      <c r="A833" s="43" t="s">
        <v>377</v>
      </c>
      <c r="B833" s="44" t="s">
        <v>378</v>
      </c>
      <c r="C833" s="44" t="s">
        <v>120</v>
      </c>
      <c r="D833" s="85">
        <v>10104913248</v>
      </c>
      <c r="E833" s="44" t="s">
        <v>1367</v>
      </c>
      <c r="F833" s="44" t="s">
        <v>216</v>
      </c>
      <c r="G833" s="44" t="s">
        <v>1368</v>
      </c>
      <c r="H833" s="44" t="s">
        <v>223</v>
      </c>
      <c r="I833" s="45">
        <v>42792</v>
      </c>
      <c r="J833" s="45">
        <v>42792</v>
      </c>
      <c r="K833" s="45"/>
      <c r="L833" s="45"/>
    </row>
    <row r="834" spans="1:12" ht="17.100000000000001" customHeight="1">
      <c r="A834" s="43" t="s">
        <v>377</v>
      </c>
      <c r="B834" s="44" t="s">
        <v>378</v>
      </c>
      <c r="C834" s="44" t="s">
        <v>120</v>
      </c>
      <c r="D834" s="85">
        <v>10104937007</v>
      </c>
      <c r="E834" s="44" t="s">
        <v>1369</v>
      </c>
      <c r="F834" s="44" t="s">
        <v>180</v>
      </c>
      <c r="G834" s="44" t="s">
        <v>873</v>
      </c>
      <c r="H834" s="44" t="s">
        <v>223</v>
      </c>
      <c r="I834" s="45">
        <v>42786</v>
      </c>
      <c r="J834" s="45">
        <v>42790</v>
      </c>
      <c r="K834" s="45">
        <v>42774</v>
      </c>
      <c r="L834" s="45"/>
    </row>
    <row r="835" spans="1:12" ht="17.100000000000001" customHeight="1">
      <c r="A835" s="43" t="s">
        <v>377</v>
      </c>
      <c r="B835" s="44" t="s">
        <v>379</v>
      </c>
      <c r="C835" s="44" t="s">
        <v>120</v>
      </c>
      <c r="D835" s="85">
        <v>10104913356</v>
      </c>
      <c r="E835" s="44" t="s">
        <v>1370</v>
      </c>
      <c r="F835" s="44" t="s">
        <v>180</v>
      </c>
      <c r="G835" s="44" t="s">
        <v>947</v>
      </c>
      <c r="H835" s="44" t="s">
        <v>332</v>
      </c>
      <c r="I835" s="45">
        <v>42777</v>
      </c>
      <c r="J835" s="45">
        <v>42777</v>
      </c>
      <c r="K835" s="45">
        <v>42776</v>
      </c>
      <c r="L835" s="45"/>
    </row>
    <row r="836" spans="1:12" ht="17.100000000000001" customHeight="1">
      <c r="A836" s="43" t="s">
        <v>377</v>
      </c>
      <c r="B836" s="44" t="s">
        <v>379</v>
      </c>
      <c r="C836" s="44" t="s">
        <v>120</v>
      </c>
      <c r="D836" s="85">
        <v>10104913347</v>
      </c>
      <c r="E836" s="44" t="s">
        <v>1371</v>
      </c>
      <c r="F836" s="44" t="s">
        <v>180</v>
      </c>
      <c r="G836" s="44" t="s">
        <v>947</v>
      </c>
      <c r="H836" s="44" t="s">
        <v>332</v>
      </c>
      <c r="I836" s="45">
        <v>42777</v>
      </c>
      <c r="J836" s="45">
        <v>42777</v>
      </c>
      <c r="K836" s="45">
        <v>42776</v>
      </c>
      <c r="L836" s="45"/>
    </row>
    <row r="837" spans="1:12" ht="17.100000000000001" customHeight="1">
      <c r="A837" s="43" t="s">
        <v>377</v>
      </c>
      <c r="B837" s="44" t="s">
        <v>378</v>
      </c>
      <c r="C837" s="44" t="s">
        <v>120</v>
      </c>
      <c r="D837" s="85">
        <v>10104959487</v>
      </c>
      <c r="E837" s="44" t="s">
        <v>590</v>
      </c>
      <c r="F837" s="44" t="s">
        <v>180</v>
      </c>
      <c r="G837" s="44" t="s">
        <v>448</v>
      </c>
      <c r="H837" s="44" t="s">
        <v>223</v>
      </c>
      <c r="I837" s="45">
        <v>42789</v>
      </c>
      <c r="J837" s="45">
        <v>42796</v>
      </c>
      <c r="K837" s="45">
        <v>42768</v>
      </c>
      <c r="L837" s="45"/>
    </row>
    <row r="838" spans="1:12" ht="17.100000000000001" customHeight="1">
      <c r="A838" s="43" t="s">
        <v>377</v>
      </c>
      <c r="B838" s="44" t="s">
        <v>378</v>
      </c>
      <c r="C838" s="44" t="s">
        <v>120</v>
      </c>
      <c r="D838" s="85">
        <v>10104958438</v>
      </c>
      <c r="E838" s="44" t="s">
        <v>627</v>
      </c>
      <c r="F838" s="44" t="s">
        <v>180</v>
      </c>
      <c r="G838" s="44" t="s">
        <v>448</v>
      </c>
      <c r="H838" s="44" t="s">
        <v>223</v>
      </c>
      <c r="I838" s="45">
        <v>42788</v>
      </c>
      <c r="J838" s="45">
        <v>42796</v>
      </c>
      <c r="K838" s="45">
        <v>42768</v>
      </c>
      <c r="L838" s="45"/>
    </row>
    <row r="839" spans="1:12" ht="17.100000000000001" customHeight="1">
      <c r="A839" s="43" t="s">
        <v>377</v>
      </c>
      <c r="B839" s="44" t="s">
        <v>378</v>
      </c>
      <c r="C839" s="44" t="s">
        <v>120</v>
      </c>
      <c r="D839" s="85">
        <v>10104952287</v>
      </c>
      <c r="E839" s="44" t="s">
        <v>1372</v>
      </c>
      <c r="F839" s="44" t="s">
        <v>180</v>
      </c>
      <c r="G839" s="44" t="s">
        <v>448</v>
      </c>
      <c r="H839" s="44" t="s">
        <v>223</v>
      </c>
      <c r="I839" s="45">
        <v>42784</v>
      </c>
      <c r="J839" s="45">
        <v>42796</v>
      </c>
      <c r="K839" s="45">
        <v>42794</v>
      </c>
      <c r="L839" s="45"/>
    </row>
    <row r="840" spans="1:12" ht="17.100000000000001" customHeight="1">
      <c r="A840" s="43" t="s">
        <v>377</v>
      </c>
      <c r="B840" s="44" t="s">
        <v>378</v>
      </c>
      <c r="C840" s="44" t="s">
        <v>120</v>
      </c>
      <c r="D840" s="85">
        <v>10104958490</v>
      </c>
      <c r="E840" s="44" t="s">
        <v>715</v>
      </c>
      <c r="F840" s="44" t="s">
        <v>180</v>
      </c>
      <c r="G840" s="44" t="s">
        <v>448</v>
      </c>
      <c r="H840" s="44" t="s">
        <v>223</v>
      </c>
      <c r="I840" s="45">
        <v>42788</v>
      </c>
      <c r="J840" s="45">
        <v>42796</v>
      </c>
      <c r="K840" s="45">
        <v>42768</v>
      </c>
      <c r="L840" s="45"/>
    </row>
    <row r="841" spans="1:12" ht="17.100000000000001" customHeight="1">
      <c r="A841" s="43" t="s">
        <v>377</v>
      </c>
      <c r="B841" s="44" t="s">
        <v>378</v>
      </c>
      <c r="C841" s="44" t="s">
        <v>120</v>
      </c>
      <c r="D841" s="85">
        <v>10104950819</v>
      </c>
      <c r="E841" s="44" t="s">
        <v>1373</v>
      </c>
      <c r="F841" s="44" t="s">
        <v>180</v>
      </c>
      <c r="G841" s="44" t="s">
        <v>448</v>
      </c>
      <c r="H841" s="44" t="s">
        <v>223</v>
      </c>
      <c r="I841" s="45">
        <v>42786</v>
      </c>
      <c r="J841" s="45">
        <v>42796</v>
      </c>
      <c r="K841" s="45">
        <v>42794</v>
      </c>
      <c r="L841" s="45"/>
    </row>
    <row r="842" spans="1:12" ht="17.100000000000001" customHeight="1">
      <c r="A842" s="43" t="s">
        <v>377</v>
      </c>
      <c r="B842" s="44" t="s">
        <v>378</v>
      </c>
      <c r="C842" s="44" t="s">
        <v>120</v>
      </c>
      <c r="D842" s="85">
        <v>10104956313</v>
      </c>
      <c r="E842" s="44" t="s">
        <v>631</v>
      </c>
      <c r="F842" s="44" t="s">
        <v>180</v>
      </c>
      <c r="G842" s="44" t="s">
        <v>448</v>
      </c>
      <c r="H842" s="44" t="s">
        <v>223</v>
      </c>
      <c r="I842" s="45">
        <v>42786</v>
      </c>
      <c r="J842" s="45">
        <v>42796</v>
      </c>
      <c r="K842" s="45">
        <v>42768</v>
      </c>
      <c r="L842" s="45"/>
    </row>
    <row r="843" spans="1:12" ht="17.100000000000001" customHeight="1">
      <c r="A843" s="43" t="s">
        <v>377</v>
      </c>
      <c r="B843" s="44" t="s">
        <v>378</v>
      </c>
      <c r="C843" s="44" t="s">
        <v>120</v>
      </c>
      <c r="D843" s="85">
        <v>10104958467</v>
      </c>
      <c r="E843" s="44" t="s">
        <v>714</v>
      </c>
      <c r="F843" s="44" t="s">
        <v>180</v>
      </c>
      <c r="G843" s="44" t="s">
        <v>448</v>
      </c>
      <c r="H843" s="44" t="s">
        <v>223</v>
      </c>
      <c r="I843" s="45">
        <v>42788</v>
      </c>
      <c r="J843" s="45">
        <v>42796</v>
      </c>
      <c r="K843" s="45">
        <v>42768</v>
      </c>
      <c r="L843" s="45"/>
    </row>
    <row r="844" spans="1:12" ht="17.100000000000001" customHeight="1">
      <c r="A844" s="43" t="s">
        <v>377</v>
      </c>
      <c r="B844" s="44" t="s">
        <v>378</v>
      </c>
      <c r="C844" s="44" t="s">
        <v>120</v>
      </c>
      <c r="D844" s="85">
        <v>10104957557</v>
      </c>
      <c r="E844" s="44" t="s">
        <v>626</v>
      </c>
      <c r="F844" s="44" t="s">
        <v>180</v>
      </c>
      <c r="G844" s="44" t="s">
        <v>448</v>
      </c>
      <c r="H844" s="44" t="s">
        <v>223</v>
      </c>
      <c r="I844" s="45">
        <v>42787</v>
      </c>
      <c r="J844" s="45">
        <v>42796</v>
      </c>
      <c r="K844" s="45">
        <v>42768</v>
      </c>
      <c r="L844" s="45"/>
    </row>
    <row r="845" spans="1:12" ht="17.100000000000001" customHeight="1">
      <c r="A845" s="43" t="s">
        <v>377</v>
      </c>
      <c r="B845" s="44" t="s">
        <v>378</v>
      </c>
      <c r="C845" s="44" t="s">
        <v>120</v>
      </c>
      <c r="D845" s="85">
        <v>10104957530</v>
      </c>
      <c r="E845" s="44" t="s">
        <v>632</v>
      </c>
      <c r="F845" s="44" t="s">
        <v>180</v>
      </c>
      <c r="G845" s="44" t="s">
        <v>448</v>
      </c>
      <c r="H845" s="44" t="s">
        <v>223</v>
      </c>
      <c r="I845" s="45">
        <v>42787</v>
      </c>
      <c r="J845" s="45">
        <v>42796</v>
      </c>
      <c r="K845" s="45">
        <v>42768</v>
      </c>
      <c r="L845" s="45"/>
    </row>
    <row r="846" spans="1:12" ht="17.100000000000001" customHeight="1">
      <c r="A846" s="43" t="s">
        <v>377</v>
      </c>
      <c r="B846" s="44" t="s">
        <v>378</v>
      </c>
      <c r="C846" s="44" t="s">
        <v>120</v>
      </c>
      <c r="D846" s="85">
        <v>10104958426</v>
      </c>
      <c r="E846" s="44" t="s">
        <v>672</v>
      </c>
      <c r="F846" s="44" t="s">
        <v>180</v>
      </c>
      <c r="G846" s="44" t="s">
        <v>448</v>
      </c>
      <c r="H846" s="44" t="s">
        <v>223</v>
      </c>
      <c r="I846" s="45">
        <v>42788</v>
      </c>
      <c r="J846" s="45">
        <v>42796</v>
      </c>
      <c r="K846" s="45">
        <v>42768</v>
      </c>
      <c r="L846" s="45"/>
    </row>
    <row r="847" spans="1:12" ht="17.100000000000001" customHeight="1">
      <c r="A847" s="43" t="s">
        <v>377</v>
      </c>
      <c r="B847" s="44" t="s">
        <v>378</v>
      </c>
      <c r="C847" s="44" t="s">
        <v>120</v>
      </c>
      <c r="D847" s="85">
        <v>10104955268</v>
      </c>
      <c r="E847" s="44" t="s">
        <v>625</v>
      </c>
      <c r="F847" s="44" t="s">
        <v>180</v>
      </c>
      <c r="G847" s="44" t="s">
        <v>448</v>
      </c>
      <c r="H847" s="44" t="s">
        <v>223</v>
      </c>
      <c r="I847" s="45">
        <v>42785</v>
      </c>
      <c r="J847" s="45">
        <v>42796</v>
      </c>
      <c r="K847" s="45">
        <v>42768</v>
      </c>
      <c r="L847" s="45"/>
    </row>
    <row r="848" spans="1:12" ht="17.100000000000001" customHeight="1">
      <c r="A848" s="43" t="s">
        <v>377</v>
      </c>
      <c r="B848" s="44" t="s">
        <v>378</v>
      </c>
      <c r="C848" s="44" t="s">
        <v>120</v>
      </c>
      <c r="D848" s="85">
        <v>10104956307</v>
      </c>
      <c r="E848" s="44" t="s">
        <v>628</v>
      </c>
      <c r="F848" s="44" t="s">
        <v>180</v>
      </c>
      <c r="G848" s="44" t="s">
        <v>448</v>
      </c>
      <c r="H848" s="44" t="s">
        <v>223</v>
      </c>
      <c r="I848" s="45">
        <v>42786</v>
      </c>
      <c r="J848" s="45">
        <v>42796</v>
      </c>
      <c r="K848" s="45">
        <v>42768</v>
      </c>
      <c r="L848" s="45"/>
    </row>
    <row r="849" spans="1:12" ht="17.100000000000001" customHeight="1">
      <c r="A849" s="43" t="s">
        <v>377</v>
      </c>
      <c r="B849" s="44" t="s">
        <v>378</v>
      </c>
      <c r="C849" s="44" t="s">
        <v>120</v>
      </c>
      <c r="D849" s="85">
        <v>10104953752</v>
      </c>
      <c r="E849" s="44" t="s">
        <v>1374</v>
      </c>
      <c r="F849" s="44" t="s">
        <v>500</v>
      </c>
      <c r="G849" s="44" t="s">
        <v>448</v>
      </c>
      <c r="H849" s="44" t="s">
        <v>223</v>
      </c>
      <c r="I849" s="45">
        <v>42788</v>
      </c>
      <c r="J849" s="45">
        <v>42788</v>
      </c>
      <c r="K849" s="45"/>
      <c r="L849" s="45"/>
    </row>
    <row r="850" spans="1:12" ht="17.100000000000001" customHeight="1">
      <c r="A850" s="43" t="s">
        <v>377</v>
      </c>
      <c r="B850" s="44" t="s">
        <v>378</v>
      </c>
      <c r="C850" s="44" t="s">
        <v>120</v>
      </c>
      <c r="D850" s="85">
        <v>10104955233</v>
      </c>
      <c r="E850" s="44" t="s">
        <v>630</v>
      </c>
      <c r="F850" s="44" t="s">
        <v>180</v>
      </c>
      <c r="G850" s="44" t="s">
        <v>448</v>
      </c>
      <c r="H850" s="44" t="s">
        <v>223</v>
      </c>
      <c r="I850" s="45">
        <v>42784</v>
      </c>
      <c r="J850" s="45">
        <v>42795</v>
      </c>
      <c r="K850" s="45">
        <v>42767</v>
      </c>
      <c r="L850" s="45"/>
    </row>
    <row r="851" spans="1:12" ht="17.100000000000001" customHeight="1">
      <c r="A851" s="43" t="s">
        <v>377</v>
      </c>
      <c r="B851" s="44" t="s">
        <v>378</v>
      </c>
      <c r="C851" s="44" t="s">
        <v>120</v>
      </c>
      <c r="D851" s="85">
        <v>10104953751</v>
      </c>
      <c r="E851" s="44" t="s">
        <v>1375</v>
      </c>
      <c r="F851" s="44" t="s">
        <v>500</v>
      </c>
      <c r="G851" s="44" t="s">
        <v>448</v>
      </c>
      <c r="H851" s="44" t="s">
        <v>223</v>
      </c>
      <c r="I851" s="45">
        <v>42788</v>
      </c>
      <c r="J851" s="45">
        <v>42788</v>
      </c>
      <c r="K851" s="45"/>
      <c r="L851" s="45"/>
    </row>
    <row r="852" spans="1:12" ht="17.100000000000001" customHeight="1">
      <c r="A852" s="43" t="s">
        <v>377</v>
      </c>
      <c r="B852" s="44" t="s">
        <v>378</v>
      </c>
      <c r="C852" s="44" t="s">
        <v>120</v>
      </c>
      <c r="D852" s="85">
        <v>10104956315</v>
      </c>
      <c r="E852" s="44" t="s">
        <v>629</v>
      </c>
      <c r="F852" s="44" t="s">
        <v>180</v>
      </c>
      <c r="G852" s="44" t="s">
        <v>448</v>
      </c>
      <c r="H852" s="44" t="s">
        <v>223</v>
      </c>
      <c r="I852" s="45">
        <v>42786</v>
      </c>
      <c r="J852" s="45">
        <v>42796</v>
      </c>
      <c r="K852" s="45">
        <v>42768</v>
      </c>
      <c r="L852" s="45"/>
    </row>
    <row r="853" spans="1:12" ht="17.100000000000001" customHeight="1">
      <c r="A853" s="43" t="s">
        <v>377</v>
      </c>
      <c r="B853" s="44" t="s">
        <v>378</v>
      </c>
      <c r="C853" s="44" t="s">
        <v>120</v>
      </c>
      <c r="D853" s="85">
        <v>10104896254</v>
      </c>
      <c r="E853" s="44" t="s">
        <v>1376</v>
      </c>
      <c r="F853" s="44" t="s">
        <v>180</v>
      </c>
      <c r="G853" s="44" t="s">
        <v>1377</v>
      </c>
      <c r="H853" s="44" t="s">
        <v>223</v>
      </c>
      <c r="I853" s="45">
        <v>42790</v>
      </c>
      <c r="J853" s="45">
        <v>42790</v>
      </c>
      <c r="K853" s="45">
        <v>42788</v>
      </c>
      <c r="L853" s="45"/>
    </row>
    <row r="854" spans="1:12" ht="17.100000000000001" customHeight="1">
      <c r="A854" s="43" t="s">
        <v>377</v>
      </c>
      <c r="B854" s="44" t="s">
        <v>378</v>
      </c>
      <c r="C854" s="44" t="s">
        <v>120</v>
      </c>
      <c r="D854" s="85">
        <v>10104959488</v>
      </c>
      <c r="E854" s="44" t="s">
        <v>633</v>
      </c>
      <c r="F854" s="44" t="s">
        <v>217</v>
      </c>
      <c r="G854" s="44" t="s">
        <v>591</v>
      </c>
      <c r="H854" s="44" t="s">
        <v>223</v>
      </c>
      <c r="I854" s="45">
        <v>42789</v>
      </c>
      <c r="J854" s="45">
        <v>42795</v>
      </c>
      <c r="K854" s="45"/>
      <c r="L854" s="45"/>
    </row>
    <row r="855" spans="1:12" ht="17.100000000000001" customHeight="1">
      <c r="A855" s="43" t="s">
        <v>377</v>
      </c>
      <c r="B855" s="44" t="s">
        <v>378</v>
      </c>
      <c r="C855" s="44" t="s">
        <v>120</v>
      </c>
      <c r="D855" s="85">
        <v>10104955236</v>
      </c>
      <c r="E855" s="44" t="s">
        <v>1378</v>
      </c>
      <c r="F855" s="44" t="s">
        <v>180</v>
      </c>
      <c r="G855" s="44" t="s">
        <v>591</v>
      </c>
      <c r="H855" s="44" t="s">
        <v>223</v>
      </c>
      <c r="I855" s="45">
        <v>42789</v>
      </c>
      <c r="J855" s="45">
        <v>42796</v>
      </c>
      <c r="K855" s="45">
        <v>42794</v>
      </c>
      <c r="L855" s="45"/>
    </row>
    <row r="856" spans="1:12" ht="17.100000000000001" customHeight="1">
      <c r="A856" s="43" t="s">
        <v>377</v>
      </c>
      <c r="B856" s="44" t="s">
        <v>378</v>
      </c>
      <c r="C856" s="44" t="s">
        <v>120</v>
      </c>
      <c r="D856" s="85">
        <v>10104962307</v>
      </c>
      <c r="E856" s="44" t="s">
        <v>677</v>
      </c>
      <c r="F856" s="44" t="s">
        <v>217</v>
      </c>
      <c r="G856" s="44" t="s">
        <v>593</v>
      </c>
      <c r="H856" s="44" t="s">
        <v>223</v>
      </c>
      <c r="I856" s="45">
        <v>42791</v>
      </c>
      <c r="J856" s="45">
        <v>42795</v>
      </c>
      <c r="K856" s="45"/>
      <c r="L856" s="45"/>
    </row>
    <row r="857" spans="1:12" ht="17.100000000000001" customHeight="1">
      <c r="A857" s="43" t="s">
        <v>377</v>
      </c>
      <c r="B857" s="44" t="s">
        <v>378</v>
      </c>
      <c r="C857" s="44" t="s">
        <v>120</v>
      </c>
      <c r="D857" s="85">
        <v>10104959446</v>
      </c>
      <c r="E857" s="44" t="s">
        <v>592</v>
      </c>
      <c r="F857" s="44" t="s">
        <v>217</v>
      </c>
      <c r="G857" s="44" t="s">
        <v>593</v>
      </c>
      <c r="H857" s="44" t="s">
        <v>223</v>
      </c>
      <c r="I857" s="45">
        <v>42789</v>
      </c>
      <c r="J857" s="45">
        <v>42795</v>
      </c>
      <c r="K857" s="45"/>
      <c r="L857" s="45"/>
    </row>
    <row r="858" spans="1:12" ht="17.100000000000001" customHeight="1">
      <c r="A858" s="43" t="s">
        <v>377</v>
      </c>
      <c r="B858" s="44" t="s">
        <v>378</v>
      </c>
      <c r="C858" s="44" t="s">
        <v>120</v>
      </c>
      <c r="D858" s="85">
        <v>10104962400</v>
      </c>
      <c r="E858" s="44" t="s">
        <v>1379</v>
      </c>
      <c r="F858" s="44" t="s">
        <v>180</v>
      </c>
      <c r="G858" s="44" t="s">
        <v>593</v>
      </c>
      <c r="H858" s="44" t="s">
        <v>223</v>
      </c>
      <c r="I858" s="45">
        <v>42793</v>
      </c>
      <c r="J858" s="45">
        <v>42796</v>
      </c>
      <c r="K858" s="45">
        <v>42794</v>
      </c>
      <c r="L858" s="45"/>
    </row>
    <row r="859" spans="1:12" ht="17.100000000000001" customHeight="1">
      <c r="A859" s="43" t="s">
        <v>377</v>
      </c>
      <c r="B859" s="44" t="s">
        <v>378</v>
      </c>
      <c r="C859" s="44" t="s">
        <v>120</v>
      </c>
      <c r="D859" s="85">
        <v>10104957558</v>
      </c>
      <c r="E859" s="44" t="s">
        <v>634</v>
      </c>
      <c r="F859" s="44" t="s">
        <v>217</v>
      </c>
      <c r="G859" s="44" t="s">
        <v>593</v>
      </c>
      <c r="H859" s="44" t="s">
        <v>223</v>
      </c>
      <c r="I859" s="45">
        <v>42787</v>
      </c>
      <c r="J859" s="45">
        <v>42795</v>
      </c>
      <c r="K859" s="45"/>
      <c r="L859" s="45"/>
    </row>
    <row r="860" spans="1:12" ht="17.100000000000001" customHeight="1">
      <c r="A860" s="43" t="s">
        <v>377</v>
      </c>
      <c r="B860" s="44" t="s">
        <v>378</v>
      </c>
      <c r="C860" s="44" t="s">
        <v>120</v>
      </c>
      <c r="D860" s="85">
        <v>10104964859</v>
      </c>
      <c r="E860" s="44" t="s">
        <v>673</v>
      </c>
      <c r="F860" s="44" t="s">
        <v>217</v>
      </c>
      <c r="G860" s="44" t="s">
        <v>593</v>
      </c>
      <c r="H860" s="44" t="s">
        <v>223</v>
      </c>
      <c r="I860" s="45">
        <v>42793</v>
      </c>
      <c r="J860" s="45">
        <v>42795</v>
      </c>
      <c r="K860" s="45"/>
      <c r="L860" s="45"/>
    </row>
    <row r="861" spans="1:12" ht="17.100000000000001" customHeight="1">
      <c r="A861" s="43" t="s">
        <v>377</v>
      </c>
      <c r="B861" s="44" t="s">
        <v>378</v>
      </c>
      <c r="C861" s="44" t="s">
        <v>120</v>
      </c>
      <c r="D861" s="85">
        <v>10104963899</v>
      </c>
      <c r="E861" s="44" t="s">
        <v>674</v>
      </c>
      <c r="F861" s="44" t="s">
        <v>180</v>
      </c>
      <c r="G861" s="44" t="s">
        <v>593</v>
      </c>
      <c r="H861" s="44" t="s">
        <v>223</v>
      </c>
      <c r="I861" s="45">
        <v>42792</v>
      </c>
      <c r="J861" s="45">
        <v>42796</v>
      </c>
      <c r="K861" s="45">
        <v>42786</v>
      </c>
      <c r="L861" s="45"/>
    </row>
    <row r="862" spans="1:12" ht="17.100000000000001" customHeight="1">
      <c r="A862" s="43" t="s">
        <v>377</v>
      </c>
      <c r="B862" s="44" t="s">
        <v>378</v>
      </c>
      <c r="C862" s="44" t="s">
        <v>120</v>
      </c>
      <c r="D862" s="85">
        <v>10104963901</v>
      </c>
      <c r="E862" s="44" t="s">
        <v>678</v>
      </c>
      <c r="F862" s="44" t="s">
        <v>180</v>
      </c>
      <c r="G862" s="44" t="s">
        <v>593</v>
      </c>
      <c r="H862" s="44" t="s">
        <v>223</v>
      </c>
      <c r="I862" s="45">
        <v>42792</v>
      </c>
      <c r="J862" s="45">
        <v>42796</v>
      </c>
      <c r="K862" s="45">
        <v>42786</v>
      </c>
      <c r="L862" s="45"/>
    </row>
    <row r="863" spans="1:12" ht="17.100000000000001" customHeight="1">
      <c r="A863" s="43" t="s">
        <v>377</v>
      </c>
      <c r="B863" s="44" t="s">
        <v>378</v>
      </c>
      <c r="C863" s="44" t="s">
        <v>120</v>
      </c>
      <c r="D863" s="85">
        <v>10104961079</v>
      </c>
      <c r="E863" s="44" t="s">
        <v>676</v>
      </c>
      <c r="F863" s="44" t="s">
        <v>217</v>
      </c>
      <c r="G863" s="44" t="s">
        <v>593</v>
      </c>
      <c r="H863" s="44" t="s">
        <v>223</v>
      </c>
      <c r="I863" s="45">
        <v>42790</v>
      </c>
      <c r="J863" s="45">
        <v>42795</v>
      </c>
      <c r="K863" s="45"/>
      <c r="L863" s="45"/>
    </row>
    <row r="864" spans="1:12" ht="17.100000000000001" customHeight="1">
      <c r="A864" s="43" t="s">
        <v>377</v>
      </c>
      <c r="B864" s="44" t="s">
        <v>378</v>
      </c>
      <c r="C864" s="44" t="s">
        <v>120</v>
      </c>
      <c r="D864" s="85">
        <v>10104957560</v>
      </c>
      <c r="E864" s="44" t="s">
        <v>1380</v>
      </c>
      <c r="F864" s="44" t="s">
        <v>180</v>
      </c>
      <c r="G864" s="44" t="s">
        <v>593</v>
      </c>
      <c r="H864" s="44" t="s">
        <v>223</v>
      </c>
      <c r="I864" s="45">
        <v>42791</v>
      </c>
      <c r="J864" s="45">
        <v>42796</v>
      </c>
      <c r="K864" s="45">
        <v>42794</v>
      </c>
      <c r="L864" s="45"/>
    </row>
    <row r="865" spans="1:12" ht="17.100000000000001" customHeight="1">
      <c r="A865" s="43" t="s">
        <v>377</v>
      </c>
      <c r="B865" s="44" t="s">
        <v>378</v>
      </c>
      <c r="C865" s="44" t="s">
        <v>120</v>
      </c>
      <c r="D865" s="85">
        <v>10104962402</v>
      </c>
      <c r="E865" s="44" t="s">
        <v>675</v>
      </c>
      <c r="F865" s="44" t="s">
        <v>217</v>
      </c>
      <c r="G865" s="44" t="s">
        <v>593</v>
      </c>
      <c r="H865" s="44" t="s">
        <v>223</v>
      </c>
      <c r="I865" s="45">
        <v>42791</v>
      </c>
      <c r="J865" s="45">
        <v>42795</v>
      </c>
      <c r="K865" s="45"/>
      <c r="L865" s="45"/>
    </row>
    <row r="866" spans="1:12" ht="17.100000000000001" customHeight="1">
      <c r="A866" s="43" t="s">
        <v>377</v>
      </c>
      <c r="B866" s="44" t="s">
        <v>378</v>
      </c>
      <c r="C866" s="44" t="s">
        <v>120</v>
      </c>
      <c r="D866" s="85">
        <v>10104958491</v>
      </c>
      <c r="E866" s="44" t="s">
        <v>717</v>
      </c>
      <c r="F866" s="44" t="s">
        <v>217</v>
      </c>
      <c r="G866" s="44" t="s">
        <v>716</v>
      </c>
      <c r="H866" s="44" t="s">
        <v>223</v>
      </c>
      <c r="I866" s="45">
        <v>42788</v>
      </c>
      <c r="J866" s="45">
        <v>42795</v>
      </c>
      <c r="K866" s="45"/>
      <c r="L866" s="45"/>
    </row>
    <row r="867" spans="1:12" ht="17.100000000000001" customHeight="1">
      <c r="A867" s="43" t="s">
        <v>377</v>
      </c>
      <c r="B867" s="44" t="s">
        <v>378</v>
      </c>
      <c r="C867" s="44" t="s">
        <v>120</v>
      </c>
      <c r="D867" s="85">
        <v>10104958466</v>
      </c>
      <c r="E867" s="44" t="s">
        <v>679</v>
      </c>
      <c r="F867" s="44" t="s">
        <v>217</v>
      </c>
      <c r="G867" s="44" t="s">
        <v>594</v>
      </c>
      <c r="H867" s="44" t="s">
        <v>223</v>
      </c>
      <c r="I867" s="45">
        <v>42788</v>
      </c>
      <c r="J867" s="45">
        <v>42795</v>
      </c>
      <c r="K867" s="45"/>
      <c r="L867" s="45"/>
    </row>
    <row r="868" spans="1:12" ht="17.100000000000001" customHeight="1">
      <c r="A868" s="43" t="s">
        <v>377</v>
      </c>
      <c r="B868" s="44" t="s">
        <v>378</v>
      </c>
      <c r="C868" s="44" t="s">
        <v>120</v>
      </c>
      <c r="D868" s="85">
        <v>10104959447</v>
      </c>
      <c r="E868" s="44" t="s">
        <v>635</v>
      </c>
      <c r="F868" s="44" t="s">
        <v>217</v>
      </c>
      <c r="G868" s="44" t="s">
        <v>594</v>
      </c>
      <c r="H868" s="44" t="s">
        <v>223</v>
      </c>
      <c r="I868" s="45">
        <v>42789</v>
      </c>
      <c r="J868" s="45">
        <v>42795</v>
      </c>
      <c r="K868" s="45"/>
      <c r="L868" s="45"/>
    </row>
    <row r="869" spans="1:12" ht="17.100000000000001" customHeight="1">
      <c r="A869" s="43" t="s">
        <v>377</v>
      </c>
      <c r="B869" s="44" t="s">
        <v>378</v>
      </c>
      <c r="C869" s="44" t="s">
        <v>120</v>
      </c>
      <c r="D869" s="85">
        <v>10104953725</v>
      </c>
      <c r="E869" s="44" t="s">
        <v>1381</v>
      </c>
      <c r="F869" s="44" t="s">
        <v>180</v>
      </c>
      <c r="G869" s="44" t="s">
        <v>594</v>
      </c>
      <c r="H869" s="44" t="s">
        <v>223</v>
      </c>
      <c r="I869" s="45">
        <v>42788</v>
      </c>
      <c r="J869" s="45">
        <v>42796</v>
      </c>
      <c r="K869" s="45">
        <v>42794</v>
      </c>
      <c r="L869" s="45"/>
    </row>
    <row r="870" spans="1:12" ht="17.100000000000001" customHeight="1">
      <c r="A870" s="43" t="s">
        <v>377</v>
      </c>
      <c r="B870" s="44" t="s">
        <v>378</v>
      </c>
      <c r="C870" s="44" t="s">
        <v>120</v>
      </c>
      <c r="D870" s="85">
        <v>10104955270</v>
      </c>
      <c r="E870" s="44" t="s">
        <v>1382</v>
      </c>
      <c r="F870" s="44" t="s">
        <v>180</v>
      </c>
      <c r="G870" s="44" t="s">
        <v>594</v>
      </c>
      <c r="H870" s="44" t="s">
        <v>223</v>
      </c>
      <c r="I870" s="45">
        <v>42789</v>
      </c>
      <c r="J870" s="45">
        <v>42796</v>
      </c>
      <c r="K870" s="45">
        <v>42794</v>
      </c>
      <c r="L870" s="45"/>
    </row>
    <row r="871" spans="1:12" ht="17.100000000000001" customHeight="1">
      <c r="A871" s="43" t="s">
        <v>377</v>
      </c>
      <c r="B871" s="44" t="s">
        <v>378</v>
      </c>
      <c r="C871" s="44" t="s">
        <v>120</v>
      </c>
      <c r="D871" s="85">
        <v>10104958439</v>
      </c>
      <c r="E871" s="44" t="s">
        <v>718</v>
      </c>
      <c r="F871" s="44" t="s">
        <v>217</v>
      </c>
      <c r="G871" s="44" t="s">
        <v>594</v>
      </c>
      <c r="H871" s="44" t="s">
        <v>223</v>
      </c>
      <c r="I871" s="45">
        <v>42788</v>
      </c>
      <c r="J871" s="45">
        <v>42795</v>
      </c>
      <c r="K871" s="45"/>
      <c r="L871" s="45"/>
    </row>
    <row r="872" spans="1:12" ht="17.100000000000001" customHeight="1">
      <c r="A872" s="43" t="s">
        <v>377</v>
      </c>
      <c r="B872" s="44" t="s">
        <v>378</v>
      </c>
      <c r="C872" s="44" t="s">
        <v>120</v>
      </c>
      <c r="D872" s="85">
        <v>10104959496</v>
      </c>
      <c r="E872" s="44" t="s">
        <v>636</v>
      </c>
      <c r="F872" s="44" t="s">
        <v>217</v>
      </c>
      <c r="G872" s="44" t="s">
        <v>594</v>
      </c>
      <c r="H872" s="44" t="s">
        <v>223</v>
      </c>
      <c r="I872" s="45">
        <v>42789</v>
      </c>
      <c r="J872" s="45">
        <v>42795</v>
      </c>
      <c r="K872" s="45"/>
      <c r="L872" s="45"/>
    </row>
    <row r="873" spans="1:12" ht="17.100000000000001" customHeight="1">
      <c r="A873" s="43" t="s">
        <v>377</v>
      </c>
      <c r="B873" s="44" t="s">
        <v>378</v>
      </c>
      <c r="C873" s="44" t="s">
        <v>120</v>
      </c>
      <c r="D873" s="85">
        <v>10104938608</v>
      </c>
      <c r="E873" s="44" t="s">
        <v>1383</v>
      </c>
      <c r="F873" s="44" t="s">
        <v>180</v>
      </c>
      <c r="G873" s="44" t="s">
        <v>1384</v>
      </c>
      <c r="H873" s="44" t="s">
        <v>223</v>
      </c>
      <c r="I873" s="45">
        <v>42787</v>
      </c>
      <c r="J873" s="45">
        <v>42790</v>
      </c>
      <c r="K873" s="45">
        <v>42780</v>
      </c>
      <c r="L873" s="45"/>
    </row>
    <row r="874" spans="1:12" ht="17.100000000000001" customHeight="1">
      <c r="A874" s="43" t="s">
        <v>377</v>
      </c>
      <c r="B874" s="44" t="s">
        <v>378</v>
      </c>
      <c r="C874" s="44" t="s">
        <v>120</v>
      </c>
      <c r="D874" s="85">
        <v>10104961080</v>
      </c>
      <c r="E874" s="44" t="s">
        <v>681</v>
      </c>
      <c r="F874" s="44" t="s">
        <v>180</v>
      </c>
      <c r="G874" s="44" t="s">
        <v>680</v>
      </c>
      <c r="H874" s="44" t="s">
        <v>223</v>
      </c>
      <c r="I874" s="45">
        <v>42790</v>
      </c>
      <c r="J874" s="45">
        <v>42796</v>
      </c>
      <c r="K874" s="45">
        <v>42786</v>
      </c>
      <c r="L874" s="45"/>
    </row>
    <row r="875" spans="1:12" ht="17.100000000000001" customHeight="1">
      <c r="A875" s="43" t="s">
        <v>377</v>
      </c>
      <c r="B875" s="44" t="s">
        <v>380</v>
      </c>
      <c r="C875" s="44" t="s">
        <v>120</v>
      </c>
      <c r="D875" s="85">
        <v>10104877406</v>
      </c>
      <c r="E875" s="44" t="s">
        <v>1385</v>
      </c>
      <c r="F875" s="44" t="s">
        <v>891</v>
      </c>
      <c r="G875" s="44" t="s">
        <v>1386</v>
      </c>
      <c r="H875" s="44" t="s">
        <v>74</v>
      </c>
      <c r="I875" s="45">
        <v>42792</v>
      </c>
      <c r="J875" s="45">
        <v>42792</v>
      </c>
      <c r="K875" s="45"/>
      <c r="L875" s="45"/>
    </row>
    <row r="876" spans="1:12" ht="17.100000000000001" customHeight="1">
      <c r="A876" s="43" t="s">
        <v>377</v>
      </c>
      <c r="B876" s="44" t="s">
        <v>380</v>
      </c>
      <c r="C876" s="44" t="s">
        <v>120</v>
      </c>
      <c r="D876" s="85">
        <v>10104933881</v>
      </c>
      <c r="E876" s="44" t="s">
        <v>682</v>
      </c>
      <c r="F876" s="44" t="s">
        <v>180</v>
      </c>
      <c r="G876" s="44" t="s">
        <v>422</v>
      </c>
      <c r="H876" s="44" t="s">
        <v>74</v>
      </c>
      <c r="I876" s="45">
        <v>42776</v>
      </c>
      <c r="J876" s="45">
        <v>42776</v>
      </c>
      <c r="K876" s="45">
        <v>42772</v>
      </c>
      <c r="L876" s="45"/>
    </row>
    <row r="877" spans="1:12" ht="17.100000000000001" customHeight="1">
      <c r="A877" s="43" t="s">
        <v>377</v>
      </c>
      <c r="B877" s="44" t="s">
        <v>380</v>
      </c>
      <c r="C877" s="44" t="s">
        <v>120</v>
      </c>
      <c r="D877" s="85">
        <v>10104933882</v>
      </c>
      <c r="E877" s="44" t="s">
        <v>803</v>
      </c>
      <c r="F877" s="44" t="s">
        <v>180</v>
      </c>
      <c r="G877" s="44" t="s">
        <v>422</v>
      </c>
      <c r="H877" s="44" t="s">
        <v>74</v>
      </c>
      <c r="I877" s="45">
        <v>42776</v>
      </c>
      <c r="J877" s="45">
        <v>42776</v>
      </c>
      <c r="K877" s="45">
        <v>42772</v>
      </c>
      <c r="L877" s="45"/>
    </row>
    <row r="878" spans="1:12" ht="17.100000000000001" customHeight="1">
      <c r="A878" s="43" t="s">
        <v>377</v>
      </c>
      <c r="B878" s="44" t="s">
        <v>380</v>
      </c>
      <c r="C878" s="44" t="s">
        <v>120</v>
      </c>
      <c r="D878" s="85">
        <v>10104934057</v>
      </c>
      <c r="E878" s="44" t="s">
        <v>1387</v>
      </c>
      <c r="F878" s="44" t="s">
        <v>180</v>
      </c>
      <c r="G878" s="44" t="s">
        <v>422</v>
      </c>
      <c r="H878" s="44" t="s">
        <v>74</v>
      </c>
      <c r="I878" s="45">
        <v>42776</v>
      </c>
      <c r="J878" s="45">
        <v>42776</v>
      </c>
      <c r="K878" s="45">
        <v>42772</v>
      </c>
      <c r="L878" s="45"/>
    </row>
    <row r="879" spans="1:12" ht="17.100000000000001" customHeight="1">
      <c r="A879" s="43" t="s">
        <v>377</v>
      </c>
      <c r="B879" s="44" t="s">
        <v>380</v>
      </c>
      <c r="C879" s="44" t="s">
        <v>120</v>
      </c>
      <c r="D879" s="85">
        <v>10104932047</v>
      </c>
      <c r="E879" s="44" t="s">
        <v>1306</v>
      </c>
      <c r="F879" s="44" t="s">
        <v>890</v>
      </c>
      <c r="G879" s="44" t="s">
        <v>528</v>
      </c>
      <c r="H879" s="44" t="s">
        <v>74</v>
      </c>
      <c r="I879" s="45">
        <v>42794</v>
      </c>
      <c r="J879" s="45">
        <v>42794</v>
      </c>
      <c r="K879" s="45"/>
      <c r="L879" s="45"/>
    </row>
    <row r="880" spans="1:12" ht="17.100000000000001" customHeight="1">
      <c r="A880" s="43" t="s">
        <v>377</v>
      </c>
      <c r="B880" s="44" t="s">
        <v>380</v>
      </c>
      <c r="C880" s="44" t="s">
        <v>120</v>
      </c>
      <c r="D880" s="85">
        <v>10104896209</v>
      </c>
      <c r="E880" s="44" t="s">
        <v>902</v>
      </c>
      <c r="F880" s="44" t="s">
        <v>891</v>
      </c>
      <c r="G880" s="44" t="s">
        <v>1388</v>
      </c>
      <c r="H880" s="44" t="s">
        <v>74</v>
      </c>
      <c r="I880" s="45">
        <v>42792</v>
      </c>
      <c r="J880" s="45">
        <v>42792</v>
      </c>
      <c r="K880" s="45"/>
      <c r="L880" s="45"/>
    </row>
    <row r="881" spans="1:12" ht="17.100000000000001" customHeight="1">
      <c r="A881" s="43" t="s">
        <v>377</v>
      </c>
      <c r="B881" s="44" t="s">
        <v>380</v>
      </c>
      <c r="C881" s="44" t="s">
        <v>120</v>
      </c>
      <c r="D881" s="85">
        <v>10104930778</v>
      </c>
      <c r="E881" s="44" t="s">
        <v>1389</v>
      </c>
      <c r="F881" s="44" t="s">
        <v>180</v>
      </c>
      <c r="G881" s="44" t="s">
        <v>948</v>
      </c>
      <c r="H881" s="44" t="s">
        <v>74</v>
      </c>
      <c r="I881" s="45">
        <v>42776</v>
      </c>
      <c r="J881" s="45">
        <v>42776</v>
      </c>
      <c r="K881" s="45">
        <v>42776</v>
      </c>
      <c r="L881" s="45"/>
    </row>
    <row r="882" spans="1:12" ht="17.100000000000001" customHeight="1">
      <c r="A882" s="43" t="s">
        <v>377</v>
      </c>
      <c r="B882" s="44" t="s">
        <v>379</v>
      </c>
      <c r="C882" s="44" t="s">
        <v>120</v>
      </c>
      <c r="D882" s="85">
        <v>10104913389</v>
      </c>
      <c r="E882" s="44" t="s">
        <v>1390</v>
      </c>
      <c r="F882" s="44" t="s">
        <v>180</v>
      </c>
      <c r="G882" s="44" t="s">
        <v>903</v>
      </c>
      <c r="H882" s="44" t="s">
        <v>332</v>
      </c>
      <c r="I882" s="45">
        <v>42777</v>
      </c>
      <c r="J882" s="45">
        <v>42777</v>
      </c>
      <c r="K882" s="45">
        <v>42776</v>
      </c>
      <c r="L882" s="45"/>
    </row>
    <row r="883" spans="1:12" ht="17.100000000000001" customHeight="1">
      <c r="A883" s="43" t="s">
        <v>377</v>
      </c>
      <c r="B883" s="44" t="s">
        <v>378</v>
      </c>
      <c r="C883" s="44" t="s">
        <v>120</v>
      </c>
      <c r="D883" s="85">
        <v>10104937008</v>
      </c>
      <c r="E883" s="44" t="s">
        <v>1391</v>
      </c>
      <c r="F883" s="44" t="s">
        <v>180</v>
      </c>
      <c r="G883" s="44" t="s">
        <v>578</v>
      </c>
      <c r="H883" s="44" t="s">
        <v>223</v>
      </c>
      <c r="I883" s="45">
        <v>42786</v>
      </c>
      <c r="J883" s="45">
        <v>42790</v>
      </c>
      <c r="K883" s="45">
        <v>42775</v>
      </c>
      <c r="L883" s="45"/>
    </row>
    <row r="884" spans="1:12" ht="17.100000000000001" customHeight="1">
      <c r="A884" s="43" t="s">
        <v>377</v>
      </c>
      <c r="B884" s="44" t="s">
        <v>378</v>
      </c>
      <c r="C884" s="44" t="s">
        <v>120</v>
      </c>
      <c r="D884" s="85">
        <v>10104930800</v>
      </c>
      <c r="E884" s="44" t="s">
        <v>1392</v>
      </c>
      <c r="F884" s="44" t="s">
        <v>180</v>
      </c>
      <c r="G884" s="44" t="s">
        <v>427</v>
      </c>
      <c r="H884" s="44" t="s">
        <v>223</v>
      </c>
      <c r="I884" s="45">
        <v>42790</v>
      </c>
      <c r="J884" s="45">
        <v>42790</v>
      </c>
      <c r="K884" s="45">
        <v>42769</v>
      </c>
      <c r="L884" s="45"/>
    </row>
    <row r="885" spans="1:12" ht="17.100000000000001" customHeight="1">
      <c r="A885" s="43" t="s">
        <v>377</v>
      </c>
      <c r="B885" s="44" t="s">
        <v>378</v>
      </c>
      <c r="C885" s="44" t="s">
        <v>120</v>
      </c>
      <c r="D885" s="85">
        <v>10104930797</v>
      </c>
      <c r="E885" s="44" t="s">
        <v>1393</v>
      </c>
      <c r="F885" s="44" t="s">
        <v>180</v>
      </c>
      <c r="G885" s="44" t="s">
        <v>428</v>
      </c>
      <c r="H885" s="44" t="s">
        <v>223</v>
      </c>
      <c r="I885" s="45">
        <v>42790</v>
      </c>
      <c r="J885" s="45">
        <v>42790</v>
      </c>
      <c r="K885" s="45">
        <v>42769</v>
      </c>
      <c r="L885" s="45"/>
    </row>
    <row r="886" spans="1:12" ht="17.100000000000001" customHeight="1">
      <c r="A886" s="43" t="s">
        <v>377</v>
      </c>
      <c r="B886" s="44" t="s">
        <v>379</v>
      </c>
      <c r="C886" s="44" t="s">
        <v>120</v>
      </c>
      <c r="D886" s="85">
        <v>10104914404</v>
      </c>
      <c r="E886" s="44" t="s">
        <v>516</v>
      </c>
      <c r="F886" s="44" t="s">
        <v>216</v>
      </c>
      <c r="G886" s="44" t="s">
        <v>517</v>
      </c>
      <c r="H886" s="44" t="s">
        <v>76</v>
      </c>
      <c r="I886" s="45">
        <v>42779</v>
      </c>
      <c r="J886" s="45">
        <v>42779</v>
      </c>
      <c r="K886" s="45"/>
      <c r="L886" s="45"/>
    </row>
    <row r="887" spans="1:12" ht="17.100000000000001" customHeight="1">
      <c r="A887" s="43" t="s">
        <v>377</v>
      </c>
      <c r="B887" s="44" t="s">
        <v>379</v>
      </c>
      <c r="C887" s="44" t="s">
        <v>120</v>
      </c>
      <c r="D887" s="85">
        <v>10104913388</v>
      </c>
      <c r="E887" s="44" t="s">
        <v>1394</v>
      </c>
      <c r="F887" s="44" t="s">
        <v>222</v>
      </c>
      <c r="G887" s="44" t="s">
        <v>1395</v>
      </c>
      <c r="H887" s="44" t="s">
        <v>332</v>
      </c>
      <c r="I887" s="45">
        <v>42774</v>
      </c>
      <c r="J887" s="45">
        <v>42774</v>
      </c>
      <c r="K887" s="45">
        <v>42774</v>
      </c>
      <c r="L887" s="45"/>
    </row>
    <row r="888" spans="1:12" ht="17.100000000000001" customHeight="1">
      <c r="A888" s="43" t="s">
        <v>377</v>
      </c>
      <c r="B888" s="44" t="s">
        <v>378</v>
      </c>
      <c r="C888" s="44" t="s">
        <v>120</v>
      </c>
      <c r="D888" s="85">
        <v>10104963900</v>
      </c>
      <c r="E888" s="44" t="s">
        <v>685</v>
      </c>
      <c r="F888" s="44" t="s">
        <v>180</v>
      </c>
      <c r="G888" s="44" t="s">
        <v>637</v>
      </c>
      <c r="H888" s="44" t="s">
        <v>223</v>
      </c>
      <c r="I888" s="45">
        <v>42792</v>
      </c>
      <c r="J888" s="45">
        <v>42796</v>
      </c>
      <c r="K888" s="45">
        <v>42786</v>
      </c>
      <c r="L888" s="45"/>
    </row>
    <row r="889" spans="1:12" ht="17.100000000000001" customHeight="1">
      <c r="A889" s="43" t="s">
        <v>377</v>
      </c>
      <c r="B889" s="44" t="s">
        <v>378</v>
      </c>
      <c r="C889" s="44" t="s">
        <v>120</v>
      </c>
      <c r="D889" s="85">
        <v>10104957567</v>
      </c>
      <c r="E889" s="44" t="s">
        <v>1396</v>
      </c>
      <c r="F889" s="44" t="s">
        <v>180</v>
      </c>
      <c r="G889" s="44" t="s">
        <v>637</v>
      </c>
      <c r="H889" s="44" t="s">
        <v>223</v>
      </c>
      <c r="I889" s="45">
        <v>42791</v>
      </c>
      <c r="J889" s="45">
        <v>42796</v>
      </c>
      <c r="K889" s="45">
        <v>42786</v>
      </c>
      <c r="L889" s="45"/>
    </row>
    <row r="890" spans="1:12" ht="17.100000000000001" customHeight="1">
      <c r="A890" s="43" t="s">
        <v>377</v>
      </c>
      <c r="B890" s="44" t="s">
        <v>378</v>
      </c>
      <c r="C890" s="44" t="s">
        <v>120</v>
      </c>
      <c r="D890" s="85">
        <v>10104963902</v>
      </c>
      <c r="E890" s="44" t="s">
        <v>683</v>
      </c>
      <c r="F890" s="44" t="s">
        <v>180</v>
      </c>
      <c r="G890" s="44" t="s">
        <v>637</v>
      </c>
      <c r="H890" s="44" t="s">
        <v>223</v>
      </c>
      <c r="I890" s="45">
        <v>42792</v>
      </c>
      <c r="J890" s="45">
        <v>42796</v>
      </c>
      <c r="K890" s="45">
        <v>42786</v>
      </c>
      <c r="L890" s="45"/>
    </row>
    <row r="891" spans="1:12" ht="17.100000000000001" customHeight="1">
      <c r="A891" s="43" t="s">
        <v>377</v>
      </c>
      <c r="B891" s="44" t="s">
        <v>378</v>
      </c>
      <c r="C891" s="44" t="s">
        <v>120</v>
      </c>
      <c r="D891" s="85">
        <v>10104962399</v>
      </c>
      <c r="E891" s="44" t="s">
        <v>686</v>
      </c>
      <c r="F891" s="44" t="s">
        <v>180</v>
      </c>
      <c r="G891" s="44" t="s">
        <v>637</v>
      </c>
      <c r="H891" s="44" t="s">
        <v>223</v>
      </c>
      <c r="I891" s="45">
        <v>42791</v>
      </c>
      <c r="J891" s="45">
        <v>42796</v>
      </c>
      <c r="K891" s="45">
        <v>42786</v>
      </c>
      <c r="L891" s="45"/>
    </row>
    <row r="892" spans="1:12" ht="17.100000000000001" customHeight="1">
      <c r="A892" s="43" t="s">
        <v>377</v>
      </c>
      <c r="B892" s="44" t="s">
        <v>378</v>
      </c>
      <c r="C892" s="44" t="s">
        <v>120</v>
      </c>
      <c r="D892" s="85">
        <v>10104962388</v>
      </c>
      <c r="E892" s="44" t="s">
        <v>684</v>
      </c>
      <c r="F892" s="44" t="s">
        <v>180</v>
      </c>
      <c r="G892" s="44" t="s">
        <v>637</v>
      </c>
      <c r="H892" s="44" t="s">
        <v>223</v>
      </c>
      <c r="I892" s="45">
        <v>42791</v>
      </c>
      <c r="J892" s="45">
        <v>42796</v>
      </c>
      <c r="K892" s="45">
        <v>42786</v>
      </c>
      <c r="L892" s="45"/>
    </row>
    <row r="893" spans="1:12" ht="17.100000000000001" customHeight="1">
      <c r="A893" s="43" t="s">
        <v>450</v>
      </c>
      <c r="B893" s="44" t="s">
        <v>451</v>
      </c>
      <c r="C893" s="44" t="s">
        <v>73</v>
      </c>
      <c r="D893" s="85">
        <v>10104956486</v>
      </c>
      <c r="E893" s="44" t="s">
        <v>530</v>
      </c>
      <c r="F893" s="44" t="s">
        <v>829</v>
      </c>
      <c r="G893" s="44" t="s">
        <v>531</v>
      </c>
      <c r="H893" s="44" t="s">
        <v>76</v>
      </c>
      <c r="I893" s="45">
        <v>42791</v>
      </c>
      <c r="J893" s="45">
        <v>42796</v>
      </c>
      <c r="K893" s="45"/>
      <c r="L893" s="45"/>
    </row>
    <row r="894" spans="1:12" ht="17.100000000000001" customHeight="1">
      <c r="A894" s="43" t="s">
        <v>450</v>
      </c>
      <c r="B894" s="44" t="s">
        <v>451</v>
      </c>
      <c r="C894" s="44" t="s">
        <v>73</v>
      </c>
      <c r="D894" s="85">
        <v>10104930946</v>
      </c>
      <c r="E894" s="44" t="s">
        <v>571</v>
      </c>
      <c r="F894" s="44" t="s">
        <v>829</v>
      </c>
      <c r="G894" s="44" t="s">
        <v>531</v>
      </c>
      <c r="H894" s="44" t="s">
        <v>76</v>
      </c>
      <c r="I894" s="45">
        <v>42770</v>
      </c>
      <c r="J894" s="45">
        <v>42776</v>
      </c>
      <c r="K894" s="45"/>
      <c r="L894" s="45"/>
    </row>
    <row r="895" spans="1:12" ht="17.100000000000001" customHeight="1">
      <c r="A895" s="43" t="s">
        <v>450</v>
      </c>
      <c r="B895" s="44" t="s">
        <v>451</v>
      </c>
      <c r="C895" s="44" t="s">
        <v>73</v>
      </c>
      <c r="D895" s="85">
        <v>10104939724</v>
      </c>
      <c r="E895" s="44" t="s">
        <v>530</v>
      </c>
      <c r="F895" s="44" t="s">
        <v>829</v>
      </c>
      <c r="G895" s="44" t="s">
        <v>531</v>
      </c>
      <c r="H895" s="44" t="s">
        <v>76</v>
      </c>
      <c r="I895" s="45">
        <v>42777</v>
      </c>
      <c r="J895" s="45">
        <v>42791</v>
      </c>
      <c r="K895" s="45"/>
      <c r="L895" s="45"/>
    </row>
    <row r="896" spans="1:12" ht="17.100000000000001" customHeight="1">
      <c r="A896" s="43" t="s">
        <v>450</v>
      </c>
      <c r="B896" s="44" t="s">
        <v>451</v>
      </c>
      <c r="C896" s="44" t="s">
        <v>73</v>
      </c>
      <c r="D896" s="85">
        <v>10104947881</v>
      </c>
      <c r="E896" s="44" t="s">
        <v>571</v>
      </c>
      <c r="F896" s="44" t="s">
        <v>829</v>
      </c>
      <c r="G896" s="44" t="s">
        <v>531</v>
      </c>
      <c r="H896" s="44" t="s">
        <v>76</v>
      </c>
      <c r="I896" s="45">
        <v>42784</v>
      </c>
      <c r="J896" s="45">
        <v>42791</v>
      </c>
      <c r="K896" s="45"/>
      <c r="L896" s="45"/>
    </row>
    <row r="897" spans="1:12" ht="17.100000000000001" customHeight="1">
      <c r="A897" s="43" t="s">
        <v>450</v>
      </c>
      <c r="B897" s="44" t="s">
        <v>451</v>
      </c>
      <c r="C897" s="44" t="s">
        <v>73</v>
      </c>
      <c r="D897" s="85">
        <v>10104947746</v>
      </c>
      <c r="E897" s="44" t="s">
        <v>532</v>
      </c>
      <c r="F897" s="44" t="s">
        <v>146</v>
      </c>
      <c r="G897" s="44" t="s">
        <v>315</v>
      </c>
      <c r="H897" s="44" t="s">
        <v>76</v>
      </c>
      <c r="I897" s="45">
        <v>42784</v>
      </c>
      <c r="J897" s="45">
        <v>42791</v>
      </c>
      <c r="K897" s="45"/>
      <c r="L897" s="45"/>
    </row>
    <row r="898" spans="1:12" ht="17.100000000000001" customHeight="1">
      <c r="A898" s="43" t="s">
        <v>450</v>
      </c>
      <c r="B898" s="44" t="s">
        <v>451</v>
      </c>
      <c r="C898" s="44" t="s">
        <v>73</v>
      </c>
      <c r="D898" s="85">
        <v>10104932032</v>
      </c>
      <c r="E898" s="44" t="s">
        <v>1397</v>
      </c>
      <c r="F898" s="44" t="s">
        <v>146</v>
      </c>
      <c r="G898" s="44" t="s">
        <v>315</v>
      </c>
      <c r="H898" s="44" t="s">
        <v>76</v>
      </c>
      <c r="I898" s="45">
        <v>42770</v>
      </c>
      <c r="J898" s="45">
        <v>42776</v>
      </c>
      <c r="K898" s="45"/>
      <c r="L898" s="45"/>
    </row>
    <row r="899" spans="1:12" ht="17.100000000000001" customHeight="1">
      <c r="A899" s="43" t="s">
        <v>450</v>
      </c>
      <c r="B899" s="44" t="s">
        <v>451</v>
      </c>
      <c r="C899" s="44" t="s">
        <v>73</v>
      </c>
      <c r="D899" s="85">
        <v>10104939590</v>
      </c>
      <c r="E899" s="44" t="s">
        <v>532</v>
      </c>
      <c r="F899" s="44" t="s">
        <v>146</v>
      </c>
      <c r="G899" s="44" t="s">
        <v>315</v>
      </c>
      <c r="H899" s="44" t="s">
        <v>76</v>
      </c>
      <c r="I899" s="45">
        <v>42777</v>
      </c>
      <c r="J899" s="45">
        <v>42791</v>
      </c>
      <c r="K899" s="45"/>
      <c r="L899" s="45"/>
    </row>
    <row r="900" spans="1:12" ht="17.100000000000001" customHeight="1">
      <c r="A900" s="43" t="s">
        <v>450</v>
      </c>
      <c r="B900" s="44" t="s">
        <v>451</v>
      </c>
      <c r="C900" s="44" t="s">
        <v>73</v>
      </c>
      <c r="D900" s="85">
        <v>10104956295</v>
      </c>
      <c r="E900" s="44" t="s">
        <v>532</v>
      </c>
      <c r="F900" s="44" t="s">
        <v>146</v>
      </c>
      <c r="G900" s="44" t="s">
        <v>315</v>
      </c>
      <c r="H900" s="44" t="s">
        <v>76</v>
      </c>
      <c r="I900" s="45">
        <v>42791</v>
      </c>
      <c r="J900" s="45">
        <v>42796</v>
      </c>
      <c r="K900" s="45"/>
      <c r="L900" s="45"/>
    </row>
    <row r="901" spans="1:12" ht="17.100000000000001" customHeight="1">
      <c r="A901" s="43" t="s">
        <v>450</v>
      </c>
      <c r="B901" s="44" t="s">
        <v>451</v>
      </c>
      <c r="C901" s="44" t="s">
        <v>73</v>
      </c>
      <c r="D901" s="85">
        <v>10104930983</v>
      </c>
      <c r="E901" s="44" t="s">
        <v>534</v>
      </c>
      <c r="F901" s="44" t="s">
        <v>829</v>
      </c>
      <c r="G901" s="44" t="s">
        <v>452</v>
      </c>
      <c r="H901" s="44" t="s">
        <v>76</v>
      </c>
      <c r="I901" s="45">
        <v>42770</v>
      </c>
      <c r="J901" s="45">
        <v>42776</v>
      </c>
      <c r="K901" s="45"/>
      <c r="L901" s="45"/>
    </row>
    <row r="902" spans="1:12" ht="17.100000000000001" customHeight="1">
      <c r="A902" s="43" t="s">
        <v>450</v>
      </c>
      <c r="B902" s="44" t="s">
        <v>451</v>
      </c>
      <c r="C902" s="44" t="s">
        <v>73</v>
      </c>
      <c r="D902" s="85">
        <v>10104939761</v>
      </c>
      <c r="E902" s="44" t="s">
        <v>534</v>
      </c>
      <c r="F902" s="44" t="s">
        <v>829</v>
      </c>
      <c r="G902" s="44" t="s">
        <v>452</v>
      </c>
      <c r="H902" s="44" t="s">
        <v>76</v>
      </c>
      <c r="I902" s="45">
        <v>42777</v>
      </c>
      <c r="J902" s="45">
        <v>42791</v>
      </c>
      <c r="K902" s="45"/>
      <c r="L902" s="45"/>
    </row>
    <row r="903" spans="1:12" ht="17.100000000000001" customHeight="1">
      <c r="A903" s="43" t="s">
        <v>450</v>
      </c>
      <c r="B903" s="44" t="s">
        <v>451</v>
      </c>
      <c r="C903" s="44" t="s">
        <v>73</v>
      </c>
      <c r="D903" s="85">
        <v>10104947912</v>
      </c>
      <c r="E903" s="44" t="s">
        <v>534</v>
      </c>
      <c r="F903" s="44" t="s">
        <v>829</v>
      </c>
      <c r="G903" s="44" t="s">
        <v>452</v>
      </c>
      <c r="H903" s="44" t="s">
        <v>76</v>
      </c>
      <c r="I903" s="45">
        <v>42784</v>
      </c>
      <c r="J903" s="45">
        <v>42791</v>
      </c>
      <c r="K903" s="45"/>
      <c r="L903" s="45"/>
    </row>
    <row r="904" spans="1:12" ht="17.100000000000001" customHeight="1">
      <c r="A904" s="43" t="s">
        <v>450</v>
      </c>
      <c r="B904" s="44" t="s">
        <v>451</v>
      </c>
      <c r="C904" s="44" t="s">
        <v>73</v>
      </c>
      <c r="D904" s="85">
        <v>10104956506</v>
      </c>
      <c r="E904" s="44" t="s">
        <v>534</v>
      </c>
      <c r="F904" s="44" t="s">
        <v>829</v>
      </c>
      <c r="G904" s="44" t="s">
        <v>452</v>
      </c>
      <c r="H904" s="44" t="s">
        <v>76</v>
      </c>
      <c r="I904" s="45">
        <v>42791</v>
      </c>
      <c r="J904" s="45">
        <v>42796</v>
      </c>
      <c r="K904" s="45"/>
      <c r="L904" s="45"/>
    </row>
    <row r="905" spans="1:12" ht="17.100000000000001" customHeight="1">
      <c r="A905" s="43" t="s">
        <v>450</v>
      </c>
      <c r="B905" s="44" t="s">
        <v>451</v>
      </c>
      <c r="C905" s="44" t="s">
        <v>73</v>
      </c>
      <c r="D905" s="85">
        <v>10104947895</v>
      </c>
      <c r="E905" s="44" t="s">
        <v>824</v>
      </c>
      <c r="F905" s="44" t="s">
        <v>829</v>
      </c>
      <c r="G905" s="44" t="s">
        <v>178</v>
      </c>
      <c r="H905" s="44" t="s">
        <v>76</v>
      </c>
      <c r="I905" s="45">
        <v>42784</v>
      </c>
      <c r="J905" s="45">
        <v>42791</v>
      </c>
      <c r="K905" s="45"/>
      <c r="L905" s="45"/>
    </row>
    <row r="906" spans="1:12" ht="17.100000000000001" customHeight="1">
      <c r="A906" s="43" t="s">
        <v>450</v>
      </c>
      <c r="B906" s="44" t="s">
        <v>451</v>
      </c>
      <c r="C906" s="44" t="s">
        <v>73</v>
      </c>
      <c r="D906" s="85">
        <v>10104930962</v>
      </c>
      <c r="E906" s="44" t="s">
        <v>824</v>
      </c>
      <c r="F906" s="44" t="s">
        <v>829</v>
      </c>
      <c r="G906" s="44" t="s">
        <v>178</v>
      </c>
      <c r="H906" s="44" t="s">
        <v>76</v>
      </c>
      <c r="I906" s="45">
        <v>42770</v>
      </c>
      <c r="J906" s="45">
        <v>42776</v>
      </c>
      <c r="K906" s="45"/>
      <c r="L906" s="45"/>
    </row>
    <row r="907" spans="1:12" ht="17.100000000000001" customHeight="1">
      <c r="A907" s="43" t="s">
        <v>450</v>
      </c>
      <c r="B907" s="44" t="s">
        <v>451</v>
      </c>
      <c r="C907" s="44" t="s">
        <v>73</v>
      </c>
      <c r="D907" s="85">
        <v>10104939723</v>
      </c>
      <c r="E907" s="44" t="s">
        <v>536</v>
      </c>
      <c r="F907" s="44" t="s">
        <v>829</v>
      </c>
      <c r="G907" s="44" t="s">
        <v>496</v>
      </c>
      <c r="H907" s="44" t="s">
        <v>76</v>
      </c>
      <c r="I907" s="45">
        <v>42777</v>
      </c>
      <c r="J907" s="45">
        <v>42791</v>
      </c>
      <c r="K907" s="45"/>
      <c r="L907" s="45"/>
    </row>
    <row r="908" spans="1:12" ht="17.100000000000001" customHeight="1">
      <c r="A908" s="43" t="s">
        <v>450</v>
      </c>
      <c r="B908" s="44" t="s">
        <v>451</v>
      </c>
      <c r="C908" s="44" t="s">
        <v>73</v>
      </c>
      <c r="D908" s="85">
        <v>10104956485</v>
      </c>
      <c r="E908" s="44" t="s">
        <v>536</v>
      </c>
      <c r="F908" s="44" t="s">
        <v>829</v>
      </c>
      <c r="G908" s="44" t="s">
        <v>496</v>
      </c>
      <c r="H908" s="44" t="s">
        <v>76</v>
      </c>
      <c r="I908" s="45">
        <v>42791</v>
      </c>
      <c r="J908" s="45">
        <v>42796</v>
      </c>
      <c r="K908" s="45"/>
      <c r="L908" s="45"/>
    </row>
    <row r="909" spans="1:12" ht="17.100000000000001" customHeight="1">
      <c r="A909" s="43" t="s">
        <v>450</v>
      </c>
      <c r="B909" s="44" t="s">
        <v>179</v>
      </c>
      <c r="C909" s="44" t="s">
        <v>73</v>
      </c>
      <c r="D909" s="85">
        <v>10104930699</v>
      </c>
      <c r="E909" s="44" t="s">
        <v>757</v>
      </c>
      <c r="F909" s="44" t="s">
        <v>146</v>
      </c>
      <c r="G909" s="44" t="s">
        <v>211</v>
      </c>
      <c r="H909" s="44" t="s">
        <v>250</v>
      </c>
      <c r="I909" s="45">
        <v>42770</v>
      </c>
      <c r="J909" s="45">
        <v>42776</v>
      </c>
      <c r="K909" s="45"/>
      <c r="L909" s="45"/>
    </row>
    <row r="910" spans="1:12" ht="17.100000000000001" customHeight="1">
      <c r="A910" s="43" t="s">
        <v>450</v>
      </c>
      <c r="B910" s="44" t="s">
        <v>179</v>
      </c>
      <c r="C910" s="44" t="s">
        <v>73</v>
      </c>
      <c r="D910" s="85">
        <v>10104956178</v>
      </c>
      <c r="E910" s="44" t="s">
        <v>757</v>
      </c>
      <c r="F910" s="44" t="s">
        <v>146</v>
      </c>
      <c r="G910" s="44" t="s">
        <v>211</v>
      </c>
      <c r="H910" s="44" t="s">
        <v>250</v>
      </c>
      <c r="I910" s="45">
        <v>42791</v>
      </c>
      <c r="J910" s="45">
        <v>42796</v>
      </c>
      <c r="K910" s="45"/>
      <c r="L910" s="45"/>
    </row>
    <row r="911" spans="1:12" ht="17.100000000000001" customHeight="1">
      <c r="A911" s="43" t="s">
        <v>450</v>
      </c>
      <c r="B911" s="44" t="s">
        <v>179</v>
      </c>
      <c r="C911" s="44" t="s">
        <v>73</v>
      </c>
      <c r="D911" s="85">
        <v>10104947707</v>
      </c>
      <c r="E911" s="44" t="s">
        <v>757</v>
      </c>
      <c r="F911" s="44" t="s">
        <v>146</v>
      </c>
      <c r="G911" s="44" t="s">
        <v>211</v>
      </c>
      <c r="H911" s="44" t="s">
        <v>250</v>
      </c>
      <c r="I911" s="45">
        <v>42784</v>
      </c>
      <c r="J911" s="45">
        <v>42791</v>
      </c>
      <c r="K911" s="45"/>
      <c r="L911" s="45"/>
    </row>
    <row r="912" spans="1:12" ht="17.100000000000001" customHeight="1">
      <c r="A912" s="43" t="s">
        <v>450</v>
      </c>
      <c r="B912" s="44" t="s">
        <v>179</v>
      </c>
      <c r="C912" s="44" t="s">
        <v>73</v>
      </c>
      <c r="D912" s="85">
        <v>10104939494</v>
      </c>
      <c r="E912" s="44" t="s">
        <v>757</v>
      </c>
      <c r="F912" s="44" t="s">
        <v>146</v>
      </c>
      <c r="G912" s="44" t="s">
        <v>211</v>
      </c>
      <c r="H912" s="44" t="s">
        <v>250</v>
      </c>
      <c r="I912" s="45">
        <v>42777</v>
      </c>
      <c r="J912" s="45">
        <v>42791</v>
      </c>
      <c r="K912" s="45"/>
      <c r="L912" s="45"/>
    </row>
    <row r="913" spans="1:12" ht="17.100000000000001" customHeight="1">
      <c r="A913" s="43" t="s">
        <v>450</v>
      </c>
      <c r="B913" s="44" t="s">
        <v>451</v>
      </c>
      <c r="C913" s="44" t="s">
        <v>73</v>
      </c>
      <c r="D913" s="85">
        <v>10104956487</v>
      </c>
      <c r="E913" s="44" t="s">
        <v>540</v>
      </c>
      <c r="F913" s="44" t="s">
        <v>829</v>
      </c>
      <c r="G913" s="44" t="s">
        <v>347</v>
      </c>
      <c r="H913" s="44" t="s">
        <v>76</v>
      </c>
      <c r="I913" s="45">
        <v>42791</v>
      </c>
      <c r="J913" s="45">
        <v>42796</v>
      </c>
      <c r="K913" s="45"/>
      <c r="L913" s="45"/>
    </row>
    <row r="914" spans="1:12" ht="17.100000000000001" customHeight="1">
      <c r="A914" s="43" t="s">
        <v>450</v>
      </c>
      <c r="B914" s="44" t="s">
        <v>451</v>
      </c>
      <c r="C914" s="44" t="s">
        <v>73</v>
      </c>
      <c r="D914" s="85">
        <v>10104939725</v>
      </c>
      <c r="E914" s="44" t="s">
        <v>540</v>
      </c>
      <c r="F914" s="44" t="s">
        <v>829</v>
      </c>
      <c r="G914" s="44" t="s">
        <v>347</v>
      </c>
      <c r="H914" s="44" t="s">
        <v>76</v>
      </c>
      <c r="I914" s="45">
        <v>42777</v>
      </c>
      <c r="J914" s="45">
        <v>42791</v>
      </c>
      <c r="K914" s="45"/>
      <c r="L914" s="45"/>
    </row>
    <row r="915" spans="1:12" ht="17.100000000000001" customHeight="1">
      <c r="A915" s="43" t="s">
        <v>450</v>
      </c>
      <c r="B915" s="44" t="s">
        <v>451</v>
      </c>
      <c r="C915" s="44" t="s">
        <v>120</v>
      </c>
      <c r="D915" s="85">
        <v>10104930769</v>
      </c>
      <c r="E915" s="44" t="s">
        <v>1398</v>
      </c>
      <c r="F915" s="44" t="s">
        <v>1399</v>
      </c>
      <c r="G915" s="44" t="s">
        <v>315</v>
      </c>
      <c r="H915" s="44" t="s">
        <v>250</v>
      </c>
      <c r="I915" s="45">
        <v>42782</v>
      </c>
      <c r="J915" s="45">
        <v>42782</v>
      </c>
      <c r="K915" s="45"/>
      <c r="L915" s="45"/>
    </row>
    <row r="916" spans="1:12" ht="17.100000000000001" customHeight="1">
      <c r="A916" s="43" t="s">
        <v>450</v>
      </c>
      <c r="B916" s="44" t="s">
        <v>451</v>
      </c>
      <c r="C916" s="44" t="s">
        <v>120</v>
      </c>
      <c r="D916" s="85">
        <v>10104948855</v>
      </c>
      <c r="E916" s="44" t="s">
        <v>1400</v>
      </c>
      <c r="F916" s="44" t="s">
        <v>213</v>
      </c>
      <c r="G916" s="44" t="s">
        <v>315</v>
      </c>
      <c r="H916" s="44" t="s">
        <v>332</v>
      </c>
      <c r="I916" s="45">
        <v>42793</v>
      </c>
      <c r="J916" s="45">
        <v>42793</v>
      </c>
      <c r="K916" s="45">
        <v>42790</v>
      </c>
      <c r="L916" s="45"/>
    </row>
    <row r="917" spans="1:12" ht="17.100000000000001" customHeight="1">
      <c r="A917" s="43" t="s">
        <v>450</v>
      </c>
      <c r="B917" s="44" t="s">
        <v>451</v>
      </c>
      <c r="C917" s="44" t="s">
        <v>120</v>
      </c>
      <c r="D917" s="85">
        <v>10104948868</v>
      </c>
      <c r="E917" s="44" t="s">
        <v>1401</v>
      </c>
      <c r="F917" s="44" t="s">
        <v>213</v>
      </c>
      <c r="G917" s="44" t="s">
        <v>226</v>
      </c>
      <c r="H917" s="44" t="s">
        <v>332</v>
      </c>
      <c r="I917" s="45">
        <v>42793</v>
      </c>
      <c r="J917" s="45">
        <v>42793</v>
      </c>
      <c r="K917" s="45">
        <v>42790</v>
      </c>
      <c r="L917" s="45"/>
    </row>
    <row r="918" spans="1:12" ht="17.100000000000001" customHeight="1">
      <c r="A918" s="43" t="s">
        <v>450</v>
      </c>
      <c r="B918" s="44" t="s">
        <v>451</v>
      </c>
      <c r="C918" s="44" t="s">
        <v>120</v>
      </c>
      <c r="D918" s="85">
        <v>10104923862</v>
      </c>
      <c r="E918" s="44" t="s">
        <v>1402</v>
      </c>
      <c r="F918" s="44" t="s">
        <v>1403</v>
      </c>
      <c r="G918" s="44" t="s">
        <v>496</v>
      </c>
      <c r="H918" s="44" t="s">
        <v>76</v>
      </c>
      <c r="I918" s="45">
        <v>42791</v>
      </c>
      <c r="J918" s="45">
        <v>42791</v>
      </c>
      <c r="K918" s="45"/>
      <c r="L918" s="45"/>
    </row>
    <row r="919" spans="1:12" ht="17.100000000000001" customHeight="1">
      <c r="A919" s="43" t="s">
        <v>450</v>
      </c>
      <c r="B919" s="44" t="s">
        <v>451</v>
      </c>
      <c r="C919" s="44" t="s">
        <v>120</v>
      </c>
      <c r="D919" s="85">
        <v>10104925478</v>
      </c>
      <c r="E919" s="44" t="s">
        <v>1404</v>
      </c>
      <c r="F919" s="44" t="s">
        <v>1403</v>
      </c>
      <c r="G919" s="44" t="s">
        <v>199</v>
      </c>
      <c r="H919" s="44" t="s">
        <v>76</v>
      </c>
      <c r="I919" s="45">
        <v>42790</v>
      </c>
      <c r="J919" s="45">
        <v>42796</v>
      </c>
      <c r="K919" s="45"/>
      <c r="L919" s="45"/>
    </row>
    <row r="920" spans="1:12" ht="17.100000000000001" customHeight="1">
      <c r="A920" s="43" t="s">
        <v>450</v>
      </c>
      <c r="B920" s="44" t="s">
        <v>179</v>
      </c>
      <c r="C920" s="44" t="s">
        <v>120</v>
      </c>
      <c r="D920" s="85">
        <v>10104909892</v>
      </c>
      <c r="E920" s="44" t="s">
        <v>1405</v>
      </c>
      <c r="F920" s="44" t="s">
        <v>1399</v>
      </c>
      <c r="G920" s="44" t="s">
        <v>211</v>
      </c>
      <c r="H920" s="44" t="s">
        <v>250</v>
      </c>
      <c r="I920" s="45">
        <v>42777</v>
      </c>
      <c r="J920" s="45">
        <v>42782</v>
      </c>
      <c r="K920" s="45"/>
      <c r="L920" s="45"/>
    </row>
    <row r="921" spans="1:12" ht="17.100000000000001" customHeight="1">
      <c r="A921" s="43" t="s">
        <v>450</v>
      </c>
      <c r="B921" s="44" t="s">
        <v>451</v>
      </c>
      <c r="C921" s="44" t="s">
        <v>120</v>
      </c>
      <c r="D921" s="85">
        <v>10104922496</v>
      </c>
      <c r="E921" s="44" t="s">
        <v>1406</v>
      </c>
      <c r="F921" s="44" t="s">
        <v>1407</v>
      </c>
      <c r="G921" s="44" t="s">
        <v>211</v>
      </c>
      <c r="H921" s="44" t="s">
        <v>250</v>
      </c>
      <c r="I921" s="45">
        <v>42791</v>
      </c>
      <c r="J921" s="45">
        <v>42791</v>
      </c>
      <c r="K921" s="45"/>
      <c r="L921" s="45"/>
    </row>
    <row r="922" spans="1:12" ht="17.100000000000001" customHeight="1">
      <c r="A922" s="43" t="s">
        <v>453</v>
      </c>
      <c r="B922" s="44" t="s">
        <v>459</v>
      </c>
      <c r="C922" s="44" t="s">
        <v>73</v>
      </c>
      <c r="D922" s="85">
        <v>10104947899</v>
      </c>
      <c r="E922" s="44" t="s">
        <v>854</v>
      </c>
      <c r="F922" s="44" t="s">
        <v>75</v>
      </c>
      <c r="G922" s="44" t="s">
        <v>456</v>
      </c>
      <c r="H922" s="44" t="s">
        <v>76</v>
      </c>
      <c r="I922" s="45">
        <v>42779</v>
      </c>
      <c r="J922" s="45">
        <v>42790</v>
      </c>
      <c r="K922" s="45">
        <v>42790</v>
      </c>
      <c r="L922" s="45"/>
    </row>
    <row r="923" spans="1:12" ht="17.100000000000001" customHeight="1">
      <c r="A923" s="43" t="s">
        <v>453</v>
      </c>
      <c r="B923" s="44" t="s">
        <v>454</v>
      </c>
      <c r="C923" s="44" t="s">
        <v>73</v>
      </c>
      <c r="D923" s="85">
        <v>10104944152</v>
      </c>
      <c r="E923" s="44" t="s">
        <v>455</v>
      </c>
      <c r="F923" s="44" t="s">
        <v>75</v>
      </c>
      <c r="G923" s="44" t="s">
        <v>456</v>
      </c>
      <c r="H923" s="44" t="s">
        <v>76</v>
      </c>
      <c r="I923" s="45">
        <v>42784</v>
      </c>
      <c r="J923" s="45">
        <v>42790</v>
      </c>
      <c r="K923" s="45">
        <v>42790</v>
      </c>
      <c r="L923" s="45"/>
    </row>
    <row r="924" spans="1:12" ht="17.100000000000001" customHeight="1">
      <c r="A924" s="43" t="s">
        <v>453</v>
      </c>
      <c r="B924" s="44" t="s">
        <v>454</v>
      </c>
      <c r="C924" s="44" t="s">
        <v>73</v>
      </c>
      <c r="D924" s="85">
        <v>10104944153</v>
      </c>
      <c r="E924" s="44" t="s">
        <v>457</v>
      </c>
      <c r="F924" s="44" t="s">
        <v>75</v>
      </c>
      <c r="G924" s="44" t="s">
        <v>458</v>
      </c>
      <c r="H924" s="44" t="s">
        <v>76</v>
      </c>
      <c r="I924" s="45">
        <v>42784</v>
      </c>
      <c r="J924" s="45">
        <v>42790</v>
      </c>
      <c r="K924" s="45">
        <v>42790</v>
      </c>
      <c r="L924" s="45"/>
    </row>
    <row r="925" spans="1:12" ht="17.100000000000001" customHeight="1">
      <c r="A925" s="43" t="s">
        <v>453</v>
      </c>
      <c r="B925" s="44" t="s">
        <v>459</v>
      </c>
      <c r="C925" s="44" t="s">
        <v>73</v>
      </c>
      <c r="D925" s="85">
        <v>10104947892</v>
      </c>
      <c r="E925" s="44" t="s">
        <v>855</v>
      </c>
      <c r="F925" s="44" t="s">
        <v>75</v>
      </c>
      <c r="G925" s="44" t="s">
        <v>458</v>
      </c>
      <c r="H925" s="44" t="s">
        <v>76</v>
      </c>
      <c r="I925" s="45">
        <v>42779</v>
      </c>
      <c r="J925" s="45">
        <v>42790</v>
      </c>
      <c r="K925" s="45">
        <v>42790</v>
      </c>
      <c r="L925" s="45"/>
    </row>
    <row r="926" spans="1:12" ht="17.100000000000001" customHeight="1">
      <c r="A926" s="43" t="s">
        <v>453</v>
      </c>
      <c r="B926" s="44" t="s">
        <v>454</v>
      </c>
      <c r="C926" s="44" t="s">
        <v>120</v>
      </c>
      <c r="D926" s="85">
        <v>10104924814</v>
      </c>
      <c r="E926" s="44" t="s">
        <v>580</v>
      </c>
      <c r="F926" s="44" t="s">
        <v>949</v>
      </c>
      <c r="G926" s="44" t="s">
        <v>579</v>
      </c>
      <c r="H926" s="44" t="s">
        <v>76</v>
      </c>
      <c r="I926" s="45">
        <v>42788</v>
      </c>
      <c r="J926" s="45">
        <v>42790</v>
      </c>
      <c r="K926" s="45"/>
      <c r="L926" s="45"/>
    </row>
    <row r="927" spans="1:12" ht="17.100000000000001" customHeight="1">
      <c r="A927" s="43" t="s">
        <v>453</v>
      </c>
      <c r="B927" s="44" t="s">
        <v>459</v>
      </c>
      <c r="C927" s="44" t="s">
        <v>120</v>
      </c>
      <c r="D927" s="85">
        <v>10104918781</v>
      </c>
      <c r="E927" s="44" t="s">
        <v>719</v>
      </c>
      <c r="F927" s="44" t="s">
        <v>831</v>
      </c>
      <c r="G927" s="44" t="s">
        <v>542</v>
      </c>
      <c r="H927" s="44" t="s">
        <v>74</v>
      </c>
      <c r="I927" s="45">
        <v>42783</v>
      </c>
      <c r="J927" s="45">
        <v>42790</v>
      </c>
      <c r="K927" s="45"/>
      <c r="L927" s="45"/>
    </row>
    <row r="928" spans="1:12" ht="17.100000000000001" customHeight="1">
      <c r="A928" s="43" t="s">
        <v>453</v>
      </c>
      <c r="B928" s="44" t="s">
        <v>459</v>
      </c>
      <c r="C928" s="44" t="s">
        <v>120</v>
      </c>
      <c r="D928" s="85">
        <v>10104918806</v>
      </c>
      <c r="E928" s="44" t="s">
        <v>720</v>
      </c>
      <c r="F928" s="44" t="s">
        <v>831</v>
      </c>
      <c r="G928" s="44" t="s">
        <v>543</v>
      </c>
      <c r="H928" s="44" t="s">
        <v>74</v>
      </c>
      <c r="I928" s="45">
        <v>42783</v>
      </c>
      <c r="J928" s="45">
        <v>42790</v>
      </c>
      <c r="K928" s="45"/>
      <c r="L928" s="45"/>
    </row>
    <row r="929" spans="1:12" ht="17.100000000000001" customHeight="1">
      <c r="A929" s="43" t="s">
        <v>453</v>
      </c>
      <c r="B929" s="44" t="s">
        <v>459</v>
      </c>
      <c r="C929" s="44" t="s">
        <v>120</v>
      </c>
      <c r="D929" s="85">
        <v>10104918700</v>
      </c>
      <c r="E929" s="44" t="s">
        <v>692</v>
      </c>
      <c r="F929" s="44" t="s">
        <v>180</v>
      </c>
      <c r="G929" s="44" t="s">
        <v>544</v>
      </c>
      <c r="H929" s="44" t="s">
        <v>74</v>
      </c>
      <c r="I929" s="45">
        <v>42783</v>
      </c>
      <c r="J929" s="45">
        <v>42790</v>
      </c>
      <c r="K929" s="45">
        <v>42790</v>
      </c>
      <c r="L929" s="45"/>
    </row>
    <row r="930" spans="1:12" ht="17.100000000000001" customHeight="1">
      <c r="A930" s="43" t="s">
        <v>453</v>
      </c>
      <c r="B930" s="44" t="s">
        <v>459</v>
      </c>
      <c r="C930" s="44" t="s">
        <v>120</v>
      </c>
      <c r="D930" s="85">
        <v>10104918689</v>
      </c>
      <c r="E930" s="44" t="s">
        <v>721</v>
      </c>
      <c r="F930" s="44" t="s">
        <v>180</v>
      </c>
      <c r="G930" s="44" t="s">
        <v>545</v>
      </c>
      <c r="H930" s="44" t="s">
        <v>74</v>
      </c>
      <c r="I930" s="45">
        <v>42783</v>
      </c>
      <c r="J930" s="45">
        <v>42790</v>
      </c>
      <c r="K930" s="45">
        <v>42790</v>
      </c>
      <c r="L930" s="45"/>
    </row>
    <row r="931" spans="1:12" ht="17.100000000000001" customHeight="1">
      <c r="A931" s="43" t="s">
        <v>453</v>
      </c>
      <c r="B931" s="44" t="s">
        <v>459</v>
      </c>
      <c r="C931" s="44" t="s">
        <v>120</v>
      </c>
      <c r="D931" s="85">
        <v>10104930978</v>
      </c>
      <c r="E931" s="44" t="s">
        <v>1408</v>
      </c>
      <c r="F931" s="44" t="s">
        <v>180</v>
      </c>
      <c r="G931" s="44" t="s">
        <v>904</v>
      </c>
      <c r="H931" s="44" t="s">
        <v>332</v>
      </c>
      <c r="I931" s="45">
        <v>42783</v>
      </c>
      <c r="J931" s="45">
        <v>42783</v>
      </c>
      <c r="K931" s="45">
        <v>42783</v>
      </c>
      <c r="L931" s="45"/>
    </row>
    <row r="932" spans="1:12" ht="17.100000000000001" customHeight="1">
      <c r="A932" s="43" t="s">
        <v>453</v>
      </c>
      <c r="B932" s="44" t="s">
        <v>454</v>
      </c>
      <c r="C932" s="44" t="s">
        <v>120</v>
      </c>
      <c r="D932" s="85">
        <v>10104924803</v>
      </c>
      <c r="E932" s="44" t="s">
        <v>580</v>
      </c>
      <c r="F932" s="44" t="s">
        <v>949</v>
      </c>
      <c r="G932" s="44" t="s">
        <v>573</v>
      </c>
      <c r="H932" s="44" t="s">
        <v>76</v>
      </c>
      <c r="I932" s="45">
        <v>42788</v>
      </c>
      <c r="J932" s="45">
        <v>42790</v>
      </c>
      <c r="K932" s="45"/>
      <c r="L932" s="45"/>
    </row>
    <row r="933" spans="1:12" ht="17.100000000000001" customHeight="1">
      <c r="A933" s="43" t="s">
        <v>453</v>
      </c>
      <c r="B933" s="44" t="s">
        <v>459</v>
      </c>
      <c r="C933" s="44" t="s">
        <v>120</v>
      </c>
      <c r="D933" s="85">
        <v>10104918764</v>
      </c>
      <c r="E933" s="44" t="s">
        <v>638</v>
      </c>
      <c r="F933" s="44" t="s">
        <v>949</v>
      </c>
      <c r="G933" s="44" t="s">
        <v>546</v>
      </c>
      <c r="H933" s="44" t="s">
        <v>74</v>
      </c>
      <c r="I933" s="45">
        <v>42783</v>
      </c>
      <c r="J933" s="45">
        <v>42790</v>
      </c>
      <c r="K933" s="45"/>
      <c r="L933" s="45"/>
    </row>
    <row r="934" spans="1:12" ht="17.100000000000001" customHeight="1">
      <c r="A934" s="43" t="s">
        <v>453</v>
      </c>
      <c r="B934" s="44" t="s">
        <v>459</v>
      </c>
      <c r="C934" s="44" t="s">
        <v>120</v>
      </c>
      <c r="D934" s="85">
        <v>10104918703</v>
      </c>
      <c r="E934" s="44" t="s">
        <v>692</v>
      </c>
      <c r="F934" s="44" t="s">
        <v>180</v>
      </c>
      <c r="G934" s="44" t="s">
        <v>460</v>
      </c>
      <c r="H934" s="44" t="s">
        <v>74</v>
      </c>
      <c r="I934" s="45">
        <v>42783</v>
      </c>
      <c r="J934" s="45">
        <v>42790</v>
      </c>
      <c r="K934" s="45">
        <v>42790</v>
      </c>
      <c r="L934" s="45"/>
    </row>
    <row r="935" spans="1:12" ht="17.100000000000001" customHeight="1">
      <c r="A935" s="43" t="s">
        <v>453</v>
      </c>
      <c r="B935" s="44" t="s">
        <v>459</v>
      </c>
      <c r="C935" s="44" t="s">
        <v>120</v>
      </c>
      <c r="D935" s="85">
        <v>10104917318</v>
      </c>
      <c r="E935" s="44" t="s">
        <v>1409</v>
      </c>
      <c r="F935" s="44" t="s">
        <v>180</v>
      </c>
      <c r="G935" s="44" t="s">
        <v>460</v>
      </c>
      <c r="H935" s="44" t="s">
        <v>74</v>
      </c>
      <c r="I935" s="45">
        <v>42783</v>
      </c>
      <c r="J935" s="45">
        <v>42790</v>
      </c>
      <c r="K935" s="45">
        <v>42790</v>
      </c>
      <c r="L935" s="45"/>
    </row>
    <row r="936" spans="1:12" ht="17.100000000000001" customHeight="1">
      <c r="A936" s="43" t="s">
        <v>453</v>
      </c>
      <c r="B936" s="44" t="s">
        <v>459</v>
      </c>
      <c r="C936" s="44" t="s">
        <v>120</v>
      </c>
      <c r="D936" s="85">
        <v>10104918704</v>
      </c>
      <c r="E936" s="44" t="s">
        <v>905</v>
      </c>
      <c r="F936" s="44" t="s">
        <v>949</v>
      </c>
      <c r="G936" s="44" t="s">
        <v>547</v>
      </c>
      <c r="H936" s="44" t="s">
        <v>74</v>
      </c>
      <c r="I936" s="45">
        <v>42783</v>
      </c>
      <c r="J936" s="45">
        <v>42790</v>
      </c>
      <c r="K936" s="45"/>
      <c r="L936" s="45"/>
    </row>
    <row r="937" spans="1:12" ht="17.100000000000001" customHeight="1">
      <c r="A937" s="43" t="s">
        <v>453</v>
      </c>
      <c r="B937" s="44" t="s">
        <v>459</v>
      </c>
      <c r="C937" s="44" t="s">
        <v>120</v>
      </c>
      <c r="D937" s="85">
        <v>10104918803</v>
      </c>
      <c r="E937" s="44" t="s">
        <v>722</v>
      </c>
      <c r="F937" s="44" t="s">
        <v>180</v>
      </c>
      <c r="G937" s="44" t="s">
        <v>548</v>
      </c>
      <c r="H937" s="44" t="s">
        <v>74</v>
      </c>
      <c r="I937" s="45">
        <v>42783</v>
      </c>
      <c r="J937" s="45">
        <v>42790</v>
      </c>
      <c r="K937" s="45">
        <v>42790</v>
      </c>
      <c r="L937" s="45"/>
    </row>
    <row r="938" spans="1:12" ht="17.100000000000001" customHeight="1">
      <c r="A938" s="43" t="s">
        <v>453</v>
      </c>
      <c r="B938" s="44" t="s">
        <v>459</v>
      </c>
      <c r="C938" s="44" t="s">
        <v>120</v>
      </c>
      <c r="D938" s="85">
        <v>10104917244</v>
      </c>
      <c r="E938" s="44" t="s">
        <v>1410</v>
      </c>
      <c r="F938" s="44" t="s">
        <v>180</v>
      </c>
      <c r="G938" s="44" t="s">
        <v>548</v>
      </c>
      <c r="H938" s="44" t="s">
        <v>74</v>
      </c>
      <c r="I938" s="45">
        <v>42783</v>
      </c>
      <c r="J938" s="45">
        <v>42790</v>
      </c>
      <c r="K938" s="45">
        <v>42790</v>
      </c>
      <c r="L938" s="45"/>
    </row>
    <row r="939" spans="1:12" ht="17.100000000000001" customHeight="1">
      <c r="A939" s="43" t="s">
        <v>453</v>
      </c>
      <c r="B939" s="44" t="s">
        <v>459</v>
      </c>
      <c r="C939" s="44" t="s">
        <v>120</v>
      </c>
      <c r="D939" s="85">
        <v>10104930955</v>
      </c>
      <c r="E939" s="44" t="s">
        <v>1411</v>
      </c>
      <c r="F939" s="44" t="s">
        <v>180</v>
      </c>
      <c r="G939" s="44" t="s">
        <v>906</v>
      </c>
      <c r="H939" s="44" t="s">
        <v>332</v>
      </c>
      <c r="I939" s="45">
        <v>42783</v>
      </c>
      <c r="J939" s="45">
        <v>42783</v>
      </c>
      <c r="K939" s="45">
        <v>42783</v>
      </c>
      <c r="L939" s="45"/>
    </row>
    <row r="940" spans="1:12" ht="17.100000000000001" customHeight="1">
      <c r="A940" s="43" t="s">
        <v>453</v>
      </c>
      <c r="B940" s="44" t="s">
        <v>459</v>
      </c>
      <c r="C940" s="44" t="s">
        <v>120</v>
      </c>
      <c r="D940" s="85">
        <v>10104917245</v>
      </c>
      <c r="E940" s="44" t="s">
        <v>1412</v>
      </c>
      <c r="F940" s="44" t="s">
        <v>831</v>
      </c>
      <c r="G940" s="44" t="s">
        <v>906</v>
      </c>
      <c r="H940" s="44" t="s">
        <v>74</v>
      </c>
      <c r="I940" s="45">
        <v>42783</v>
      </c>
      <c r="J940" s="45">
        <v>42790</v>
      </c>
      <c r="K940" s="45"/>
      <c r="L940" s="45"/>
    </row>
    <row r="941" spans="1:12" ht="17.100000000000001" customHeight="1">
      <c r="A941" s="43" t="s">
        <v>453</v>
      </c>
      <c r="B941" s="44" t="s">
        <v>459</v>
      </c>
      <c r="C941" s="44" t="s">
        <v>120</v>
      </c>
      <c r="D941" s="85">
        <v>10104918706</v>
      </c>
      <c r="E941" s="44" t="s">
        <v>723</v>
      </c>
      <c r="F941" s="44" t="s">
        <v>949</v>
      </c>
      <c r="G941" s="44" t="s">
        <v>549</v>
      </c>
      <c r="H941" s="44" t="s">
        <v>74</v>
      </c>
      <c r="I941" s="45">
        <v>42783</v>
      </c>
      <c r="J941" s="45">
        <v>42790</v>
      </c>
      <c r="K941" s="45"/>
      <c r="L941" s="45"/>
    </row>
    <row r="942" spans="1:12" ht="17.100000000000001" customHeight="1">
      <c r="A942" s="43" t="s">
        <v>453</v>
      </c>
      <c r="B942" s="44" t="s">
        <v>454</v>
      </c>
      <c r="C942" s="44" t="s">
        <v>120</v>
      </c>
      <c r="D942" s="85">
        <v>10104918776</v>
      </c>
      <c r="E942" s="44" t="s">
        <v>461</v>
      </c>
      <c r="F942" s="44" t="s">
        <v>1413</v>
      </c>
      <c r="G942" s="44" t="s">
        <v>456</v>
      </c>
      <c r="H942" s="44" t="s">
        <v>76</v>
      </c>
      <c r="I942" s="45">
        <v>42783</v>
      </c>
      <c r="J942" s="45">
        <v>42789</v>
      </c>
      <c r="K942" s="45">
        <v>42784</v>
      </c>
      <c r="L942" s="45"/>
    </row>
    <row r="943" spans="1:12" ht="17.100000000000001" customHeight="1">
      <c r="A943" s="43" t="s">
        <v>453</v>
      </c>
      <c r="B943" s="44" t="s">
        <v>459</v>
      </c>
      <c r="C943" s="44" t="s">
        <v>120</v>
      </c>
      <c r="D943" s="85">
        <v>10104918804</v>
      </c>
      <c r="E943" s="44" t="s">
        <v>724</v>
      </c>
      <c r="F943" s="44" t="s">
        <v>949</v>
      </c>
      <c r="G943" s="44" t="s">
        <v>456</v>
      </c>
      <c r="H943" s="44" t="s">
        <v>74</v>
      </c>
      <c r="I943" s="45">
        <v>42783</v>
      </c>
      <c r="J943" s="45">
        <v>42790</v>
      </c>
      <c r="K943" s="45"/>
      <c r="L943" s="45"/>
    </row>
    <row r="944" spans="1:12" ht="17.100000000000001" customHeight="1">
      <c r="A944" s="43" t="s">
        <v>453</v>
      </c>
      <c r="B944" s="44" t="s">
        <v>454</v>
      </c>
      <c r="C944" s="44" t="s">
        <v>120</v>
      </c>
      <c r="D944" s="85">
        <v>10104918782</v>
      </c>
      <c r="E944" s="44" t="s">
        <v>462</v>
      </c>
      <c r="F944" s="44" t="s">
        <v>949</v>
      </c>
      <c r="G944" s="44" t="s">
        <v>458</v>
      </c>
      <c r="H944" s="44" t="s">
        <v>76</v>
      </c>
      <c r="I944" s="45">
        <v>42783</v>
      </c>
      <c r="J944" s="45">
        <v>42790</v>
      </c>
      <c r="K944" s="45"/>
      <c r="L944" s="45"/>
    </row>
    <row r="945" spans="1:12" ht="17.100000000000001" customHeight="1">
      <c r="A945" s="43" t="s">
        <v>453</v>
      </c>
      <c r="B945" s="44" t="s">
        <v>459</v>
      </c>
      <c r="C945" s="44" t="s">
        <v>120</v>
      </c>
      <c r="D945" s="85">
        <v>10104918707</v>
      </c>
      <c r="E945" s="44" t="s">
        <v>725</v>
      </c>
      <c r="F945" s="44" t="s">
        <v>831</v>
      </c>
      <c r="G945" s="44" t="s">
        <v>458</v>
      </c>
      <c r="H945" s="44" t="s">
        <v>74</v>
      </c>
      <c r="I945" s="45">
        <v>42783</v>
      </c>
      <c r="J945" s="45">
        <v>42790</v>
      </c>
      <c r="K945" s="45"/>
      <c r="L945" s="45"/>
    </row>
    <row r="946" spans="1:12" ht="17.100000000000001" customHeight="1">
      <c r="A946" s="43" t="s">
        <v>453</v>
      </c>
      <c r="B946" s="44" t="s">
        <v>454</v>
      </c>
      <c r="C946" s="44" t="s">
        <v>120</v>
      </c>
      <c r="D946" s="85">
        <v>10104918775</v>
      </c>
      <c r="E946" s="44" t="s">
        <v>463</v>
      </c>
      <c r="F946" s="44" t="s">
        <v>831</v>
      </c>
      <c r="G946" s="44" t="s">
        <v>464</v>
      </c>
      <c r="H946" s="44" t="s">
        <v>76</v>
      </c>
      <c r="I946" s="45">
        <v>42790</v>
      </c>
      <c r="J946" s="45">
        <v>42790</v>
      </c>
      <c r="K946" s="45"/>
      <c r="L946" s="45"/>
    </row>
    <row r="947" spans="1:12" ht="17.100000000000001" customHeight="1">
      <c r="A947" s="43" t="s">
        <v>453</v>
      </c>
      <c r="B947" s="44" t="s">
        <v>454</v>
      </c>
      <c r="C947" s="44" t="s">
        <v>120</v>
      </c>
      <c r="D947" s="85">
        <v>10104918784</v>
      </c>
      <c r="E947" s="44" t="s">
        <v>726</v>
      </c>
      <c r="F947" s="44" t="s">
        <v>949</v>
      </c>
      <c r="G947" s="44" t="s">
        <v>464</v>
      </c>
      <c r="H947" s="44" t="s">
        <v>74</v>
      </c>
      <c r="I947" s="45">
        <v>42783</v>
      </c>
      <c r="J947" s="45">
        <v>42790</v>
      </c>
      <c r="K947" s="45"/>
      <c r="L947" s="45"/>
    </row>
    <row r="948" spans="1:12" ht="17.100000000000001" customHeight="1">
      <c r="A948" s="43" t="s">
        <v>453</v>
      </c>
      <c r="B948" s="44" t="s">
        <v>454</v>
      </c>
      <c r="C948" s="44" t="s">
        <v>120</v>
      </c>
      <c r="D948" s="85">
        <v>10104918778</v>
      </c>
      <c r="E948" s="44" t="s">
        <v>518</v>
      </c>
      <c r="F948" s="44" t="s">
        <v>831</v>
      </c>
      <c r="G948" s="44" t="s">
        <v>465</v>
      </c>
      <c r="H948" s="44" t="s">
        <v>76</v>
      </c>
      <c r="I948" s="45">
        <v>42790</v>
      </c>
      <c r="J948" s="45">
        <v>42790</v>
      </c>
      <c r="K948" s="45"/>
      <c r="L948" s="45"/>
    </row>
    <row r="949" spans="1:12" ht="17.100000000000001" customHeight="1">
      <c r="A949" s="43" t="s">
        <v>453</v>
      </c>
      <c r="B949" s="44" t="s">
        <v>454</v>
      </c>
      <c r="C949" s="44" t="s">
        <v>120</v>
      </c>
      <c r="D949" s="85">
        <v>10104918785</v>
      </c>
      <c r="E949" s="44" t="s">
        <v>727</v>
      </c>
      <c r="F949" s="44" t="s">
        <v>949</v>
      </c>
      <c r="G949" s="44" t="s">
        <v>465</v>
      </c>
      <c r="H949" s="44" t="s">
        <v>74</v>
      </c>
      <c r="I949" s="45">
        <v>42783</v>
      </c>
      <c r="J949" s="45">
        <v>42790</v>
      </c>
      <c r="K949" s="45"/>
      <c r="L949" s="45"/>
    </row>
    <row r="950" spans="1:12" ht="17.100000000000001" customHeight="1">
      <c r="A950" s="43" t="s">
        <v>453</v>
      </c>
      <c r="B950" s="44" t="s">
        <v>454</v>
      </c>
      <c r="C950" s="44" t="s">
        <v>120</v>
      </c>
      <c r="D950" s="85">
        <v>10104927259</v>
      </c>
      <c r="E950" s="44" t="s">
        <v>825</v>
      </c>
      <c r="F950" s="44" t="s">
        <v>222</v>
      </c>
      <c r="G950" s="44" t="s">
        <v>687</v>
      </c>
      <c r="H950" s="44" t="s">
        <v>688</v>
      </c>
      <c r="I950" s="45">
        <v>42783</v>
      </c>
      <c r="J950" s="45">
        <v>42783</v>
      </c>
      <c r="K950" s="45">
        <v>42783</v>
      </c>
      <c r="L950" s="45"/>
    </row>
    <row r="951" spans="1:12" ht="17.100000000000001" customHeight="1">
      <c r="A951" s="43" t="s">
        <v>453</v>
      </c>
      <c r="B951" s="44" t="s">
        <v>459</v>
      </c>
      <c r="C951" s="44" t="s">
        <v>120</v>
      </c>
      <c r="D951" s="85">
        <v>10104918766</v>
      </c>
      <c r="E951" s="44" t="s">
        <v>874</v>
      </c>
      <c r="F951" s="44" t="s">
        <v>180</v>
      </c>
      <c r="G951" s="44" t="s">
        <v>550</v>
      </c>
      <c r="H951" s="44" t="s">
        <v>74</v>
      </c>
      <c r="I951" s="45">
        <v>42783</v>
      </c>
      <c r="J951" s="45">
        <v>42790</v>
      </c>
      <c r="K951" s="45">
        <v>42790</v>
      </c>
      <c r="L951" s="45"/>
    </row>
    <row r="952" spans="1:12" ht="17.100000000000001" customHeight="1">
      <c r="A952" s="43" t="s">
        <v>453</v>
      </c>
      <c r="B952" s="44" t="s">
        <v>454</v>
      </c>
      <c r="C952" s="44" t="s">
        <v>120</v>
      </c>
      <c r="D952" s="85">
        <v>10104918777</v>
      </c>
      <c r="E952" s="44" t="s">
        <v>551</v>
      </c>
      <c r="F952" s="44" t="s">
        <v>949</v>
      </c>
      <c r="G952" s="44" t="s">
        <v>552</v>
      </c>
      <c r="H952" s="44" t="s">
        <v>76</v>
      </c>
      <c r="I952" s="45">
        <v>42783</v>
      </c>
      <c r="J952" s="45">
        <v>42790</v>
      </c>
      <c r="K952" s="45"/>
      <c r="L952" s="45"/>
    </row>
    <row r="953" spans="1:12" ht="17.100000000000001" customHeight="1">
      <c r="A953" s="43" t="s">
        <v>453</v>
      </c>
      <c r="B953" s="44" t="s">
        <v>459</v>
      </c>
      <c r="C953" s="44" t="s">
        <v>120</v>
      </c>
      <c r="D953" s="85">
        <v>10104918696</v>
      </c>
      <c r="E953" s="44" t="s">
        <v>875</v>
      </c>
      <c r="F953" s="44" t="s">
        <v>949</v>
      </c>
      <c r="G953" s="44" t="s">
        <v>552</v>
      </c>
      <c r="H953" s="44" t="s">
        <v>74</v>
      </c>
      <c r="I953" s="45">
        <v>42783</v>
      </c>
      <c r="J953" s="45">
        <v>42790</v>
      </c>
      <c r="K953" s="45"/>
      <c r="L953" s="45"/>
    </row>
    <row r="954" spans="1:12" ht="17.100000000000001" customHeight="1">
      <c r="A954" s="43" t="s">
        <v>453</v>
      </c>
      <c r="B954" s="44" t="s">
        <v>459</v>
      </c>
      <c r="C954" s="44" t="s">
        <v>120</v>
      </c>
      <c r="D954" s="85">
        <v>10104918787</v>
      </c>
      <c r="E954" s="44" t="s">
        <v>689</v>
      </c>
      <c r="F954" s="44" t="s">
        <v>949</v>
      </c>
      <c r="G954" s="44" t="s">
        <v>690</v>
      </c>
      <c r="H954" s="44" t="s">
        <v>74</v>
      </c>
      <c r="I954" s="45">
        <v>42783</v>
      </c>
      <c r="J954" s="45">
        <v>42790</v>
      </c>
      <c r="K954" s="45"/>
      <c r="L954" s="45"/>
    </row>
    <row r="955" spans="1:12" ht="17.100000000000001" customHeight="1">
      <c r="A955" s="43" t="s">
        <v>453</v>
      </c>
      <c r="B955" s="44" t="s">
        <v>454</v>
      </c>
      <c r="C955" s="44" t="s">
        <v>120</v>
      </c>
      <c r="D955" s="85">
        <v>10104921452</v>
      </c>
      <c r="E955" s="44" t="s">
        <v>907</v>
      </c>
      <c r="F955" s="44" t="s">
        <v>949</v>
      </c>
      <c r="G955" s="44" t="s">
        <v>553</v>
      </c>
      <c r="H955" s="44" t="s">
        <v>76</v>
      </c>
      <c r="I955" s="45">
        <v>42785</v>
      </c>
      <c r="J955" s="45">
        <v>42790</v>
      </c>
      <c r="K955" s="45"/>
      <c r="L955" s="45"/>
    </row>
    <row r="956" spans="1:12" ht="17.100000000000001" customHeight="1">
      <c r="A956" s="43" t="s">
        <v>453</v>
      </c>
      <c r="B956" s="44" t="s">
        <v>459</v>
      </c>
      <c r="C956" s="44" t="s">
        <v>120</v>
      </c>
      <c r="D956" s="85">
        <v>10104918713</v>
      </c>
      <c r="E956" s="44" t="s">
        <v>876</v>
      </c>
      <c r="F956" s="44" t="s">
        <v>831</v>
      </c>
      <c r="G956" s="44" t="s">
        <v>553</v>
      </c>
      <c r="H956" s="44" t="s">
        <v>74</v>
      </c>
      <c r="I956" s="45">
        <v>42783</v>
      </c>
      <c r="J956" s="45">
        <v>42790</v>
      </c>
      <c r="K956" s="45"/>
      <c r="L956" s="45"/>
    </row>
    <row r="957" spans="1:12" ht="17.100000000000001" customHeight="1">
      <c r="A957" s="43" t="s">
        <v>453</v>
      </c>
      <c r="B957" s="44" t="s">
        <v>459</v>
      </c>
      <c r="C957" s="44" t="s">
        <v>120</v>
      </c>
      <c r="D957" s="85">
        <v>10104918725</v>
      </c>
      <c r="E957" s="44" t="s">
        <v>595</v>
      </c>
      <c r="F957" s="44" t="s">
        <v>949</v>
      </c>
      <c r="G957" s="44" t="s">
        <v>554</v>
      </c>
      <c r="H957" s="44" t="s">
        <v>74</v>
      </c>
      <c r="I957" s="45">
        <v>42783</v>
      </c>
      <c r="J957" s="45">
        <v>42790</v>
      </c>
      <c r="K957" s="45"/>
      <c r="L957" s="45"/>
    </row>
    <row r="958" spans="1:12" ht="17.100000000000001" customHeight="1">
      <c r="A958" s="43" t="s">
        <v>453</v>
      </c>
      <c r="B958" s="44" t="s">
        <v>459</v>
      </c>
      <c r="C958" s="44" t="s">
        <v>120</v>
      </c>
      <c r="D958" s="85">
        <v>10104918786</v>
      </c>
      <c r="E958" s="44" t="s">
        <v>638</v>
      </c>
      <c r="F958" s="44" t="s">
        <v>949</v>
      </c>
      <c r="G958" s="44" t="s">
        <v>555</v>
      </c>
      <c r="H958" s="44" t="s">
        <v>74</v>
      </c>
      <c r="I958" s="45">
        <v>42783</v>
      </c>
      <c r="J958" s="45">
        <v>42790</v>
      </c>
      <c r="K958" s="45"/>
      <c r="L958" s="45"/>
    </row>
    <row r="959" spans="1:12" ht="17.100000000000001" customHeight="1">
      <c r="A959" s="43" t="s">
        <v>453</v>
      </c>
      <c r="B959" s="44" t="s">
        <v>459</v>
      </c>
      <c r="C959" s="44" t="s">
        <v>120</v>
      </c>
      <c r="D959" s="85">
        <v>10104918808</v>
      </c>
      <c r="E959" s="44" t="s">
        <v>728</v>
      </c>
      <c r="F959" s="44" t="s">
        <v>180</v>
      </c>
      <c r="G959" s="44" t="s">
        <v>556</v>
      </c>
      <c r="H959" s="44" t="s">
        <v>74</v>
      </c>
      <c r="I959" s="45">
        <v>42783</v>
      </c>
      <c r="J959" s="45">
        <v>42790</v>
      </c>
      <c r="K959" s="45">
        <v>42790</v>
      </c>
      <c r="L959" s="45"/>
    </row>
    <row r="960" spans="1:12" ht="17.100000000000001" customHeight="1">
      <c r="A960" s="43" t="s">
        <v>453</v>
      </c>
      <c r="B960" s="44" t="s">
        <v>459</v>
      </c>
      <c r="C960" s="44" t="s">
        <v>120</v>
      </c>
      <c r="D960" s="85">
        <v>10104918698</v>
      </c>
      <c r="E960" s="44" t="s">
        <v>729</v>
      </c>
      <c r="F960" s="44" t="s">
        <v>949</v>
      </c>
      <c r="G960" s="44" t="s">
        <v>557</v>
      </c>
      <c r="H960" s="44" t="s">
        <v>74</v>
      </c>
      <c r="I960" s="45">
        <v>42783</v>
      </c>
      <c r="J960" s="45">
        <v>42790</v>
      </c>
      <c r="K960" s="45"/>
      <c r="L960" s="45"/>
    </row>
    <row r="961" spans="1:12" ht="17.100000000000001" customHeight="1">
      <c r="A961" s="43" t="s">
        <v>453</v>
      </c>
      <c r="B961" s="44" t="s">
        <v>459</v>
      </c>
      <c r="C961" s="44" t="s">
        <v>120</v>
      </c>
      <c r="D961" s="85">
        <v>10104918726</v>
      </c>
      <c r="E961" s="44" t="s">
        <v>730</v>
      </c>
      <c r="F961" s="44" t="s">
        <v>949</v>
      </c>
      <c r="G961" s="44" t="s">
        <v>558</v>
      </c>
      <c r="H961" s="44" t="s">
        <v>74</v>
      </c>
      <c r="I961" s="45">
        <v>42783</v>
      </c>
      <c r="J961" s="45">
        <v>42790</v>
      </c>
      <c r="K961" s="45"/>
      <c r="L961" s="45"/>
    </row>
    <row r="962" spans="1:12" ht="17.100000000000001" customHeight="1">
      <c r="A962" s="43" t="s">
        <v>453</v>
      </c>
      <c r="B962" s="44" t="s">
        <v>454</v>
      </c>
      <c r="C962" s="44" t="s">
        <v>120</v>
      </c>
      <c r="D962" s="85">
        <v>10104930948</v>
      </c>
      <c r="E962" s="44" t="s">
        <v>1414</v>
      </c>
      <c r="F962" s="44" t="s">
        <v>180</v>
      </c>
      <c r="G962" s="44" t="s">
        <v>558</v>
      </c>
      <c r="H962" s="44" t="s">
        <v>332</v>
      </c>
      <c r="I962" s="45">
        <v>42783</v>
      </c>
      <c r="J962" s="45">
        <v>42783</v>
      </c>
      <c r="K962" s="45">
        <v>42783</v>
      </c>
      <c r="L962" s="45"/>
    </row>
    <row r="963" spans="1:12" ht="17.100000000000001" customHeight="1">
      <c r="A963" s="43" t="s">
        <v>453</v>
      </c>
      <c r="B963" s="44" t="s">
        <v>459</v>
      </c>
      <c r="C963" s="44" t="s">
        <v>120</v>
      </c>
      <c r="D963" s="85">
        <v>10104918717</v>
      </c>
      <c r="E963" s="44" t="s">
        <v>731</v>
      </c>
      <c r="F963" s="44" t="s">
        <v>949</v>
      </c>
      <c r="G963" s="44" t="s">
        <v>559</v>
      </c>
      <c r="H963" s="44" t="s">
        <v>74</v>
      </c>
      <c r="I963" s="45">
        <v>42783</v>
      </c>
      <c r="J963" s="45">
        <v>42790</v>
      </c>
      <c r="K963" s="45"/>
      <c r="L963" s="45"/>
    </row>
    <row r="964" spans="1:12" ht="17.100000000000001" customHeight="1">
      <c r="A964" s="43" t="s">
        <v>453</v>
      </c>
      <c r="B964" s="44" t="s">
        <v>459</v>
      </c>
      <c r="C964" s="44" t="s">
        <v>120</v>
      </c>
      <c r="D964" s="85">
        <v>10104918715</v>
      </c>
      <c r="E964" s="44" t="s">
        <v>732</v>
      </c>
      <c r="F964" s="44" t="s">
        <v>949</v>
      </c>
      <c r="G964" s="44" t="s">
        <v>466</v>
      </c>
      <c r="H964" s="44" t="s">
        <v>74</v>
      </c>
      <c r="I964" s="45">
        <v>42783</v>
      </c>
      <c r="J964" s="45">
        <v>42790</v>
      </c>
      <c r="K964" s="45"/>
      <c r="L964" s="45"/>
    </row>
    <row r="965" spans="1:12" ht="17.100000000000001" customHeight="1">
      <c r="A965" s="43" t="s">
        <v>467</v>
      </c>
      <c r="B965" s="44" t="s">
        <v>468</v>
      </c>
      <c r="C965" s="44" t="s">
        <v>73</v>
      </c>
      <c r="D965" s="85">
        <v>10104920128</v>
      </c>
      <c r="E965" s="44" t="s">
        <v>469</v>
      </c>
      <c r="F965" s="44" t="s">
        <v>75</v>
      </c>
      <c r="G965" s="44" t="s">
        <v>470</v>
      </c>
      <c r="H965" s="44" t="s">
        <v>76</v>
      </c>
      <c r="I965" s="45">
        <v>42784</v>
      </c>
      <c r="J965" s="45">
        <v>42790</v>
      </c>
      <c r="K965" s="45">
        <v>42790</v>
      </c>
      <c r="L965" s="45"/>
    </row>
    <row r="966" spans="1:12" ht="17.100000000000001" customHeight="1">
      <c r="A966" s="43" t="s">
        <v>467</v>
      </c>
      <c r="B966" s="44" t="s">
        <v>468</v>
      </c>
      <c r="C966" s="44" t="s">
        <v>73</v>
      </c>
      <c r="D966" s="85">
        <v>10104920184</v>
      </c>
      <c r="E966" s="44" t="s">
        <v>471</v>
      </c>
      <c r="F966" s="44" t="s">
        <v>75</v>
      </c>
      <c r="G966" s="44" t="s">
        <v>472</v>
      </c>
      <c r="H966" s="44" t="s">
        <v>76</v>
      </c>
      <c r="I966" s="45">
        <v>42784</v>
      </c>
      <c r="J966" s="45">
        <v>42790</v>
      </c>
      <c r="K966" s="45">
        <v>42790</v>
      </c>
      <c r="L966" s="45"/>
    </row>
    <row r="967" spans="1:12" ht="17.100000000000001" customHeight="1">
      <c r="A967" s="43" t="s">
        <v>467</v>
      </c>
      <c r="B967" s="44" t="s">
        <v>468</v>
      </c>
      <c r="C967" s="44" t="s">
        <v>120</v>
      </c>
      <c r="D967" s="85">
        <v>10104920086</v>
      </c>
      <c r="E967" s="44" t="s">
        <v>581</v>
      </c>
      <c r="F967" s="44" t="s">
        <v>124</v>
      </c>
      <c r="G967" s="44" t="s">
        <v>470</v>
      </c>
      <c r="H967" s="44" t="s">
        <v>74</v>
      </c>
      <c r="I967" s="45">
        <v>42784</v>
      </c>
      <c r="J967" s="45">
        <v>42790</v>
      </c>
      <c r="K967" s="45"/>
      <c r="L967" s="45"/>
    </row>
    <row r="968" spans="1:12" ht="17.100000000000001" customHeight="1">
      <c r="A968" s="43" t="s">
        <v>467</v>
      </c>
      <c r="B968" s="44" t="s">
        <v>468</v>
      </c>
      <c r="C968" s="44" t="s">
        <v>120</v>
      </c>
      <c r="D968" s="85">
        <v>10104920190</v>
      </c>
      <c r="E968" s="44" t="s">
        <v>473</v>
      </c>
      <c r="F968" s="44" t="s">
        <v>124</v>
      </c>
      <c r="G968" s="44" t="s">
        <v>470</v>
      </c>
      <c r="H968" s="44" t="s">
        <v>76</v>
      </c>
      <c r="I968" s="45">
        <v>42784</v>
      </c>
      <c r="J968" s="45">
        <v>42790</v>
      </c>
      <c r="K968" s="45"/>
      <c r="L968" s="45"/>
    </row>
    <row r="969" spans="1:12" ht="17.100000000000001" customHeight="1">
      <c r="A969" s="43" t="s">
        <v>467</v>
      </c>
      <c r="B969" s="44" t="s">
        <v>468</v>
      </c>
      <c r="C969" s="44" t="s">
        <v>120</v>
      </c>
      <c r="D969" s="85">
        <v>10104917269</v>
      </c>
      <c r="E969" s="44" t="s">
        <v>1415</v>
      </c>
      <c r="F969" s="44" t="s">
        <v>124</v>
      </c>
      <c r="G969" s="44" t="s">
        <v>470</v>
      </c>
      <c r="H969" s="44" t="s">
        <v>74</v>
      </c>
      <c r="I969" s="45">
        <v>42783</v>
      </c>
      <c r="J969" s="45">
        <v>42790</v>
      </c>
      <c r="K969" s="45"/>
      <c r="L969" s="45"/>
    </row>
    <row r="970" spans="1:12" ht="17.100000000000001" customHeight="1">
      <c r="A970" s="43" t="s">
        <v>467</v>
      </c>
      <c r="B970" s="44" t="s">
        <v>468</v>
      </c>
      <c r="C970" s="44" t="s">
        <v>120</v>
      </c>
      <c r="D970" s="85">
        <v>10104920118</v>
      </c>
      <c r="E970" s="44" t="s">
        <v>582</v>
      </c>
      <c r="F970" s="44" t="s">
        <v>124</v>
      </c>
      <c r="G970" s="44" t="s">
        <v>472</v>
      </c>
      <c r="H970" s="44" t="s">
        <v>74</v>
      </c>
      <c r="I970" s="45">
        <v>42784</v>
      </c>
      <c r="J970" s="45">
        <v>42790</v>
      </c>
      <c r="K970" s="45"/>
      <c r="L970" s="45"/>
    </row>
    <row r="971" spans="1:12" ht="17.100000000000001" customHeight="1">
      <c r="A971" s="43" t="s">
        <v>467</v>
      </c>
      <c r="B971" s="44" t="s">
        <v>468</v>
      </c>
      <c r="C971" s="44" t="s">
        <v>120</v>
      </c>
      <c r="D971" s="85">
        <v>10104920132</v>
      </c>
      <c r="E971" s="44" t="s">
        <v>474</v>
      </c>
      <c r="F971" s="44" t="s">
        <v>124</v>
      </c>
      <c r="G971" s="44" t="s">
        <v>472</v>
      </c>
      <c r="H971" s="44" t="s">
        <v>76</v>
      </c>
      <c r="I971" s="45">
        <v>42784</v>
      </c>
      <c r="J971" s="45">
        <v>42790</v>
      </c>
      <c r="K971" s="45"/>
      <c r="L971" s="45"/>
    </row>
    <row r="972" spans="1:12" ht="17.100000000000001" customHeight="1">
      <c r="A972" s="43" t="s">
        <v>467</v>
      </c>
      <c r="B972" s="44" t="s">
        <v>468</v>
      </c>
      <c r="C972" s="44" t="s">
        <v>120</v>
      </c>
      <c r="D972" s="85">
        <v>10104911859</v>
      </c>
      <c r="E972" s="44" t="s">
        <v>1416</v>
      </c>
      <c r="F972" s="44" t="s">
        <v>124</v>
      </c>
      <c r="G972" s="44" t="s">
        <v>476</v>
      </c>
      <c r="H972" s="44" t="s">
        <v>76</v>
      </c>
      <c r="I972" s="45">
        <v>42794</v>
      </c>
      <c r="J972" s="45">
        <v>42790</v>
      </c>
      <c r="K972" s="45"/>
      <c r="L972" s="45"/>
    </row>
    <row r="973" spans="1:12" ht="17.100000000000001" customHeight="1">
      <c r="A973" s="43" t="s">
        <v>467</v>
      </c>
      <c r="B973" s="44" t="s">
        <v>468</v>
      </c>
      <c r="C973" s="44" t="s">
        <v>120</v>
      </c>
      <c r="D973" s="85">
        <v>10104911906</v>
      </c>
      <c r="E973" s="44" t="s">
        <v>1416</v>
      </c>
      <c r="F973" s="44" t="s">
        <v>124</v>
      </c>
      <c r="G973" s="44" t="s">
        <v>476</v>
      </c>
      <c r="H973" s="44" t="s">
        <v>76</v>
      </c>
      <c r="I973" s="45">
        <v>42794</v>
      </c>
      <c r="J973" s="45">
        <v>42790</v>
      </c>
      <c r="K973" s="45"/>
      <c r="L973" s="45"/>
    </row>
    <row r="974" spans="1:12" ht="17.100000000000001" customHeight="1">
      <c r="A974" s="43" t="s">
        <v>467</v>
      </c>
      <c r="B974" s="44" t="s">
        <v>468</v>
      </c>
      <c r="C974" s="44" t="s">
        <v>120</v>
      </c>
      <c r="D974" s="85">
        <v>10104920199</v>
      </c>
      <c r="E974" s="44" t="s">
        <v>475</v>
      </c>
      <c r="F974" s="44" t="s">
        <v>124</v>
      </c>
      <c r="G974" s="44" t="s">
        <v>476</v>
      </c>
      <c r="H974" s="44" t="s">
        <v>76</v>
      </c>
      <c r="I974" s="45">
        <v>42784</v>
      </c>
      <c r="J974" s="45">
        <v>42790</v>
      </c>
      <c r="K974" s="45"/>
      <c r="L974" s="45"/>
    </row>
    <row r="975" spans="1:12" ht="17.100000000000001" customHeight="1">
      <c r="A975" s="43" t="s">
        <v>467</v>
      </c>
      <c r="B975" s="44" t="s">
        <v>468</v>
      </c>
      <c r="C975" s="44" t="s">
        <v>120</v>
      </c>
      <c r="D975" s="85">
        <v>10104920100</v>
      </c>
      <c r="E975" s="44" t="s">
        <v>733</v>
      </c>
      <c r="F975" s="44" t="s">
        <v>124</v>
      </c>
      <c r="G975" s="44" t="s">
        <v>476</v>
      </c>
      <c r="H975" s="44" t="s">
        <v>74</v>
      </c>
      <c r="I975" s="45">
        <v>42784</v>
      </c>
      <c r="J975" s="45">
        <v>42790</v>
      </c>
      <c r="K975" s="45"/>
      <c r="L975" s="45"/>
    </row>
    <row r="976" spans="1:12" ht="17.100000000000001" customHeight="1">
      <c r="A976" s="43" t="s">
        <v>467</v>
      </c>
      <c r="B976" s="44" t="s">
        <v>468</v>
      </c>
      <c r="C976" s="44" t="s">
        <v>120</v>
      </c>
      <c r="D976" s="85">
        <v>10104920165</v>
      </c>
      <c r="E976" s="44" t="s">
        <v>477</v>
      </c>
      <c r="F976" s="44" t="s">
        <v>124</v>
      </c>
      <c r="G976" s="44" t="s">
        <v>478</v>
      </c>
      <c r="H976" s="44" t="s">
        <v>76</v>
      </c>
      <c r="I976" s="45">
        <v>42784</v>
      </c>
      <c r="J976" s="45">
        <v>42790</v>
      </c>
      <c r="K976" s="45"/>
      <c r="L976" s="45"/>
    </row>
    <row r="977" spans="1:12" ht="17.100000000000001" customHeight="1">
      <c r="A977" s="43" t="s">
        <v>467</v>
      </c>
      <c r="B977" s="44" t="s">
        <v>468</v>
      </c>
      <c r="C977" s="44" t="s">
        <v>120</v>
      </c>
      <c r="D977" s="85">
        <v>10104920188</v>
      </c>
      <c r="E977" s="44" t="s">
        <v>583</v>
      </c>
      <c r="F977" s="44" t="s">
        <v>124</v>
      </c>
      <c r="G977" s="44" t="s">
        <v>478</v>
      </c>
      <c r="H977" s="44" t="s">
        <v>74</v>
      </c>
      <c r="I977" s="45">
        <v>42784</v>
      </c>
      <c r="J977" s="45">
        <v>42790</v>
      </c>
      <c r="K977" s="45"/>
      <c r="L977" s="45"/>
    </row>
    <row r="978" spans="1:12" ht="17.100000000000001" customHeight="1">
      <c r="A978" s="43" t="s">
        <v>467</v>
      </c>
      <c r="B978" s="44" t="s">
        <v>468</v>
      </c>
      <c r="C978" s="44" t="s">
        <v>120</v>
      </c>
      <c r="D978" s="85">
        <v>10104920185</v>
      </c>
      <c r="E978" s="44" t="s">
        <v>479</v>
      </c>
      <c r="F978" s="44" t="s">
        <v>124</v>
      </c>
      <c r="G978" s="44" t="s">
        <v>480</v>
      </c>
      <c r="H978" s="44" t="s">
        <v>76</v>
      </c>
      <c r="I978" s="45">
        <v>42784</v>
      </c>
      <c r="J978" s="45">
        <v>42790</v>
      </c>
      <c r="K978" s="45"/>
      <c r="L978" s="45"/>
    </row>
    <row r="979" spans="1:12" ht="17.100000000000001" customHeight="1">
      <c r="A979" s="43" t="s">
        <v>467</v>
      </c>
      <c r="B979" s="44" t="s">
        <v>468</v>
      </c>
      <c r="C979" s="44" t="s">
        <v>120</v>
      </c>
      <c r="D979" s="85">
        <v>10104920189</v>
      </c>
      <c r="E979" s="44" t="s">
        <v>584</v>
      </c>
      <c r="F979" s="44" t="s">
        <v>124</v>
      </c>
      <c r="G979" s="44" t="s">
        <v>480</v>
      </c>
      <c r="H979" s="44" t="s">
        <v>74</v>
      </c>
      <c r="I979" s="45">
        <v>42784</v>
      </c>
      <c r="J979" s="45">
        <v>42790</v>
      </c>
      <c r="K979" s="45"/>
      <c r="L979" s="45"/>
    </row>
    <row r="980" spans="1:12" ht="17.100000000000001" customHeight="1">
      <c r="A980" s="43"/>
      <c r="B980" s="44"/>
      <c r="C980" s="44"/>
      <c r="D980" s="85"/>
      <c r="E980" s="44"/>
      <c r="F980" s="44"/>
      <c r="G980" s="44"/>
      <c r="H980" s="44"/>
      <c r="I980" s="45"/>
      <c r="J980" s="45"/>
      <c r="K980" s="45"/>
      <c r="L980" s="45"/>
    </row>
    <row r="981" spans="1:12" ht="17.100000000000001" customHeight="1">
      <c r="A981" s="43"/>
      <c r="B981" s="44"/>
      <c r="C981" s="44"/>
      <c r="D981" s="85"/>
      <c r="E981" s="44"/>
      <c r="F981" s="44"/>
      <c r="G981" s="44"/>
      <c r="H981" s="44"/>
      <c r="I981" s="45"/>
      <c r="J981" s="45"/>
      <c r="K981" s="45"/>
      <c r="L981" s="45"/>
    </row>
    <row r="982" spans="1:12" ht="17.100000000000001" customHeight="1">
      <c r="A982" s="43"/>
      <c r="B982" s="44"/>
      <c r="C982" s="44"/>
      <c r="D982" s="85"/>
      <c r="E982" s="44"/>
      <c r="F982" s="44"/>
      <c r="G982" s="44"/>
      <c r="H982" s="44"/>
      <c r="I982" s="45"/>
      <c r="J982" s="45"/>
      <c r="K982" s="45"/>
      <c r="L982" s="45"/>
    </row>
    <row r="983" spans="1:12" ht="17.100000000000001" customHeight="1">
      <c r="A983" s="43"/>
      <c r="B983" s="44"/>
      <c r="C983" s="44"/>
      <c r="D983" s="85"/>
      <c r="E983" s="44"/>
      <c r="F983" s="44"/>
      <c r="G983" s="44"/>
      <c r="H983" s="44"/>
      <c r="I983" s="45"/>
      <c r="J983" s="45"/>
      <c r="K983" s="45"/>
      <c r="L983" s="45"/>
    </row>
    <row r="984" spans="1:12" ht="17.100000000000001" customHeight="1">
      <c r="A984" s="43"/>
      <c r="B984" s="44"/>
      <c r="C984" s="44"/>
      <c r="D984" s="85"/>
      <c r="E984" s="44"/>
      <c r="F984" s="44"/>
      <c r="G984" s="44"/>
      <c r="H984" s="44"/>
      <c r="I984" s="45"/>
      <c r="J984" s="45"/>
      <c r="K984" s="45"/>
      <c r="L984" s="45"/>
    </row>
    <row r="985" spans="1:12" ht="17.100000000000001" customHeight="1">
      <c r="A985" s="43"/>
      <c r="B985" s="44"/>
      <c r="C985" s="44"/>
      <c r="D985" s="85"/>
      <c r="E985" s="44"/>
      <c r="F985" s="44"/>
      <c r="G985" s="44"/>
      <c r="H985" s="44"/>
      <c r="I985" s="45"/>
      <c r="J985" s="45"/>
      <c r="K985" s="45"/>
      <c r="L985" s="45"/>
    </row>
    <row r="986" spans="1:12" ht="17.100000000000001" customHeight="1">
      <c r="A986" s="43"/>
      <c r="B986" s="44"/>
      <c r="C986" s="44"/>
      <c r="D986" s="85"/>
      <c r="E986" s="44"/>
      <c r="F986" s="44"/>
      <c r="G986" s="44"/>
      <c r="H986" s="44"/>
      <c r="I986" s="45"/>
      <c r="J986" s="45"/>
      <c r="K986" s="45"/>
      <c r="L986" s="45"/>
    </row>
    <row r="987" spans="1:12" ht="17.100000000000001" customHeight="1">
      <c r="A987" s="43"/>
      <c r="B987" s="44"/>
      <c r="C987" s="44"/>
      <c r="D987" s="85"/>
      <c r="E987" s="44"/>
      <c r="F987" s="44"/>
      <c r="G987" s="44"/>
      <c r="H987" s="44"/>
      <c r="I987" s="45"/>
      <c r="J987" s="45"/>
      <c r="K987" s="45"/>
      <c r="L987" s="45"/>
    </row>
    <row r="988" spans="1:12" ht="17.100000000000001" customHeight="1">
      <c r="A988" s="43"/>
      <c r="B988" s="44"/>
      <c r="C988" s="44"/>
      <c r="D988" s="85"/>
      <c r="E988" s="44"/>
      <c r="F988" s="44"/>
      <c r="G988" s="44"/>
      <c r="H988" s="44"/>
      <c r="I988" s="45"/>
      <c r="J988" s="45"/>
      <c r="K988" s="45"/>
      <c r="L988" s="45"/>
    </row>
    <row r="989" spans="1:12" ht="17.100000000000001" customHeight="1">
      <c r="A989" s="43"/>
      <c r="B989" s="44"/>
      <c r="C989" s="44"/>
      <c r="D989" s="85"/>
      <c r="E989" s="44"/>
      <c r="F989" s="44"/>
      <c r="G989" s="44"/>
      <c r="H989" s="44"/>
      <c r="I989" s="45"/>
      <c r="J989" s="45"/>
      <c r="K989" s="45"/>
      <c r="L989" s="45"/>
    </row>
    <row r="990" spans="1:12" ht="17.100000000000001" customHeight="1">
      <c r="A990" s="43"/>
      <c r="B990" s="44"/>
      <c r="C990" s="44"/>
      <c r="D990" s="85"/>
      <c r="E990" s="44"/>
      <c r="F990" s="44"/>
      <c r="G990" s="44"/>
      <c r="H990" s="44"/>
      <c r="I990" s="45"/>
      <c r="J990" s="45"/>
      <c r="K990" s="45"/>
      <c r="L990" s="45"/>
    </row>
    <row r="991" spans="1:12" ht="17.100000000000001" customHeight="1">
      <c r="A991" s="43"/>
      <c r="B991" s="44"/>
      <c r="C991" s="44"/>
      <c r="D991" s="85"/>
      <c r="E991" s="44"/>
      <c r="F991" s="44"/>
      <c r="G991" s="44"/>
      <c r="H991" s="44"/>
      <c r="I991" s="45"/>
      <c r="J991" s="45"/>
      <c r="K991" s="45"/>
      <c r="L991" s="45"/>
    </row>
    <row r="992" spans="1:12" ht="17.100000000000001" customHeight="1">
      <c r="A992" s="43"/>
      <c r="B992" s="44"/>
      <c r="C992" s="44"/>
      <c r="D992" s="85"/>
      <c r="E992" s="44"/>
      <c r="F992" s="44"/>
      <c r="G992" s="44"/>
      <c r="H992" s="44"/>
      <c r="I992" s="45"/>
      <c r="J992" s="45"/>
      <c r="K992" s="45"/>
      <c r="L992" s="45"/>
    </row>
    <row r="993" spans="1:12" ht="17.100000000000001" customHeight="1">
      <c r="A993" s="43"/>
      <c r="B993" s="44"/>
      <c r="C993" s="44"/>
      <c r="D993" s="85"/>
      <c r="E993" s="44"/>
      <c r="F993" s="44"/>
      <c r="G993" s="44"/>
      <c r="H993" s="44"/>
      <c r="I993" s="45"/>
      <c r="J993" s="45"/>
      <c r="K993" s="45"/>
      <c r="L993" s="45"/>
    </row>
    <row r="994" spans="1:12" ht="17.100000000000001" customHeight="1">
      <c r="A994" s="43"/>
      <c r="B994" s="44"/>
      <c r="C994" s="44"/>
      <c r="D994" s="85"/>
      <c r="E994" s="44"/>
      <c r="F994" s="44"/>
      <c r="G994" s="44"/>
      <c r="H994" s="44"/>
      <c r="I994" s="45"/>
      <c r="J994" s="45"/>
      <c r="K994" s="45"/>
      <c r="L994" s="45"/>
    </row>
    <row r="995" spans="1:12" ht="17.100000000000001" customHeight="1">
      <c r="A995" s="43"/>
      <c r="B995" s="44"/>
      <c r="C995" s="44"/>
      <c r="D995" s="85"/>
      <c r="E995" s="44"/>
      <c r="F995" s="44"/>
      <c r="G995" s="44"/>
      <c r="H995" s="44"/>
      <c r="I995" s="45"/>
      <c r="J995" s="45"/>
      <c r="K995" s="45"/>
      <c r="L995" s="45"/>
    </row>
    <row r="996" spans="1:12" ht="17.100000000000001" customHeight="1">
      <c r="A996" s="43"/>
      <c r="B996" s="44"/>
      <c r="C996" s="44"/>
      <c r="D996" s="85"/>
      <c r="E996" s="44"/>
      <c r="F996" s="44"/>
      <c r="G996" s="44"/>
      <c r="H996" s="44"/>
      <c r="I996" s="45"/>
      <c r="J996" s="45"/>
      <c r="K996" s="45"/>
      <c r="L996" s="45"/>
    </row>
    <row r="997" spans="1:12" ht="17.100000000000001" customHeight="1">
      <c r="A997" s="43"/>
      <c r="B997" s="44"/>
      <c r="C997" s="44"/>
      <c r="D997" s="85"/>
      <c r="E997" s="44"/>
      <c r="F997" s="44"/>
      <c r="G997" s="44"/>
      <c r="H997" s="44"/>
      <c r="I997" s="45"/>
      <c r="J997" s="45"/>
      <c r="K997" s="45"/>
      <c r="L997" s="45"/>
    </row>
    <row r="998" spans="1:12" ht="17.100000000000001" customHeight="1">
      <c r="A998" s="43"/>
      <c r="B998" s="44"/>
      <c r="C998" s="44"/>
      <c r="D998" s="85"/>
      <c r="E998" s="44"/>
      <c r="F998" s="44"/>
      <c r="G998" s="44"/>
      <c r="H998" s="44"/>
      <c r="I998" s="45"/>
      <c r="J998" s="45"/>
      <c r="K998" s="45"/>
      <c r="L998" s="45"/>
    </row>
    <row r="999" spans="1:12" ht="17.100000000000001" customHeight="1">
      <c r="A999" s="43"/>
      <c r="B999" s="44"/>
      <c r="C999" s="44"/>
      <c r="D999" s="85"/>
      <c r="E999" s="44"/>
      <c r="F999" s="44"/>
      <c r="G999" s="44"/>
      <c r="H999" s="44"/>
      <c r="I999" s="45"/>
      <c r="J999" s="45"/>
      <c r="K999" s="45"/>
      <c r="L999" s="45"/>
    </row>
    <row r="1000" spans="1:12" ht="17.100000000000001" customHeight="1">
      <c r="A1000" s="43"/>
      <c r="B1000" s="44"/>
      <c r="C1000" s="44"/>
      <c r="D1000" s="85"/>
      <c r="E1000" s="44"/>
      <c r="F1000" s="44"/>
      <c r="G1000" s="44"/>
      <c r="H1000" s="44"/>
      <c r="I1000" s="45"/>
      <c r="J1000" s="45"/>
      <c r="K1000" s="45"/>
      <c r="L1000" s="45"/>
    </row>
    <row r="1001" spans="1:12" ht="17.100000000000001" customHeight="1">
      <c r="A1001" s="43"/>
      <c r="B1001" s="44"/>
      <c r="C1001" s="44"/>
      <c r="D1001" s="85"/>
      <c r="E1001" s="44"/>
      <c r="F1001" s="44"/>
      <c r="G1001" s="44"/>
      <c r="H1001" s="44"/>
      <c r="I1001" s="45"/>
      <c r="J1001" s="45"/>
      <c r="K1001" s="45"/>
      <c r="L1001" s="45"/>
    </row>
    <row r="1002" spans="1:12" ht="17.100000000000001" customHeight="1">
      <c r="A1002" s="43"/>
      <c r="B1002" s="44"/>
      <c r="C1002" s="44"/>
      <c r="D1002" s="85"/>
      <c r="E1002" s="44"/>
      <c r="F1002" s="44"/>
      <c r="G1002" s="44"/>
      <c r="H1002" s="44"/>
      <c r="I1002" s="45"/>
      <c r="J1002" s="45"/>
      <c r="K1002" s="45"/>
      <c r="L1002" s="45"/>
    </row>
    <row r="1003" spans="1:12" ht="17.100000000000001" customHeight="1">
      <c r="A1003" s="43"/>
      <c r="B1003" s="44"/>
      <c r="C1003" s="44"/>
      <c r="D1003" s="85"/>
      <c r="E1003" s="44"/>
      <c r="F1003" s="44"/>
      <c r="G1003" s="44"/>
      <c r="H1003" s="44"/>
      <c r="I1003" s="45"/>
      <c r="J1003" s="45"/>
      <c r="K1003" s="45"/>
      <c r="L1003" s="45"/>
    </row>
    <row r="1004" spans="1:12" ht="17.100000000000001" customHeight="1">
      <c r="A1004" s="43"/>
      <c r="B1004" s="44"/>
      <c r="C1004" s="44"/>
      <c r="D1004" s="85"/>
      <c r="E1004" s="44"/>
      <c r="F1004" s="44"/>
      <c r="G1004" s="44"/>
      <c r="H1004" s="44"/>
      <c r="I1004" s="45"/>
      <c r="J1004" s="45"/>
      <c r="K1004" s="45"/>
      <c r="L1004" s="45"/>
    </row>
    <row r="1005" spans="1:12" ht="17.100000000000001" customHeight="1">
      <c r="A1005" s="43"/>
      <c r="B1005" s="44"/>
      <c r="C1005" s="44"/>
      <c r="D1005" s="85"/>
      <c r="E1005" s="44"/>
      <c r="F1005" s="44"/>
      <c r="G1005" s="44"/>
      <c r="H1005" s="44"/>
      <c r="I1005" s="45"/>
      <c r="J1005" s="45"/>
      <c r="K1005" s="45"/>
      <c r="L1005" s="45"/>
    </row>
    <row r="1006" spans="1:12" ht="17.100000000000001" customHeight="1">
      <c r="A1006" s="43"/>
      <c r="B1006" s="44"/>
      <c r="C1006" s="44"/>
      <c r="D1006" s="85"/>
      <c r="E1006" s="44"/>
      <c r="F1006" s="44"/>
      <c r="G1006" s="44"/>
      <c r="H1006" s="44"/>
      <c r="I1006" s="45"/>
      <c r="J1006" s="45"/>
      <c r="K1006" s="45"/>
      <c r="L1006" s="45"/>
    </row>
    <row r="1007" spans="1:12" ht="17.100000000000001" customHeight="1">
      <c r="A1007" s="43"/>
      <c r="B1007" s="44"/>
      <c r="C1007" s="44"/>
      <c r="D1007" s="85"/>
      <c r="E1007" s="44"/>
      <c r="F1007" s="44"/>
      <c r="G1007" s="44"/>
      <c r="H1007" s="44"/>
      <c r="I1007" s="45"/>
      <c r="J1007" s="45"/>
      <c r="K1007" s="45"/>
      <c r="L1007" s="45"/>
    </row>
    <row r="1008" spans="1:12" ht="17.100000000000001" customHeight="1">
      <c r="A1008" s="43"/>
      <c r="B1008" s="44"/>
      <c r="C1008" s="44"/>
      <c r="D1008" s="85"/>
      <c r="E1008" s="44"/>
      <c r="F1008" s="44"/>
      <c r="G1008" s="44"/>
      <c r="H1008" s="44"/>
      <c r="I1008" s="45"/>
      <c r="J1008" s="45"/>
      <c r="K1008" s="45"/>
      <c r="L1008" s="45"/>
    </row>
    <row r="1009" spans="1:12" ht="17.100000000000001" customHeight="1">
      <c r="A1009" s="43"/>
      <c r="B1009" s="44"/>
      <c r="C1009" s="44"/>
      <c r="D1009" s="85"/>
      <c r="E1009" s="44"/>
      <c r="F1009" s="44"/>
      <c r="G1009" s="44"/>
      <c r="H1009" s="44"/>
      <c r="I1009" s="45"/>
      <c r="J1009" s="45"/>
      <c r="K1009" s="45"/>
      <c r="L1009" s="45"/>
    </row>
    <row r="1010" spans="1:12" ht="17.100000000000001" customHeight="1">
      <c r="A1010" s="43"/>
      <c r="B1010" s="44"/>
      <c r="C1010" s="44"/>
      <c r="D1010" s="85"/>
      <c r="E1010" s="44"/>
      <c r="F1010" s="44"/>
      <c r="G1010" s="44"/>
      <c r="H1010" s="44"/>
      <c r="I1010" s="45"/>
      <c r="J1010" s="45"/>
      <c r="K1010" s="45"/>
      <c r="L1010" s="45"/>
    </row>
    <row r="1011" spans="1:12" ht="17.100000000000001" customHeight="1">
      <c r="A1011" s="43"/>
      <c r="B1011" s="44"/>
      <c r="C1011" s="44"/>
      <c r="D1011" s="85"/>
      <c r="E1011" s="44"/>
      <c r="F1011" s="44"/>
      <c r="G1011" s="44"/>
      <c r="H1011" s="44"/>
      <c r="I1011" s="45"/>
      <c r="J1011" s="45"/>
      <c r="K1011" s="45"/>
      <c r="L1011" s="45"/>
    </row>
    <row r="1012" spans="1:12" ht="17.100000000000001" customHeight="1">
      <c r="A1012" s="43"/>
      <c r="B1012" s="44"/>
      <c r="C1012" s="44"/>
      <c r="D1012" s="85"/>
      <c r="E1012" s="44"/>
      <c r="F1012" s="44"/>
      <c r="G1012" s="44"/>
      <c r="H1012" s="44"/>
      <c r="I1012" s="45"/>
      <c r="J1012" s="45"/>
      <c r="K1012" s="45"/>
      <c r="L1012" s="45"/>
    </row>
    <row r="1013" spans="1:12" ht="17.100000000000001" customHeight="1">
      <c r="A1013" s="43"/>
      <c r="B1013" s="44"/>
      <c r="C1013" s="44"/>
      <c r="D1013" s="85"/>
      <c r="E1013" s="44"/>
      <c r="F1013" s="44"/>
      <c r="G1013" s="44"/>
      <c r="H1013" s="44"/>
      <c r="I1013" s="45"/>
      <c r="J1013" s="45"/>
      <c r="K1013" s="45"/>
      <c r="L1013" s="45"/>
    </row>
    <row r="1014" spans="1:12" ht="17.100000000000001" customHeight="1">
      <c r="A1014" s="43"/>
      <c r="B1014" s="44"/>
      <c r="C1014" s="44"/>
      <c r="D1014" s="85"/>
      <c r="E1014" s="44"/>
      <c r="F1014" s="44"/>
      <c r="G1014" s="44"/>
      <c r="H1014" s="44"/>
      <c r="I1014" s="45"/>
      <c r="J1014" s="45"/>
      <c r="K1014" s="45"/>
      <c r="L1014" s="45"/>
    </row>
    <row r="1015" spans="1:12" ht="17.100000000000001" customHeight="1">
      <c r="A1015" s="43"/>
      <c r="B1015" s="44"/>
      <c r="C1015" s="44"/>
      <c r="D1015" s="85"/>
      <c r="E1015" s="44"/>
      <c r="F1015" s="44"/>
      <c r="G1015" s="44"/>
      <c r="H1015" s="44"/>
      <c r="I1015" s="45"/>
      <c r="J1015" s="45"/>
      <c r="K1015" s="45"/>
      <c r="L1015" s="45"/>
    </row>
    <row r="1016" spans="1:12" ht="17.100000000000001" customHeight="1">
      <c r="A1016" s="43"/>
      <c r="B1016" s="44"/>
      <c r="C1016" s="44"/>
      <c r="D1016" s="85"/>
      <c r="E1016" s="44"/>
      <c r="F1016" s="44"/>
      <c r="G1016" s="44"/>
      <c r="H1016" s="44"/>
      <c r="I1016" s="45"/>
      <c r="J1016" s="45"/>
      <c r="K1016" s="45"/>
      <c r="L1016" s="45"/>
    </row>
    <row r="1017" spans="1:12" ht="17.100000000000001" customHeight="1">
      <c r="A1017" s="43"/>
      <c r="B1017" s="44"/>
      <c r="C1017" s="44"/>
      <c r="D1017" s="85"/>
      <c r="E1017" s="44"/>
      <c r="F1017" s="44"/>
      <c r="G1017" s="44"/>
      <c r="H1017" s="44"/>
      <c r="I1017" s="45"/>
      <c r="J1017" s="45"/>
      <c r="K1017" s="45"/>
      <c r="L1017" s="45"/>
    </row>
    <row r="1018" spans="1:12" ht="17.100000000000001" customHeight="1">
      <c r="A1018" s="43"/>
      <c r="B1018" s="44"/>
      <c r="C1018" s="44"/>
      <c r="D1018" s="85"/>
      <c r="E1018" s="44"/>
      <c r="F1018" s="44"/>
      <c r="G1018" s="44"/>
      <c r="H1018" s="44"/>
      <c r="I1018" s="45"/>
      <c r="J1018" s="45"/>
      <c r="K1018" s="45"/>
      <c r="L1018" s="45"/>
    </row>
    <row r="1019" spans="1:12" ht="17.100000000000001" customHeight="1">
      <c r="A1019" s="43"/>
      <c r="B1019" s="44"/>
      <c r="C1019" s="44"/>
      <c r="D1019" s="85"/>
      <c r="E1019" s="44"/>
      <c r="F1019" s="44"/>
      <c r="G1019" s="44"/>
      <c r="H1019" s="44"/>
      <c r="I1019" s="45"/>
      <c r="J1019" s="45"/>
      <c r="K1019" s="45"/>
      <c r="L1019" s="45"/>
    </row>
    <row r="1020" spans="1:12" ht="17.100000000000001" customHeight="1">
      <c r="A1020" s="43"/>
      <c r="B1020" s="44"/>
      <c r="C1020" s="44"/>
      <c r="D1020" s="85"/>
      <c r="E1020" s="44"/>
      <c r="F1020" s="44"/>
      <c r="G1020" s="44"/>
      <c r="H1020" s="44"/>
      <c r="I1020" s="45"/>
      <c r="J1020" s="45"/>
      <c r="K1020" s="45"/>
      <c r="L1020" s="45"/>
    </row>
    <row r="1021" spans="1:12" ht="17.100000000000001" customHeight="1">
      <c r="A1021" s="43"/>
      <c r="B1021" s="44"/>
      <c r="C1021" s="44"/>
      <c r="D1021" s="85"/>
      <c r="E1021" s="44"/>
      <c r="F1021" s="44"/>
      <c r="G1021" s="44"/>
      <c r="H1021" s="44"/>
      <c r="I1021" s="45"/>
      <c r="J1021" s="45"/>
      <c r="K1021" s="45"/>
      <c r="L1021" s="45"/>
    </row>
    <row r="1022" spans="1:12" ht="17.100000000000001" customHeight="1">
      <c r="A1022" s="43"/>
      <c r="B1022" s="44"/>
      <c r="C1022" s="44"/>
      <c r="D1022" s="85"/>
      <c r="E1022" s="44"/>
      <c r="F1022" s="44"/>
      <c r="G1022" s="44"/>
      <c r="H1022" s="44"/>
      <c r="I1022" s="45"/>
      <c r="J1022" s="45"/>
      <c r="K1022" s="45"/>
      <c r="L1022" s="45"/>
    </row>
    <row r="1023" spans="1:12" ht="17.100000000000001" customHeight="1">
      <c r="A1023" s="43"/>
      <c r="B1023" s="44"/>
      <c r="C1023" s="44"/>
      <c r="D1023" s="85"/>
      <c r="E1023" s="44"/>
      <c r="F1023" s="44"/>
      <c r="G1023" s="44"/>
      <c r="H1023" s="44"/>
      <c r="I1023" s="45"/>
      <c r="J1023" s="45"/>
      <c r="K1023" s="45"/>
      <c r="L1023" s="45"/>
    </row>
    <row r="1024" spans="1:12" ht="17.100000000000001" customHeight="1">
      <c r="A1024" s="43"/>
      <c r="B1024" s="44"/>
      <c r="C1024" s="44"/>
      <c r="D1024" s="85"/>
      <c r="E1024" s="44"/>
      <c r="F1024" s="44"/>
      <c r="G1024" s="44"/>
      <c r="H1024" s="44"/>
      <c r="I1024" s="45"/>
      <c r="J1024" s="45"/>
      <c r="K1024" s="45"/>
      <c r="L1024" s="45"/>
    </row>
    <row r="1025" spans="1:12" ht="17.100000000000001" customHeight="1">
      <c r="A1025" s="43"/>
      <c r="B1025" s="44"/>
      <c r="C1025" s="44"/>
      <c r="D1025" s="85"/>
      <c r="E1025" s="44"/>
      <c r="F1025" s="44"/>
      <c r="G1025" s="44"/>
      <c r="H1025" s="44"/>
      <c r="I1025" s="45"/>
      <c r="J1025" s="45"/>
      <c r="K1025" s="45"/>
      <c r="L1025" s="45"/>
    </row>
    <row r="1026" spans="1:12" ht="17.100000000000001" customHeight="1">
      <c r="A1026" s="43"/>
      <c r="B1026" s="44"/>
      <c r="C1026" s="44"/>
      <c r="D1026" s="85"/>
      <c r="E1026" s="44"/>
      <c r="F1026" s="44"/>
      <c r="G1026" s="44"/>
      <c r="H1026" s="44"/>
      <c r="I1026" s="45"/>
      <c r="J1026" s="45"/>
      <c r="K1026" s="45"/>
      <c r="L1026" s="45"/>
    </row>
    <row r="1027" spans="1:12" ht="17.100000000000001" customHeight="1">
      <c r="A1027" s="43"/>
      <c r="B1027" s="44"/>
      <c r="C1027" s="44"/>
      <c r="D1027" s="85"/>
      <c r="E1027" s="44"/>
      <c r="F1027" s="44"/>
      <c r="G1027" s="44"/>
      <c r="H1027" s="44"/>
      <c r="I1027" s="45"/>
      <c r="J1027" s="45"/>
      <c r="K1027" s="45"/>
      <c r="L1027" s="45"/>
    </row>
    <row r="1028" spans="1:12" ht="17.100000000000001" customHeight="1">
      <c r="A1028" s="43"/>
      <c r="B1028" s="44"/>
      <c r="C1028" s="44"/>
      <c r="D1028" s="85"/>
      <c r="E1028" s="44"/>
      <c r="F1028" s="44"/>
      <c r="G1028" s="44"/>
      <c r="H1028" s="44"/>
      <c r="I1028" s="45"/>
      <c r="J1028" s="45"/>
      <c r="K1028" s="45"/>
      <c r="L1028" s="45"/>
    </row>
    <row r="1029" spans="1:12" ht="17.100000000000001" customHeight="1">
      <c r="A1029" s="43"/>
      <c r="B1029" s="44"/>
      <c r="C1029" s="44"/>
      <c r="D1029" s="85"/>
      <c r="E1029" s="44"/>
      <c r="F1029" s="44"/>
      <c r="G1029" s="44"/>
      <c r="H1029" s="44"/>
      <c r="I1029" s="45"/>
      <c r="J1029" s="45"/>
      <c r="K1029" s="45"/>
      <c r="L1029" s="45"/>
    </row>
    <row r="1030" spans="1:12" ht="17.100000000000001" customHeight="1">
      <c r="A1030" s="43"/>
      <c r="B1030" s="44"/>
      <c r="C1030" s="44"/>
      <c r="D1030" s="85"/>
      <c r="E1030" s="44"/>
      <c r="F1030" s="44"/>
      <c r="G1030" s="44"/>
      <c r="H1030" s="44"/>
      <c r="I1030" s="45"/>
      <c r="J1030" s="45"/>
      <c r="K1030" s="45"/>
      <c r="L1030" s="45"/>
    </row>
    <row r="1031" spans="1:12" ht="17.100000000000001" customHeight="1">
      <c r="A1031" s="43"/>
      <c r="B1031" s="44"/>
      <c r="C1031" s="44"/>
      <c r="D1031" s="85"/>
      <c r="E1031" s="44"/>
      <c r="F1031" s="44"/>
      <c r="G1031" s="44"/>
      <c r="H1031" s="44"/>
      <c r="I1031" s="45"/>
      <c r="J1031" s="45"/>
      <c r="K1031" s="45"/>
      <c r="L1031" s="45"/>
    </row>
    <row r="1032" spans="1:12" ht="17.100000000000001" customHeight="1">
      <c r="A1032" s="43"/>
      <c r="B1032" s="44"/>
      <c r="C1032" s="44"/>
      <c r="D1032" s="85"/>
      <c r="E1032" s="44"/>
      <c r="F1032" s="44"/>
      <c r="G1032" s="44"/>
      <c r="H1032" s="44"/>
      <c r="I1032" s="45"/>
      <c r="J1032" s="45"/>
      <c r="K1032" s="45"/>
      <c r="L1032" s="45"/>
    </row>
    <row r="1033" spans="1:12" ht="17.100000000000001" customHeight="1">
      <c r="A1033" s="43"/>
      <c r="B1033" s="44"/>
      <c r="C1033" s="44"/>
      <c r="D1033" s="85"/>
      <c r="E1033" s="44"/>
      <c r="F1033" s="44"/>
      <c r="G1033" s="44"/>
      <c r="H1033" s="44"/>
      <c r="I1033" s="45"/>
      <c r="J1033" s="45"/>
      <c r="K1033" s="45"/>
      <c r="L1033" s="45"/>
    </row>
    <row r="1034" spans="1:12" ht="17.100000000000001" customHeight="1">
      <c r="A1034" s="43"/>
      <c r="B1034" s="44"/>
      <c r="C1034" s="44"/>
      <c r="D1034" s="85"/>
      <c r="E1034" s="44"/>
      <c r="F1034" s="44"/>
      <c r="G1034" s="44"/>
      <c r="H1034" s="44"/>
      <c r="I1034" s="45"/>
      <c r="J1034" s="45"/>
      <c r="K1034" s="45"/>
      <c r="L1034" s="45"/>
    </row>
    <row r="1035" spans="1:12" ht="17.100000000000001" customHeight="1">
      <c r="A1035" s="43"/>
      <c r="B1035" s="44"/>
      <c r="C1035" s="44"/>
      <c r="D1035" s="85"/>
      <c r="E1035" s="44"/>
      <c r="F1035" s="44"/>
      <c r="G1035" s="44"/>
      <c r="H1035" s="44"/>
      <c r="I1035" s="45"/>
      <c r="J1035" s="45"/>
      <c r="K1035" s="45"/>
      <c r="L1035" s="45"/>
    </row>
    <row r="1036" spans="1:12" ht="17.100000000000001" customHeight="1">
      <c r="A1036" s="43"/>
      <c r="B1036" s="44"/>
      <c r="C1036" s="44"/>
      <c r="D1036" s="85"/>
      <c r="E1036" s="44"/>
      <c r="F1036" s="44"/>
      <c r="G1036" s="44"/>
      <c r="H1036" s="44"/>
      <c r="I1036" s="45"/>
      <c r="J1036" s="45"/>
      <c r="K1036" s="45"/>
      <c r="L1036" s="45"/>
    </row>
    <row r="1037" spans="1:12" ht="17.100000000000001" customHeight="1">
      <c r="A1037" s="43"/>
      <c r="B1037" s="44"/>
      <c r="C1037" s="44"/>
      <c r="D1037" s="85"/>
      <c r="E1037" s="44"/>
      <c r="F1037" s="44"/>
      <c r="G1037" s="44"/>
      <c r="H1037" s="44"/>
      <c r="I1037" s="45"/>
      <c r="J1037" s="45"/>
      <c r="K1037" s="45"/>
      <c r="L1037" s="45"/>
    </row>
    <row r="1038" spans="1:12" ht="17.100000000000001" customHeight="1">
      <c r="A1038" s="43"/>
      <c r="B1038" s="44"/>
      <c r="C1038" s="44"/>
      <c r="D1038" s="85"/>
      <c r="E1038" s="44"/>
      <c r="F1038" s="44"/>
      <c r="G1038" s="44"/>
      <c r="H1038" s="44"/>
      <c r="I1038" s="45"/>
      <c r="J1038" s="45"/>
      <c r="K1038" s="45"/>
      <c r="L1038" s="45"/>
    </row>
    <row r="1039" spans="1:12" ht="17.100000000000001" customHeight="1">
      <c r="A1039" s="43"/>
      <c r="B1039" s="44"/>
      <c r="C1039" s="44"/>
      <c r="D1039" s="85"/>
      <c r="E1039" s="44"/>
      <c r="F1039" s="44"/>
      <c r="G1039" s="44"/>
      <c r="H1039" s="44"/>
      <c r="I1039" s="45"/>
      <c r="J1039" s="45"/>
      <c r="K1039" s="45"/>
      <c r="L1039" s="45"/>
    </row>
    <row r="1040" spans="1:12" ht="17.100000000000001" customHeight="1">
      <c r="A1040" s="43"/>
      <c r="B1040" s="44"/>
      <c r="C1040" s="44"/>
      <c r="D1040" s="85"/>
      <c r="E1040" s="44"/>
      <c r="F1040" s="44"/>
      <c r="G1040" s="44"/>
      <c r="H1040" s="44"/>
      <c r="I1040" s="45"/>
      <c r="J1040" s="45"/>
      <c r="K1040" s="45"/>
      <c r="L1040" s="45"/>
    </row>
    <row r="1041" spans="1:12" ht="17.100000000000001" customHeight="1">
      <c r="A1041" s="43"/>
      <c r="B1041" s="44"/>
      <c r="C1041" s="44"/>
      <c r="D1041" s="85"/>
      <c r="E1041" s="44"/>
      <c r="F1041" s="44"/>
      <c r="G1041" s="44"/>
      <c r="H1041" s="44"/>
      <c r="I1041" s="45"/>
      <c r="J1041" s="45"/>
      <c r="K1041" s="45"/>
      <c r="L1041" s="45"/>
    </row>
    <row r="1042" spans="1:12" ht="17.100000000000001" customHeight="1">
      <c r="A1042" s="43"/>
      <c r="B1042" s="44"/>
      <c r="C1042" s="44"/>
      <c r="D1042" s="85"/>
      <c r="E1042" s="44"/>
      <c r="F1042" s="44"/>
      <c r="G1042" s="44"/>
      <c r="H1042" s="44"/>
      <c r="I1042" s="45"/>
      <c r="J1042" s="45"/>
      <c r="K1042" s="45"/>
      <c r="L1042" s="45"/>
    </row>
    <row r="1043" spans="1:12" ht="17.100000000000001" customHeight="1">
      <c r="A1043" s="43"/>
      <c r="B1043" s="44"/>
      <c r="C1043" s="44"/>
      <c r="D1043" s="85"/>
      <c r="E1043" s="44"/>
      <c r="F1043" s="44"/>
      <c r="G1043" s="44"/>
      <c r="H1043" s="44"/>
      <c r="I1043" s="45"/>
      <c r="J1043" s="45"/>
      <c r="K1043" s="45"/>
      <c r="L1043" s="45"/>
    </row>
    <row r="1044" spans="1:12" ht="17.100000000000001" customHeight="1">
      <c r="A1044" s="43"/>
      <c r="B1044" s="44"/>
      <c r="C1044" s="44"/>
      <c r="D1044" s="85"/>
      <c r="E1044" s="44"/>
      <c r="F1044" s="44"/>
      <c r="G1044" s="44"/>
      <c r="H1044" s="44"/>
      <c r="I1044" s="45"/>
      <c r="J1044" s="45"/>
      <c r="K1044" s="45"/>
      <c r="L1044" s="45"/>
    </row>
    <row r="1045" spans="1:12" ht="17.100000000000001" customHeight="1">
      <c r="A1045" s="43"/>
      <c r="B1045" s="44"/>
      <c r="C1045" s="44"/>
      <c r="D1045" s="85"/>
      <c r="E1045" s="44"/>
      <c r="F1045" s="44"/>
      <c r="G1045" s="44"/>
      <c r="H1045" s="44"/>
      <c r="I1045" s="45"/>
      <c r="J1045" s="45"/>
      <c r="K1045" s="45"/>
      <c r="L1045" s="45"/>
    </row>
    <row r="1046" spans="1:12" ht="17.100000000000001" customHeight="1">
      <c r="A1046" s="43"/>
      <c r="B1046" s="44"/>
      <c r="C1046" s="44"/>
      <c r="D1046" s="85"/>
      <c r="E1046" s="44"/>
      <c r="F1046" s="44"/>
      <c r="G1046" s="44"/>
      <c r="H1046" s="44"/>
      <c r="I1046" s="45"/>
      <c r="J1046" s="45"/>
      <c r="K1046" s="45"/>
      <c r="L1046" s="45"/>
    </row>
    <row r="1047" spans="1:12" ht="17.100000000000001" customHeight="1">
      <c r="A1047" s="43"/>
      <c r="B1047" s="44"/>
      <c r="C1047" s="44"/>
      <c r="D1047" s="85"/>
      <c r="E1047" s="44"/>
      <c r="F1047" s="44"/>
      <c r="G1047" s="44"/>
      <c r="H1047" s="44"/>
      <c r="I1047" s="45"/>
      <c r="J1047" s="45"/>
      <c r="K1047" s="45"/>
      <c r="L1047" s="45"/>
    </row>
    <row r="1048" spans="1:12" ht="17.100000000000001" customHeight="1">
      <c r="A1048" s="43"/>
      <c r="B1048" s="44"/>
      <c r="C1048" s="44"/>
      <c r="D1048" s="85"/>
      <c r="E1048" s="44"/>
      <c r="F1048" s="44"/>
      <c r="G1048" s="44"/>
      <c r="H1048" s="44"/>
      <c r="I1048" s="45"/>
      <c r="J1048" s="45"/>
      <c r="K1048" s="45"/>
      <c r="L1048" s="45"/>
    </row>
    <row r="1049" spans="1:12" ht="17.100000000000001" customHeight="1">
      <c r="A1049" s="43"/>
      <c r="B1049" s="44"/>
      <c r="C1049" s="44"/>
      <c r="D1049" s="85"/>
      <c r="E1049" s="44"/>
      <c r="F1049" s="44"/>
      <c r="G1049" s="44"/>
      <c r="H1049" s="44"/>
      <c r="I1049" s="45"/>
      <c r="J1049" s="45"/>
      <c r="K1049" s="45"/>
      <c r="L1049" s="45"/>
    </row>
    <row r="1050" spans="1:12" ht="17.100000000000001" customHeight="1">
      <c r="A1050" s="43"/>
      <c r="B1050" s="44"/>
      <c r="C1050" s="44"/>
      <c r="D1050" s="85"/>
      <c r="E1050" s="44"/>
      <c r="F1050" s="44"/>
      <c r="G1050" s="44"/>
      <c r="H1050" s="44"/>
      <c r="I1050" s="45"/>
      <c r="J1050" s="45"/>
      <c r="K1050" s="45"/>
      <c r="L1050" s="45"/>
    </row>
    <row r="1051" spans="1:12" ht="17.100000000000001" customHeight="1">
      <c r="A1051" s="43"/>
      <c r="B1051" s="44"/>
      <c r="C1051" s="44"/>
      <c r="D1051" s="85"/>
      <c r="E1051" s="44"/>
      <c r="F1051" s="44"/>
      <c r="G1051" s="44"/>
      <c r="H1051" s="44"/>
      <c r="I1051" s="45"/>
      <c r="J1051" s="45"/>
      <c r="K1051" s="45"/>
      <c r="L1051" s="45"/>
    </row>
    <row r="1052" spans="1:12" ht="17.100000000000001" customHeight="1">
      <c r="A1052" s="43"/>
      <c r="B1052" s="44"/>
      <c r="C1052" s="44"/>
      <c r="D1052" s="85"/>
      <c r="E1052" s="44"/>
      <c r="F1052" s="44"/>
      <c r="G1052" s="44"/>
      <c r="H1052" s="44"/>
      <c r="I1052" s="45"/>
      <c r="J1052" s="45"/>
      <c r="K1052" s="45"/>
      <c r="L1052" s="45"/>
    </row>
    <row r="1053" spans="1:12" ht="17.100000000000001" customHeight="1">
      <c r="A1053" s="43"/>
      <c r="B1053" s="44"/>
      <c r="C1053" s="44"/>
      <c r="D1053" s="85"/>
      <c r="E1053" s="44"/>
      <c r="F1053" s="44"/>
      <c r="G1053" s="44"/>
      <c r="H1053" s="44"/>
      <c r="I1053" s="45"/>
      <c r="J1053" s="45"/>
      <c r="K1053" s="45"/>
      <c r="L1053" s="45"/>
    </row>
    <row r="1054" spans="1:12" ht="17.100000000000001" customHeight="1">
      <c r="A1054" s="43"/>
      <c r="B1054" s="44"/>
      <c r="C1054" s="44"/>
      <c r="D1054" s="85"/>
      <c r="E1054" s="44"/>
      <c r="F1054" s="44"/>
      <c r="G1054" s="44"/>
      <c r="H1054" s="44"/>
      <c r="I1054" s="45"/>
      <c r="J1054" s="45"/>
      <c r="K1054" s="45"/>
      <c r="L1054" s="45"/>
    </row>
    <row r="1055" spans="1:12" ht="17.100000000000001" customHeight="1">
      <c r="A1055" s="43"/>
      <c r="B1055" s="44"/>
      <c r="C1055" s="44"/>
      <c r="D1055" s="85"/>
      <c r="E1055" s="44"/>
      <c r="F1055" s="44"/>
      <c r="G1055" s="44"/>
      <c r="H1055" s="44"/>
      <c r="I1055" s="45"/>
      <c r="J1055" s="45"/>
      <c r="K1055" s="45"/>
      <c r="L1055" s="45"/>
    </row>
    <row r="1056" spans="1:12" ht="17.100000000000001" customHeight="1">
      <c r="A1056" s="43"/>
      <c r="B1056" s="44"/>
      <c r="C1056" s="44"/>
      <c r="D1056" s="85"/>
      <c r="E1056" s="44"/>
      <c r="F1056" s="44"/>
      <c r="G1056" s="44"/>
      <c r="H1056" s="44"/>
      <c r="I1056" s="45"/>
      <c r="J1056" s="45"/>
      <c r="K1056" s="45"/>
      <c r="L1056" s="45"/>
    </row>
    <row r="1057" spans="1:12" ht="17.100000000000001" customHeight="1">
      <c r="A1057" s="43"/>
      <c r="B1057" s="44"/>
      <c r="C1057" s="44"/>
      <c r="D1057" s="85"/>
      <c r="E1057" s="44"/>
      <c r="F1057" s="44"/>
      <c r="G1057" s="44"/>
      <c r="H1057" s="44"/>
      <c r="I1057" s="45"/>
      <c r="J1057" s="45"/>
      <c r="K1057" s="45"/>
      <c r="L1057" s="45"/>
    </row>
    <row r="1058" spans="1:12" ht="17.100000000000001" customHeight="1">
      <c r="A1058" s="43"/>
      <c r="B1058" s="44"/>
      <c r="C1058" s="44"/>
      <c r="D1058" s="85"/>
      <c r="E1058" s="44"/>
      <c r="F1058" s="44"/>
      <c r="G1058" s="44"/>
      <c r="H1058" s="44"/>
      <c r="I1058" s="45"/>
      <c r="J1058" s="45"/>
      <c r="K1058" s="45"/>
      <c r="L1058" s="45"/>
    </row>
    <row r="1059" spans="1:12" ht="17.100000000000001" customHeight="1">
      <c r="A1059" s="43"/>
      <c r="B1059" s="44"/>
      <c r="C1059" s="44"/>
      <c r="D1059" s="85"/>
      <c r="E1059" s="44"/>
      <c r="F1059" s="44"/>
      <c r="G1059" s="44"/>
      <c r="H1059" s="44"/>
      <c r="I1059" s="45"/>
      <c r="J1059" s="45"/>
      <c r="K1059" s="45"/>
      <c r="L1059" s="45"/>
    </row>
    <row r="1060" spans="1:12" ht="17.100000000000001" customHeight="1">
      <c r="A1060" s="43"/>
      <c r="B1060" s="44"/>
      <c r="C1060" s="44"/>
      <c r="D1060" s="85"/>
      <c r="E1060" s="44"/>
      <c r="F1060" s="44"/>
      <c r="G1060" s="44"/>
      <c r="H1060" s="44"/>
      <c r="I1060" s="45"/>
      <c r="J1060" s="45"/>
      <c r="K1060" s="45"/>
      <c r="L1060" s="45"/>
    </row>
    <row r="1061" spans="1:12" ht="17.100000000000001" customHeight="1">
      <c r="A1061" s="43"/>
      <c r="B1061" s="44"/>
      <c r="C1061" s="44"/>
      <c r="D1061" s="85"/>
      <c r="E1061" s="44"/>
      <c r="F1061" s="44"/>
      <c r="G1061" s="44"/>
      <c r="H1061" s="44"/>
      <c r="I1061" s="45"/>
      <c r="J1061" s="45"/>
      <c r="K1061" s="45"/>
      <c r="L1061" s="45"/>
    </row>
    <row r="1062" spans="1:12" ht="17.100000000000001" customHeight="1">
      <c r="A1062" s="43"/>
      <c r="B1062" s="44"/>
      <c r="C1062" s="44"/>
      <c r="D1062" s="85"/>
      <c r="E1062" s="44"/>
      <c r="F1062" s="44"/>
      <c r="G1062" s="44"/>
      <c r="H1062" s="44"/>
      <c r="I1062" s="45"/>
      <c r="J1062" s="45"/>
      <c r="K1062" s="45"/>
      <c r="L1062" s="45"/>
    </row>
    <row r="1063" spans="1:12" ht="17.100000000000001" customHeight="1">
      <c r="A1063" s="43"/>
      <c r="B1063" s="44"/>
      <c r="C1063" s="44"/>
      <c r="D1063" s="85"/>
      <c r="E1063" s="44"/>
      <c r="F1063" s="44"/>
      <c r="G1063" s="44"/>
      <c r="H1063" s="44"/>
      <c r="I1063" s="45"/>
      <c r="J1063" s="45"/>
      <c r="K1063" s="45"/>
      <c r="L1063" s="45"/>
    </row>
    <row r="1064" spans="1:12" ht="17.100000000000001" customHeight="1">
      <c r="A1064" s="43"/>
      <c r="B1064" s="44"/>
      <c r="C1064" s="44"/>
      <c r="D1064" s="85"/>
      <c r="E1064" s="44"/>
      <c r="F1064" s="44"/>
      <c r="G1064" s="44"/>
      <c r="H1064" s="44"/>
      <c r="I1064" s="45"/>
      <c r="J1064" s="45"/>
      <c r="K1064" s="45"/>
      <c r="L1064" s="45"/>
    </row>
    <row r="1065" spans="1:12" ht="17.100000000000001" customHeight="1">
      <c r="A1065" s="43"/>
      <c r="B1065" s="44"/>
      <c r="C1065" s="44"/>
      <c r="D1065" s="85"/>
      <c r="E1065" s="44"/>
      <c r="F1065" s="44"/>
      <c r="G1065" s="44"/>
      <c r="H1065" s="44"/>
      <c r="I1065" s="45"/>
      <c r="J1065" s="45"/>
      <c r="K1065" s="45"/>
      <c r="L1065" s="45"/>
    </row>
    <row r="1066" spans="1:12" ht="17.100000000000001" customHeight="1">
      <c r="A1066" s="43"/>
      <c r="B1066" s="44"/>
      <c r="C1066" s="44"/>
      <c r="D1066" s="85"/>
      <c r="E1066" s="44"/>
      <c r="F1066" s="44"/>
      <c r="G1066" s="44"/>
      <c r="H1066" s="44"/>
      <c r="I1066" s="45"/>
      <c r="J1066" s="45"/>
      <c r="K1066" s="45"/>
      <c r="L1066" s="45"/>
    </row>
    <row r="1067" spans="1:12" ht="17.100000000000001" customHeight="1">
      <c r="A1067" s="43"/>
      <c r="B1067" s="44"/>
      <c r="C1067" s="44"/>
      <c r="D1067" s="85"/>
      <c r="E1067" s="44"/>
      <c r="F1067" s="44"/>
      <c r="G1067" s="44"/>
      <c r="H1067" s="44"/>
      <c r="I1067" s="45"/>
      <c r="J1067" s="45"/>
      <c r="K1067" s="45"/>
      <c r="L1067" s="45"/>
    </row>
    <row r="1068" spans="1:12" ht="17.100000000000001" customHeight="1">
      <c r="A1068" s="43"/>
      <c r="B1068" s="44"/>
      <c r="C1068" s="44"/>
      <c r="D1068" s="85"/>
      <c r="E1068" s="44"/>
      <c r="F1068" s="44"/>
      <c r="G1068" s="44"/>
      <c r="H1068" s="44"/>
      <c r="I1068" s="45"/>
      <c r="J1068" s="45"/>
      <c r="K1068" s="45"/>
      <c r="L1068" s="45"/>
    </row>
    <row r="1069" spans="1:12" ht="17.100000000000001" customHeight="1">
      <c r="A1069" s="43"/>
      <c r="B1069" s="44"/>
      <c r="C1069" s="44"/>
      <c r="D1069" s="85"/>
      <c r="E1069" s="44"/>
      <c r="F1069" s="44"/>
      <c r="G1069" s="44"/>
      <c r="H1069" s="44"/>
      <c r="I1069" s="45"/>
      <c r="J1069" s="45"/>
      <c r="K1069" s="45"/>
      <c r="L1069" s="45"/>
    </row>
    <row r="1070" spans="1:12" ht="17.100000000000001" customHeight="1">
      <c r="A1070" s="43"/>
      <c r="B1070" s="44"/>
      <c r="C1070" s="44"/>
      <c r="D1070" s="85"/>
      <c r="E1070" s="44"/>
      <c r="F1070" s="44"/>
      <c r="G1070" s="44"/>
      <c r="H1070" s="44"/>
      <c r="I1070" s="45"/>
      <c r="J1070" s="45"/>
      <c r="K1070" s="45"/>
      <c r="L1070" s="45"/>
    </row>
    <row r="1071" spans="1:12" ht="17.100000000000001" customHeight="1">
      <c r="A1071" s="43"/>
      <c r="B1071" s="44"/>
      <c r="C1071" s="44"/>
      <c r="D1071" s="85"/>
      <c r="E1071" s="44"/>
      <c r="F1071" s="44"/>
      <c r="G1071" s="44"/>
      <c r="H1071" s="44"/>
      <c r="I1071" s="45"/>
      <c r="J1071" s="45"/>
      <c r="K1071" s="45"/>
      <c r="L1071" s="45"/>
    </row>
    <row r="1072" spans="1:12" ht="17.100000000000001" customHeight="1">
      <c r="A1072" s="43"/>
      <c r="B1072" s="44"/>
      <c r="C1072" s="44"/>
      <c r="D1072" s="85"/>
      <c r="E1072" s="44"/>
      <c r="F1072" s="44"/>
      <c r="G1072" s="44"/>
      <c r="H1072" s="44"/>
      <c r="I1072" s="45"/>
      <c r="J1072" s="45"/>
      <c r="K1072" s="45"/>
      <c r="L1072" s="45"/>
    </row>
    <row r="1073" spans="1:12" ht="17.100000000000001" customHeight="1">
      <c r="A1073" s="43"/>
      <c r="B1073" s="44"/>
      <c r="C1073" s="44"/>
      <c r="D1073" s="85"/>
      <c r="E1073" s="44"/>
      <c r="F1073" s="44"/>
      <c r="G1073" s="44"/>
      <c r="H1073" s="44"/>
      <c r="I1073" s="45"/>
      <c r="J1073" s="45"/>
      <c r="K1073" s="45"/>
      <c r="L1073" s="45"/>
    </row>
    <row r="1074" spans="1:12" ht="17.100000000000001" customHeight="1">
      <c r="A1074" s="43"/>
      <c r="B1074" s="44"/>
      <c r="C1074" s="44"/>
      <c r="D1074" s="85"/>
      <c r="E1074" s="44"/>
      <c r="F1074" s="44"/>
      <c r="G1074" s="44"/>
      <c r="H1074" s="44"/>
      <c r="I1074" s="45"/>
      <c r="J1074" s="45"/>
      <c r="K1074" s="45"/>
      <c r="L1074" s="45"/>
    </row>
    <row r="1075" spans="1:12" ht="17.100000000000001" customHeight="1">
      <c r="A1075" s="43"/>
      <c r="B1075" s="44"/>
      <c r="C1075" s="44"/>
      <c r="D1075" s="85"/>
      <c r="E1075" s="44"/>
      <c r="F1075" s="44"/>
      <c r="G1075" s="44"/>
      <c r="H1075" s="44"/>
      <c r="I1075" s="45"/>
      <c r="J1075" s="45"/>
      <c r="K1075" s="45"/>
      <c r="L1075" s="45"/>
    </row>
    <row r="1076" spans="1:12" ht="17.100000000000001" customHeight="1">
      <c r="A1076" s="43"/>
      <c r="B1076" s="44"/>
      <c r="C1076" s="44"/>
      <c r="D1076" s="85"/>
      <c r="E1076" s="44"/>
      <c r="F1076" s="44"/>
      <c r="G1076" s="44"/>
      <c r="H1076" s="44"/>
      <c r="I1076" s="45"/>
      <c r="J1076" s="45"/>
      <c r="K1076" s="45"/>
      <c r="L1076" s="45"/>
    </row>
    <row r="1077" spans="1:12" ht="17.100000000000001" customHeight="1">
      <c r="A1077" s="43"/>
      <c r="B1077" s="44"/>
      <c r="C1077" s="44"/>
      <c r="D1077" s="85"/>
      <c r="E1077" s="44"/>
      <c r="F1077" s="44"/>
      <c r="G1077" s="44"/>
      <c r="H1077" s="44"/>
      <c r="I1077" s="45"/>
      <c r="J1077" s="45"/>
      <c r="K1077" s="45"/>
      <c r="L1077" s="45"/>
    </row>
    <row r="1078" spans="1:12" ht="17.100000000000001" customHeight="1">
      <c r="A1078" s="43"/>
      <c r="B1078" s="44"/>
      <c r="C1078" s="44"/>
      <c r="D1078" s="85"/>
      <c r="E1078" s="44"/>
      <c r="F1078" s="44"/>
      <c r="G1078" s="44"/>
      <c r="H1078" s="44"/>
      <c r="I1078" s="45"/>
      <c r="J1078" s="45"/>
      <c r="K1078" s="45"/>
      <c r="L1078" s="45"/>
    </row>
    <row r="1079" spans="1:12" ht="17.100000000000001" customHeight="1">
      <c r="A1079" s="43"/>
      <c r="B1079" s="44"/>
      <c r="C1079" s="44"/>
      <c r="D1079" s="85"/>
      <c r="E1079" s="44"/>
      <c r="F1079" s="44"/>
      <c r="G1079" s="44"/>
      <c r="H1079" s="44"/>
      <c r="I1079" s="45"/>
      <c r="J1079" s="45"/>
      <c r="K1079" s="45"/>
      <c r="L1079" s="45"/>
    </row>
    <row r="1080" spans="1:12" ht="17.100000000000001" customHeight="1">
      <c r="A1080" s="43"/>
      <c r="B1080" s="44"/>
      <c r="C1080" s="44"/>
      <c r="D1080" s="85"/>
      <c r="E1080" s="44"/>
      <c r="F1080" s="44"/>
      <c r="G1080" s="44"/>
      <c r="H1080" s="44"/>
      <c r="I1080" s="45"/>
      <c r="J1080" s="45"/>
      <c r="K1080" s="45"/>
      <c r="L1080" s="45"/>
    </row>
    <row r="1081" spans="1:12" ht="17.100000000000001" customHeight="1">
      <c r="A1081" s="43"/>
      <c r="B1081" s="44"/>
      <c r="C1081" s="44"/>
      <c r="D1081" s="85"/>
      <c r="E1081" s="44"/>
      <c r="F1081" s="44"/>
      <c r="G1081" s="44"/>
      <c r="H1081" s="44"/>
      <c r="I1081" s="45"/>
      <c r="J1081" s="45"/>
      <c r="K1081" s="45"/>
      <c r="L1081" s="45"/>
    </row>
    <row r="1082" spans="1:12" ht="17.100000000000001" customHeight="1">
      <c r="A1082" s="43"/>
      <c r="B1082" s="44"/>
      <c r="C1082" s="44"/>
      <c r="D1082" s="85"/>
      <c r="E1082" s="44"/>
      <c r="F1082" s="44"/>
      <c r="G1082" s="44"/>
      <c r="H1082" s="44"/>
      <c r="I1082" s="45"/>
      <c r="J1082" s="45"/>
      <c r="K1082" s="45"/>
      <c r="L1082" s="45"/>
    </row>
    <row r="1083" spans="1:12" ht="17.100000000000001" customHeight="1">
      <c r="A1083" s="43"/>
      <c r="B1083" s="44"/>
      <c r="C1083" s="44"/>
      <c r="D1083" s="85"/>
      <c r="E1083" s="44"/>
      <c r="F1083" s="44"/>
      <c r="G1083" s="44"/>
      <c r="H1083" s="44"/>
      <c r="I1083" s="45"/>
      <c r="J1083" s="45"/>
      <c r="K1083" s="45"/>
      <c r="L1083" s="45"/>
    </row>
    <row r="1084" spans="1:12" ht="17.100000000000001" customHeight="1">
      <c r="A1084" s="43"/>
      <c r="B1084" s="44"/>
      <c r="C1084" s="44"/>
      <c r="D1084" s="85"/>
      <c r="E1084" s="44"/>
      <c r="F1084" s="44"/>
      <c r="G1084" s="44"/>
      <c r="H1084" s="44"/>
      <c r="I1084" s="45"/>
      <c r="J1084" s="45"/>
      <c r="K1084" s="45"/>
      <c r="L1084" s="45"/>
    </row>
    <row r="1085" spans="1:12" ht="17.100000000000001" customHeight="1">
      <c r="A1085" s="43"/>
      <c r="B1085" s="44"/>
      <c r="C1085" s="44"/>
      <c r="D1085" s="85"/>
      <c r="E1085" s="44"/>
      <c r="F1085" s="44"/>
      <c r="G1085" s="44"/>
      <c r="H1085" s="44"/>
      <c r="I1085" s="45"/>
      <c r="J1085" s="45"/>
      <c r="K1085" s="45"/>
      <c r="L1085" s="45"/>
    </row>
    <row r="1086" spans="1:12" ht="17.100000000000001" customHeight="1">
      <c r="A1086" s="43"/>
      <c r="B1086" s="44"/>
      <c r="C1086" s="44"/>
      <c r="D1086" s="85"/>
      <c r="E1086" s="44"/>
      <c r="F1086" s="44"/>
      <c r="G1086" s="44"/>
      <c r="H1086" s="44"/>
      <c r="I1086" s="45"/>
      <c r="J1086" s="45"/>
      <c r="K1086" s="45"/>
      <c r="L1086" s="45"/>
    </row>
    <row r="1087" spans="1:12" ht="17.100000000000001" customHeight="1">
      <c r="A1087" s="43"/>
      <c r="B1087" s="44"/>
      <c r="C1087" s="44"/>
      <c r="D1087" s="85"/>
      <c r="E1087" s="44"/>
      <c r="F1087" s="44"/>
      <c r="G1087" s="44"/>
      <c r="H1087" s="44"/>
      <c r="I1087" s="45"/>
      <c r="J1087" s="45"/>
      <c r="K1087" s="45"/>
      <c r="L1087" s="45"/>
    </row>
    <row r="1088" spans="1:12" ht="17.100000000000001" customHeight="1">
      <c r="A1088" s="43"/>
      <c r="B1088" s="44"/>
      <c r="C1088" s="44"/>
      <c r="D1088" s="85"/>
      <c r="E1088" s="44"/>
      <c r="F1088" s="44"/>
      <c r="G1088" s="44"/>
      <c r="H1088" s="44"/>
      <c r="I1088" s="45"/>
      <c r="J1088" s="45"/>
      <c r="K1088" s="45"/>
      <c r="L1088" s="45"/>
    </row>
    <row r="1089" spans="1:12" ht="17.100000000000001" customHeight="1">
      <c r="A1089" s="43"/>
      <c r="B1089" s="44"/>
      <c r="C1089" s="44"/>
      <c r="D1089" s="85"/>
      <c r="E1089" s="44"/>
      <c r="F1089" s="44"/>
      <c r="G1089" s="44"/>
      <c r="H1089" s="44"/>
      <c r="I1089" s="45"/>
      <c r="J1089" s="45"/>
      <c r="K1089" s="45"/>
      <c r="L1089" s="45"/>
    </row>
    <row r="1090" spans="1:12" ht="17.100000000000001" customHeight="1">
      <c r="A1090" s="43"/>
      <c r="B1090" s="44"/>
      <c r="C1090" s="44"/>
      <c r="D1090" s="85"/>
      <c r="E1090" s="44"/>
      <c r="F1090" s="44"/>
      <c r="G1090" s="44"/>
      <c r="H1090" s="44"/>
      <c r="I1090" s="45"/>
      <c r="J1090" s="45"/>
      <c r="K1090" s="45"/>
      <c r="L1090" s="45"/>
    </row>
    <row r="1091" spans="1:12" ht="17.100000000000001" customHeight="1">
      <c r="A1091" s="43"/>
      <c r="B1091" s="44"/>
      <c r="C1091" s="44"/>
      <c r="D1091" s="85"/>
      <c r="E1091" s="44"/>
      <c r="F1091" s="44"/>
      <c r="G1091" s="44"/>
      <c r="H1091" s="44"/>
      <c r="I1091" s="45"/>
      <c r="J1091" s="45"/>
      <c r="K1091" s="45"/>
      <c r="L1091" s="45"/>
    </row>
    <row r="1092" spans="1:12" ht="17.100000000000001" customHeight="1">
      <c r="A1092" s="43"/>
      <c r="B1092" s="44"/>
      <c r="C1092" s="44"/>
      <c r="D1092" s="85"/>
      <c r="E1092" s="44"/>
      <c r="F1092" s="44"/>
      <c r="G1092" s="44"/>
      <c r="H1092" s="44"/>
      <c r="I1092" s="45"/>
      <c r="J1092" s="45"/>
      <c r="K1092" s="45"/>
      <c r="L1092" s="45"/>
    </row>
    <row r="1093" spans="1:12" ht="17.100000000000001" customHeight="1">
      <c r="A1093" s="43"/>
      <c r="B1093" s="44"/>
      <c r="C1093" s="44"/>
      <c r="D1093" s="85"/>
      <c r="E1093" s="44"/>
      <c r="F1093" s="44"/>
      <c r="G1093" s="44"/>
      <c r="H1093" s="44"/>
      <c r="I1093" s="45"/>
      <c r="J1093" s="45"/>
      <c r="K1093" s="45"/>
      <c r="L1093" s="45"/>
    </row>
    <row r="1094" spans="1:12" ht="17.100000000000001" customHeight="1">
      <c r="A1094" s="43"/>
      <c r="B1094" s="44"/>
      <c r="C1094" s="44"/>
      <c r="D1094" s="85"/>
      <c r="E1094" s="44"/>
      <c r="F1094" s="44"/>
      <c r="G1094" s="44"/>
      <c r="H1094" s="44"/>
      <c r="I1094" s="45"/>
      <c r="J1094" s="45"/>
      <c r="K1094" s="45"/>
      <c r="L1094" s="45"/>
    </row>
    <row r="1095" spans="1:12" ht="17.100000000000001" customHeight="1">
      <c r="A1095" s="43"/>
      <c r="B1095" s="44"/>
      <c r="C1095" s="44"/>
      <c r="D1095" s="85"/>
      <c r="E1095" s="44"/>
      <c r="F1095" s="44"/>
      <c r="G1095" s="44"/>
      <c r="H1095" s="44"/>
      <c r="I1095" s="45"/>
      <c r="J1095" s="45"/>
      <c r="K1095" s="45"/>
      <c r="L1095" s="45"/>
    </row>
    <row r="1096" spans="1:12" ht="17.100000000000001" customHeight="1">
      <c r="A1096" s="43"/>
      <c r="B1096" s="44"/>
      <c r="C1096" s="44"/>
      <c r="D1096" s="85"/>
      <c r="E1096" s="44"/>
      <c r="F1096" s="44"/>
      <c r="G1096" s="44"/>
      <c r="H1096" s="44"/>
      <c r="I1096" s="45"/>
      <c r="J1096" s="45"/>
      <c r="K1096" s="45"/>
      <c r="L1096" s="45"/>
    </row>
    <row r="1097" spans="1:12" ht="17.100000000000001" customHeight="1">
      <c r="A1097" s="43"/>
      <c r="B1097" s="44"/>
      <c r="C1097" s="44"/>
      <c r="D1097" s="85"/>
      <c r="E1097" s="44"/>
      <c r="F1097" s="44"/>
      <c r="G1097" s="44"/>
      <c r="H1097" s="44"/>
      <c r="I1097" s="45"/>
      <c r="J1097" s="45"/>
      <c r="K1097" s="45"/>
      <c r="L1097" s="45"/>
    </row>
    <row r="1098" spans="1:12" ht="17.100000000000001" customHeight="1">
      <c r="A1098" s="43"/>
      <c r="B1098" s="44"/>
      <c r="C1098" s="44"/>
      <c r="D1098" s="85"/>
      <c r="E1098" s="44"/>
      <c r="F1098" s="44"/>
      <c r="G1098" s="44"/>
      <c r="H1098" s="44"/>
      <c r="I1098" s="45"/>
      <c r="J1098" s="45"/>
      <c r="K1098" s="45"/>
      <c r="L1098" s="45"/>
    </row>
    <row r="1099" spans="1:12" ht="17.100000000000001" customHeight="1">
      <c r="A1099" s="43"/>
      <c r="B1099" s="44"/>
      <c r="C1099" s="44"/>
      <c r="D1099" s="85"/>
      <c r="E1099" s="44"/>
      <c r="F1099" s="44"/>
      <c r="G1099" s="44"/>
      <c r="H1099" s="44"/>
      <c r="I1099" s="45"/>
      <c r="J1099" s="45"/>
      <c r="K1099" s="45"/>
      <c r="L1099" s="45"/>
    </row>
    <row r="1100" spans="1:12" ht="17.100000000000001" customHeight="1">
      <c r="A1100" s="43"/>
      <c r="B1100" s="44"/>
      <c r="C1100" s="44"/>
      <c r="D1100" s="85"/>
      <c r="E1100" s="44"/>
      <c r="F1100" s="44"/>
      <c r="G1100" s="44"/>
      <c r="H1100" s="44"/>
      <c r="I1100" s="45"/>
      <c r="J1100" s="45"/>
      <c r="K1100" s="45"/>
      <c r="L1100" s="45"/>
    </row>
    <row r="1101" spans="1:12" ht="17.100000000000001" customHeight="1">
      <c r="A1101" s="43"/>
      <c r="B1101" s="44"/>
      <c r="C1101" s="44"/>
      <c r="D1101" s="85"/>
      <c r="E1101" s="44"/>
      <c r="F1101" s="44"/>
      <c r="G1101" s="44"/>
      <c r="H1101" s="44"/>
      <c r="I1101" s="45"/>
      <c r="J1101" s="45"/>
      <c r="K1101" s="45"/>
      <c r="L1101" s="45"/>
    </row>
    <row r="1102" spans="1:12" ht="17.100000000000001" customHeight="1">
      <c r="A1102" s="43"/>
      <c r="B1102" s="44"/>
      <c r="C1102" s="44"/>
      <c r="D1102" s="85"/>
      <c r="E1102" s="44"/>
      <c r="F1102" s="44"/>
      <c r="G1102" s="44"/>
      <c r="H1102" s="44"/>
      <c r="I1102" s="45"/>
      <c r="J1102" s="45"/>
      <c r="K1102" s="45"/>
      <c r="L1102" s="45"/>
    </row>
    <row r="1103" spans="1:12" ht="17.100000000000001" customHeight="1">
      <c r="A1103" s="43"/>
      <c r="B1103" s="44"/>
      <c r="C1103" s="44"/>
      <c r="D1103" s="85"/>
      <c r="E1103" s="44"/>
      <c r="F1103" s="44"/>
      <c r="G1103" s="44"/>
      <c r="H1103" s="44"/>
      <c r="I1103" s="45"/>
      <c r="J1103" s="45"/>
      <c r="K1103" s="45"/>
      <c r="L1103" s="45"/>
    </row>
    <row r="1104" spans="1:12" ht="17.100000000000001" customHeight="1">
      <c r="A1104" s="43"/>
      <c r="B1104" s="44"/>
      <c r="C1104" s="44"/>
      <c r="D1104" s="85"/>
      <c r="E1104" s="44"/>
      <c r="F1104" s="44"/>
      <c r="G1104" s="44"/>
      <c r="H1104" s="44"/>
      <c r="I1104" s="45"/>
      <c r="J1104" s="45"/>
      <c r="K1104" s="45"/>
      <c r="L1104" s="45"/>
    </row>
    <row r="1105" spans="1:12" ht="17.100000000000001" customHeight="1">
      <c r="A1105" s="43"/>
      <c r="B1105" s="44"/>
      <c r="C1105" s="44"/>
      <c r="D1105" s="85"/>
      <c r="E1105" s="44"/>
      <c r="F1105" s="44"/>
      <c r="G1105" s="44"/>
      <c r="H1105" s="44"/>
      <c r="I1105" s="45"/>
      <c r="J1105" s="45"/>
      <c r="K1105" s="45"/>
      <c r="L1105" s="45"/>
    </row>
    <row r="1106" spans="1:12" ht="17.100000000000001" customHeight="1">
      <c r="A1106" s="43"/>
      <c r="B1106" s="44"/>
      <c r="C1106" s="44"/>
      <c r="D1106" s="85"/>
      <c r="E1106" s="44"/>
      <c r="F1106" s="44"/>
      <c r="G1106" s="44"/>
      <c r="H1106" s="44"/>
      <c r="I1106" s="45"/>
      <c r="J1106" s="45"/>
      <c r="K1106" s="45"/>
      <c r="L1106" s="45"/>
    </row>
    <row r="1107" spans="1:12" ht="17.100000000000001" customHeight="1">
      <c r="A1107" s="43"/>
      <c r="B1107" s="44"/>
      <c r="C1107" s="44"/>
      <c r="D1107" s="85"/>
      <c r="E1107" s="44"/>
      <c r="F1107" s="44"/>
      <c r="G1107" s="44"/>
      <c r="H1107" s="44"/>
      <c r="I1107" s="45"/>
      <c r="J1107" s="45"/>
      <c r="K1107" s="45"/>
      <c r="L1107" s="45"/>
    </row>
    <row r="1108" spans="1:12" ht="17.100000000000001" customHeight="1">
      <c r="A1108" s="43"/>
      <c r="B1108" s="44"/>
      <c r="C1108" s="44"/>
      <c r="D1108" s="85"/>
      <c r="E1108" s="44"/>
      <c r="F1108" s="44"/>
      <c r="G1108" s="44"/>
      <c r="H1108" s="44"/>
      <c r="I1108" s="45"/>
      <c r="J1108" s="45"/>
      <c r="K1108" s="45"/>
      <c r="L1108" s="45"/>
    </row>
    <row r="1109" spans="1:12" ht="17.100000000000001" customHeight="1">
      <c r="A1109" s="43"/>
      <c r="B1109" s="44"/>
      <c r="C1109" s="44"/>
      <c r="D1109" s="85"/>
      <c r="E1109" s="44"/>
      <c r="F1109" s="44"/>
      <c r="G1109" s="44"/>
      <c r="H1109" s="44"/>
      <c r="I1109" s="45"/>
      <c r="J1109" s="45"/>
      <c r="K1109" s="45"/>
      <c r="L1109" s="45"/>
    </row>
    <row r="1110" spans="1:12" ht="17.100000000000001" customHeight="1">
      <c r="A1110" s="43"/>
      <c r="B1110" s="44"/>
      <c r="C1110" s="44"/>
      <c r="D1110" s="85"/>
      <c r="E1110" s="44"/>
      <c r="F1110" s="44"/>
      <c r="G1110" s="44"/>
      <c r="H1110" s="44"/>
      <c r="I1110" s="45"/>
      <c r="J1110" s="45"/>
      <c r="K1110" s="45"/>
      <c r="L1110" s="45"/>
    </row>
    <row r="1111" spans="1:12" ht="17.100000000000001" customHeight="1">
      <c r="A1111" s="43"/>
      <c r="B1111" s="44"/>
      <c r="C1111" s="44"/>
      <c r="D1111" s="85"/>
      <c r="E1111" s="44"/>
      <c r="F1111" s="44"/>
      <c r="G1111" s="44"/>
      <c r="H1111" s="44"/>
      <c r="I1111" s="45"/>
      <c r="J1111" s="45"/>
      <c r="K1111" s="45"/>
      <c r="L1111" s="45"/>
    </row>
    <row r="1112" spans="1:12" ht="17.100000000000001" customHeight="1">
      <c r="A1112" s="43"/>
      <c r="B1112" s="44"/>
      <c r="C1112" s="44"/>
      <c r="D1112" s="85"/>
      <c r="E1112" s="44"/>
      <c r="F1112" s="44"/>
      <c r="G1112" s="44"/>
      <c r="H1112" s="44"/>
      <c r="I1112" s="45"/>
      <c r="J1112" s="45"/>
      <c r="K1112" s="45"/>
      <c r="L1112" s="45"/>
    </row>
    <row r="1113" spans="1:12" ht="17.100000000000001" customHeight="1">
      <c r="A1113" s="43"/>
      <c r="B1113" s="44"/>
      <c r="C1113" s="44"/>
      <c r="D1113" s="85"/>
      <c r="E1113" s="44"/>
      <c r="F1113" s="44"/>
      <c r="G1113" s="44"/>
      <c r="H1113" s="44"/>
      <c r="I1113" s="45"/>
      <c r="J1113" s="45"/>
      <c r="K1113" s="45"/>
      <c r="L1113" s="45"/>
    </row>
    <row r="1114" spans="1:12" ht="17.100000000000001" customHeight="1">
      <c r="A1114" s="43"/>
      <c r="B1114" s="44"/>
      <c r="C1114" s="44"/>
      <c r="D1114" s="85"/>
      <c r="E1114" s="44"/>
      <c r="F1114" s="44"/>
      <c r="G1114" s="44"/>
      <c r="H1114" s="44"/>
      <c r="I1114" s="45"/>
      <c r="J1114" s="45"/>
      <c r="K1114" s="45"/>
      <c r="L1114" s="45"/>
    </row>
    <row r="1115" spans="1:12" ht="17.100000000000001" customHeight="1">
      <c r="A1115" s="43"/>
      <c r="B1115" s="44"/>
      <c r="C1115" s="44"/>
      <c r="D1115" s="85"/>
      <c r="E1115" s="44"/>
      <c r="F1115" s="44"/>
      <c r="G1115" s="44"/>
      <c r="H1115" s="44"/>
      <c r="I1115" s="45"/>
      <c r="J1115" s="45"/>
      <c r="K1115" s="45"/>
      <c r="L1115" s="45"/>
    </row>
    <row r="1116" spans="1:12" ht="17.100000000000001" customHeight="1">
      <c r="A1116" s="43"/>
      <c r="B1116" s="44"/>
      <c r="C1116" s="44"/>
      <c r="D1116" s="85"/>
      <c r="E1116" s="44"/>
      <c r="F1116" s="44"/>
      <c r="G1116" s="44"/>
      <c r="H1116" s="44"/>
      <c r="I1116" s="45"/>
      <c r="J1116" s="45"/>
      <c r="K1116" s="45"/>
      <c r="L1116" s="45"/>
    </row>
    <row r="1117" spans="1:12" ht="17.100000000000001" customHeight="1">
      <c r="A1117" s="43"/>
      <c r="B1117" s="44"/>
      <c r="C1117" s="44"/>
      <c r="D1117" s="85"/>
      <c r="E1117" s="44"/>
      <c r="F1117" s="44"/>
      <c r="G1117" s="44"/>
      <c r="H1117" s="44"/>
      <c r="I1117" s="45"/>
      <c r="J1117" s="45"/>
      <c r="K1117" s="45"/>
      <c r="L1117" s="45"/>
    </row>
    <row r="1118" spans="1:12" ht="17.100000000000001" customHeight="1">
      <c r="A1118" s="43"/>
      <c r="B1118" s="44"/>
      <c r="C1118" s="44"/>
      <c r="D1118" s="85"/>
      <c r="E1118" s="44"/>
      <c r="F1118" s="44"/>
      <c r="G1118" s="44"/>
      <c r="H1118" s="44"/>
      <c r="I1118" s="45"/>
      <c r="J1118" s="45"/>
      <c r="K1118" s="45"/>
      <c r="L1118" s="45"/>
    </row>
    <row r="1119" spans="1:12" ht="17.100000000000001" customHeight="1">
      <c r="A1119" s="43"/>
      <c r="B1119" s="44"/>
      <c r="C1119" s="44"/>
      <c r="D1119" s="85"/>
      <c r="E1119" s="44"/>
      <c r="F1119" s="44"/>
      <c r="G1119" s="44"/>
      <c r="H1119" s="44"/>
      <c r="I1119" s="45"/>
      <c r="J1119" s="45"/>
      <c r="K1119" s="45"/>
      <c r="L1119" s="45"/>
    </row>
    <row r="1120" spans="1:12" ht="17.100000000000001" customHeight="1">
      <c r="A1120" s="43"/>
      <c r="B1120" s="44"/>
      <c r="C1120" s="44"/>
      <c r="D1120" s="85"/>
      <c r="E1120" s="44"/>
      <c r="F1120" s="44"/>
      <c r="G1120" s="44"/>
      <c r="H1120" s="44"/>
      <c r="I1120" s="45"/>
      <c r="J1120" s="45"/>
      <c r="K1120" s="45"/>
      <c r="L1120" s="45"/>
    </row>
    <row r="1121" spans="1:12" ht="17.100000000000001" customHeight="1">
      <c r="A1121" s="43"/>
      <c r="B1121" s="44"/>
      <c r="C1121" s="44"/>
      <c r="D1121" s="85"/>
      <c r="E1121" s="44"/>
      <c r="F1121" s="44"/>
      <c r="G1121" s="44"/>
      <c r="H1121" s="44"/>
      <c r="I1121" s="45"/>
      <c r="J1121" s="45"/>
      <c r="K1121" s="45"/>
      <c r="L1121" s="45"/>
    </row>
    <row r="1122" spans="1:12" ht="17.100000000000001" customHeight="1">
      <c r="A1122" s="43"/>
      <c r="B1122" s="44"/>
      <c r="C1122" s="44"/>
      <c r="D1122" s="85"/>
      <c r="E1122" s="44"/>
      <c r="F1122" s="44"/>
      <c r="G1122" s="44"/>
      <c r="H1122" s="44"/>
      <c r="I1122" s="45"/>
      <c r="J1122" s="45"/>
      <c r="K1122" s="45"/>
      <c r="L1122" s="45"/>
    </row>
    <row r="1123" spans="1:12" ht="17.100000000000001" customHeight="1">
      <c r="A1123" s="43"/>
      <c r="B1123" s="44"/>
      <c r="C1123" s="44"/>
      <c r="D1123" s="85"/>
      <c r="E1123" s="44"/>
      <c r="F1123" s="44"/>
      <c r="G1123" s="44"/>
      <c r="H1123" s="44"/>
      <c r="I1123" s="45"/>
      <c r="J1123" s="45"/>
      <c r="K1123" s="45"/>
      <c r="L1123" s="45"/>
    </row>
    <row r="1124" spans="1:12" ht="17.100000000000001" customHeight="1">
      <c r="A1124" s="43"/>
      <c r="B1124" s="44"/>
      <c r="C1124" s="44"/>
      <c r="D1124" s="85"/>
      <c r="E1124" s="44"/>
      <c r="F1124" s="44"/>
      <c r="G1124" s="44"/>
      <c r="H1124" s="44"/>
      <c r="I1124" s="45"/>
      <c r="J1124" s="45"/>
      <c r="K1124" s="45"/>
      <c r="L1124" s="45"/>
    </row>
    <row r="1125" spans="1:12" ht="17.100000000000001" customHeight="1">
      <c r="A1125" s="43"/>
      <c r="B1125" s="44"/>
      <c r="C1125" s="44"/>
      <c r="D1125" s="85"/>
      <c r="E1125" s="44"/>
      <c r="F1125" s="44"/>
      <c r="G1125" s="44"/>
      <c r="H1125" s="44"/>
      <c r="I1125" s="45"/>
      <c r="J1125" s="45"/>
      <c r="K1125" s="45"/>
      <c r="L1125" s="45"/>
    </row>
    <row r="1126" spans="1:12" ht="17.100000000000001" customHeight="1">
      <c r="A1126" s="43"/>
      <c r="B1126" s="44"/>
      <c r="C1126" s="44"/>
      <c r="D1126" s="85"/>
      <c r="E1126" s="44"/>
      <c r="F1126" s="44"/>
      <c r="G1126" s="44"/>
      <c r="H1126" s="44"/>
      <c r="I1126" s="45"/>
      <c r="J1126" s="45"/>
      <c r="K1126" s="45"/>
      <c r="L1126" s="45"/>
    </row>
    <row r="1127" spans="1:12" ht="17.100000000000001" customHeight="1">
      <c r="A1127" s="43"/>
      <c r="B1127" s="44"/>
      <c r="C1127" s="44"/>
      <c r="D1127" s="85"/>
      <c r="E1127" s="44"/>
      <c r="F1127" s="44"/>
      <c r="G1127" s="44"/>
      <c r="H1127" s="44"/>
      <c r="I1127" s="45"/>
      <c r="J1127" s="45"/>
      <c r="K1127" s="45"/>
      <c r="L1127" s="45"/>
    </row>
    <row r="1128" spans="1:12" ht="17.100000000000001" customHeight="1">
      <c r="A1128" s="43"/>
      <c r="B1128" s="44"/>
      <c r="C1128" s="44"/>
      <c r="D1128" s="85"/>
      <c r="E1128" s="44"/>
      <c r="F1128" s="44"/>
      <c r="G1128" s="44"/>
      <c r="H1128" s="44"/>
      <c r="I1128" s="45"/>
      <c r="J1128" s="45"/>
      <c r="K1128" s="45"/>
      <c r="L1128" s="45"/>
    </row>
    <row r="1129" spans="1:12" ht="17.100000000000001" customHeight="1">
      <c r="A1129" s="43"/>
      <c r="B1129" s="44"/>
      <c r="C1129" s="44"/>
      <c r="D1129" s="85"/>
      <c r="E1129" s="44"/>
      <c r="F1129" s="44"/>
      <c r="G1129" s="44"/>
      <c r="H1129" s="44"/>
      <c r="I1129" s="45"/>
      <c r="J1129" s="45"/>
      <c r="K1129" s="45"/>
      <c r="L1129" s="45"/>
    </row>
    <row r="1130" spans="1:12" ht="17.100000000000001" customHeight="1">
      <c r="A1130" s="43"/>
      <c r="B1130" s="44"/>
      <c r="C1130" s="44"/>
      <c r="D1130" s="85"/>
      <c r="E1130" s="44"/>
      <c r="F1130" s="44"/>
      <c r="G1130" s="44"/>
      <c r="H1130" s="44"/>
      <c r="I1130" s="45"/>
      <c r="J1130" s="45"/>
      <c r="K1130" s="45"/>
      <c r="L1130" s="45"/>
    </row>
    <row r="1131" spans="1:12" ht="17.100000000000001" customHeight="1">
      <c r="A1131" s="43"/>
      <c r="B1131" s="44"/>
      <c r="C1131" s="44"/>
      <c r="D1131" s="85"/>
      <c r="E1131" s="44"/>
      <c r="F1131" s="44"/>
      <c r="G1131" s="44"/>
      <c r="H1131" s="44"/>
      <c r="I1131" s="45"/>
      <c r="J1131" s="45"/>
      <c r="K1131" s="45"/>
      <c r="L1131" s="45"/>
    </row>
    <row r="1132" spans="1:12" ht="17.100000000000001" customHeight="1">
      <c r="A1132" s="43"/>
      <c r="B1132" s="44"/>
      <c r="C1132" s="44"/>
      <c r="D1132" s="85"/>
      <c r="E1132" s="44"/>
      <c r="F1132" s="44"/>
      <c r="G1132" s="44"/>
      <c r="H1132" s="44"/>
      <c r="I1132" s="45"/>
      <c r="J1132" s="45"/>
      <c r="K1132" s="45"/>
      <c r="L1132" s="45"/>
    </row>
    <row r="1133" spans="1:12" ht="17.100000000000001" customHeight="1">
      <c r="A1133" s="43"/>
      <c r="B1133" s="44"/>
      <c r="C1133" s="44"/>
      <c r="D1133" s="85"/>
      <c r="E1133" s="44"/>
      <c r="F1133" s="44"/>
      <c r="G1133" s="44"/>
      <c r="H1133" s="44"/>
      <c r="I1133" s="45"/>
      <c r="J1133" s="45"/>
      <c r="K1133" s="45"/>
      <c r="L1133" s="45"/>
    </row>
    <row r="1134" spans="1:12" ht="17.100000000000001" customHeight="1">
      <c r="A1134" s="43"/>
      <c r="B1134" s="44"/>
      <c r="C1134" s="44"/>
      <c r="D1134" s="85"/>
      <c r="E1134" s="44"/>
      <c r="F1134" s="44"/>
      <c r="G1134" s="44"/>
      <c r="H1134" s="44"/>
      <c r="I1134" s="45"/>
      <c r="J1134" s="45"/>
      <c r="K1134" s="45"/>
      <c r="L1134" s="45"/>
    </row>
    <row r="1135" spans="1:12" ht="17.100000000000001" customHeight="1">
      <c r="A1135" s="43"/>
      <c r="B1135" s="44"/>
      <c r="C1135" s="44"/>
      <c r="D1135" s="85"/>
      <c r="E1135" s="44"/>
      <c r="F1135" s="44"/>
      <c r="G1135" s="44"/>
      <c r="H1135" s="44"/>
      <c r="I1135" s="45"/>
      <c r="J1135" s="45"/>
      <c r="K1135" s="45"/>
      <c r="L1135" s="45"/>
    </row>
    <row r="1136" spans="1:12" ht="17.100000000000001" customHeight="1">
      <c r="A1136" s="43"/>
      <c r="B1136" s="44"/>
      <c r="C1136" s="44"/>
      <c r="D1136" s="85"/>
      <c r="E1136" s="44"/>
      <c r="F1136" s="44"/>
      <c r="G1136" s="44"/>
      <c r="H1136" s="44"/>
      <c r="I1136" s="45"/>
      <c r="J1136" s="45"/>
      <c r="K1136" s="45"/>
      <c r="L1136" s="45"/>
    </row>
    <row r="1137" spans="1:12" ht="17.100000000000001" customHeight="1">
      <c r="A1137" s="43"/>
      <c r="B1137" s="44"/>
      <c r="C1137" s="44"/>
      <c r="D1137" s="85"/>
      <c r="E1137" s="44"/>
      <c r="F1137" s="44"/>
      <c r="G1137" s="44"/>
      <c r="H1137" s="44"/>
      <c r="I1137" s="45"/>
      <c r="J1137" s="45"/>
      <c r="K1137" s="45"/>
      <c r="L1137" s="45"/>
    </row>
    <row r="1138" spans="1:12" ht="17.100000000000001" customHeight="1">
      <c r="A1138" s="43"/>
      <c r="B1138" s="44"/>
      <c r="C1138" s="44"/>
      <c r="D1138" s="85"/>
      <c r="E1138" s="44"/>
      <c r="F1138" s="44"/>
      <c r="G1138" s="44"/>
      <c r="H1138" s="44"/>
      <c r="I1138" s="45"/>
      <c r="J1138" s="45"/>
      <c r="K1138" s="45"/>
      <c r="L1138" s="45"/>
    </row>
    <row r="1139" spans="1:12" ht="17.100000000000001" customHeight="1">
      <c r="A1139" s="43"/>
      <c r="B1139" s="44"/>
      <c r="C1139" s="44"/>
      <c r="D1139" s="85"/>
      <c r="E1139" s="44"/>
      <c r="F1139" s="44"/>
      <c r="G1139" s="44"/>
      <c r="H1139" s="44"/>
      <c r="I1139" s="45"/>
      <c r="J1139" s="45"/>
      <c r="K1139" s="45"/>
      <c r="L1139" s="45"/>
    </row>
    <row r="1140" spans="1:12" ht="17.100000000000001" customHeight="1">
      <c r="A1140" s="43"/>
      <c r="B1140" s="44"/>
      <c r="C1140" s="44"/>
      <c r="D1140" s="85"/>
      <c r="E1140" s="44"/>
      <c r="F1140" s="44"/>
      <c r="G1140" s="44"/>
      <c r="H1140" s="44"/>
      <c r="I1140" s="45"/>
      <c r="J1140" s="45"/>
      <c r="K1140" s="45"/>
      <c r="L1140" s="45"/>
    </row>
    <row r="1141" spans="1:12" ht="17.100000000000001" customHeight="1">
      <c r="A1141" s="43"/>
      <c r="B1141" s="44"/>
      <c r="C1141" s="44"/>
      <c r="D1141" s="85"/>
      <c r="E1141" s="44"/>
      <c r="F1141" s="44"/>
      <c r="G1141" s="44"/>
      <c r="H1141" s="44"/>
      <c r="I1141" s="45"/>
      <c r="J1141" s="45"/>
      <c r="K1141" s="45"/>
      <c r="L1141" s="45"/>
    </row>
    <row r="1142" spans="1:12" ht="17.100000000000001" customHeight="1">
      <c r="A1142" s="43"/>
      <c r="B1142" s="44"/>
      <c r="C1142" s="44"/>
      <c r="D1142" s="85"/>
      <c r="E1142" s="44"/>
      <c r="F1142" s="44"/>
      <c r="G1142" s="44"/>
      <c r="H1142" s="44"/>
      <c r="I1142" s="45"/>
      <c r="J1142" s="45"/>
      <c r="K1142" s="45"/>
      <c r="L1142" s="45"/>
    </row>
    <row r="1143" spans="1:12" ht="17.100000000000001" customHeight="1">
      <c r="A1143" s="43"/>
      <c r="B1143" s="44"/>
      <c r="C1143" s="44"/>
      <c r="D1143" s="85"/>
      <c r="E1143" s="44"/>
      <c r="F1143" s="44"/>
      <c r="G1143" s="44"/>
      <c r="H1143" s="44"/>
      <c r="I1143" s="45"/>
      <c r="J1143" s="45"/>
      <c r="K1143" s="45"/>
      <c r="L1143" s="45"/>
    </row>
    <row r="1144" spans="1:12" ht="17.100000000000001" customHeight="1">
      <c r="A1144" s="43"/>
      <c r="B1144" s="44"/>
      <c r="C1144" s="44"/>
      <c r="D1144" s="85"/>
      <c r="E1144" s="44"/>
      <c r="F1144" s="44"/>
      <c r="G1144" s="44"/>
      <c r="H1144" s="44"/>
      <c r="I1144" s="45"/>
      <c r="J1144" s="45"/>
      <c r="K1144" s="45"/>
      <c r="L1144" s="45"/>
    </row>
    <row r="1145" spans="1:12" ht="17.100000000000001" customHeight="1">
      <c r="A1145" s="43"/>
      <c r="B1145" s="44"/>
      <c r="C1145" s="44"/>
      <c r="D1145" s="85"/>
      <c r="E1145" s="44"/>
      <c r="F1145" s="44"/>
      <c r="G1145" s="44"/>
      <c r="H1145" s="44"/>
      <c r="I1145" s="45"/>
      <c r="J1145" s="45"/>
      <c r="K1145" s="45"/>
      <c r="L1145" s="45"/>
    </row>
    <row r="1146" spans="1:12" ht="17.100000000000001" customHeight="1">
      <c r="A1146" s="43"/>
      <c r="B1146" s="44"/>
      <c r="C1146" s="44"/>
      <c r="D1146" s="85"/>
      <c r="E1146" s="44"/>
      <c r="F1146" s="44"/>
      <c r="G1146" s="44"/>
      <c r="H1146" s="44"/>
      <c r="I1146" s="45"/>
      <c r="J1146" s="45"/>
      <c r="K1146" s="45"/>
      <c r="L1146" s="45"/>
    </row>
    <row r="1147" spans="1:12" ht="17.100000000000001" customHeight="1">
      <c r="A1147" s="43"/>
      <c r="B1147" s="44"/>
      <c r="C1147" s="44"/>
      <c r="D1147" s="85"/>
      <c r="E1147" s="44"/>
      <c r="F1147" s="44"/>
      <c r="G1147" s="44"/>
      <c r="H1147" s="44"/>
      <c r="I1147" s="45"/>
      <c r="J1147" s="45"/>
      <c r="K1147" s="45"/>
      <c r="L1147" s="45"/>
    </row>
    <row r="1148" spans="1:12" ht="17.100000000000001" customHeight="1">
      <c r="A1148" s="43"/>
      <c r="B1148" s="44"/>
      <c r="C1148" s="44"/>
      <c r="D1148" s="85"/>
      <c r="E1148" s="44"/>
      <c r="F1148" s="44"/>
      <c r="G1148" s="44"/>
      <c r="H1148" s="44"/>
      <c r="I1148" s="45"/>
      <c r="J1148" s="45"/>
      <c r="K1148" s="45"/>
      <c r="L1148" s="45"/>
    </row>
    <row r="1149" spans="1:12" ht="17.100000000000001" customHeight="1">
      <c r="A1149" s="43"/>
      <c r="B1149" s="44"/>
      <c r="C1149" s="44"/>
      <c r="D1149" s="85"/>
      <c r="E1149" s="44"/>
      <c r="F1149" s="44"/>
      <c r="G1149" s="44"/>
      <c r="H1149" s="44"/>
      <c r="I1149" s="45"/>
      <c r="J1149" s="45"/>
      <c r="K1149" s="45"/>
      <c r="L1149" s="45"/>
    </row>
    <row r="1150" spans="1:12" ht="17.100000000000001" customHeight="1">
      <c r="A1150" s="43"/>
      <c r="B1150" s="44"/>
      <c r="C1150" s="44"/>
      <c r="D1150" s="85"/>
      <c r="E1150" s="44"/>
      <c r="F1150" s="44"/>
      <c r="G1150" s="44"/>
      <c r="H1150" s="44"/>
      <c r="I1150" s="45"/>
      <c r="J1150" s="45"/>
      <c r="K1150" s="45"/>
      <c r="L1150" s="45"/>
    </row>
    <row r="1151" spans="1:12" ht="17.100000000000001" customHeight="1">
      <c r="A1151" s="43"/>
      <c r="B1151" s="44"/>
      <c r="C1151" s="44"/>
      <c r="D1151" s="85"/>
      <c r="E1151" s="44"/>
      <c r="F1151" s="44"/>
      <c r="G1151" s="44"/>
      <c r="H1151" s="44"/>
      <c r="I1151" s="45"/>
      <c r="J1151" s="45"/>
      <c r="K1151" s="45"/>
      <c r="L1151" s="45"/>
    </row>
    <row r="1152" spans="1:12" ht="17.100000000000001" customHeight="1">
      <c r="A1152" s="43"/>
      <c r="B1152" s="44"/>
      <c r="C1152" s="44"/>
      <c r="D1152" s="85"/>
      <c r="E1152" s="44"/>
      <c r="F1152" s="44"/>
      <c r="G1152" s="44"/>
      <c r="H1152" s="44"/>
      <c r="I1152" s="45"/>
      <c r="J1152" s="45"/>
      <c r="K1152" s="45"/>
      <c r="L1152" s="45"/>
    </row>
    <row r="1153" spans="1:12" ht="17.100000000000001" customHeight="1">
      <c r="A1153" s="43"/>
      <c r="B1153" s="44"/>
      <c r="C1153" s="44"/>
      <c r="D1153" s="85"/>
      <c r="E1153" s="44"/>
      <c r="F1153" s="44"/>
      <c r="G1153" s="44"/>
      <c r="H1153" s="44"/>
      <c r="I1153" s="45"/>
      <c r="J1153" s="45"/>
      <c r="K1153" s="45"/>
      <c r="L1153" s="45"/>
    </row>
    <row r="1154" spans="1:12" ht="17.100000000000001" customHeight="1">
      <c r="A1154" s="43"/>
      <c r="B1154" s="44"/>
      <c r="C1154" s="44"/>
      <c r="D1154" s="85"/>
      <c r="E1154" s="44"/>
      <c r="F1154" s="44"/>
      <c r="G1154" s="44"/>
      <c r="H1154" s="44"/>
      <c r="I1154" s="45"/>
      <c r="J1154" s="45"/>
      <c r="K1154" s="45"/>
      <c r="L1154" s="45"/>
    </row>
    <row r="1155" spans="1:12" ht="17.100000000000001" customHeight="1">
      <c r="A1155" s="43"/>
      <c r="B1155" s="44"/>
      <c r="C1155" s="44"/>
      <c r="D1155" s="85"/>
      <c r="E1155" s="44"/>
      <c r="F1155" s="44"/>
      <c r="G1155" s="44"/>
      <c r="H1155" s="44"/>
      <c r="I1155" s="45"/>
      <c r="J1155" s="45"/>
      <c r="K1155" s="45"/>
      <c r="L1155" s="45"/>
    </row>
    <row r="1156" spans="1:12" ht="17.100000000000001" customHeight="1">
      <c r="A1156" s="43"/>
      <c r="B1156" s="44"/>
      <c r="C1156" s="44"/>
      <c r="D1156" s="85"/>
      <c r="E1156" s="44"/>
      <c r="F1156" s="44"/>
      <c r="G1156" s="44"/>
      <c r="H1156" s="44"/>
      <c r="I1156" s="45"/>
      <c r="J1156" s="45"/>
      <c r="K1156" s="45"/>
      <c r="L1156" s="45"/>
    </row>
    <row r="1157" spans="1:12" ht="17.100000000000001" customHeight="1">
      <c r="A1157" s="43"/>
      <c r="B1157" s="44"/>
      <c r="C1157" s="44"/>
      <c r="D1157" s="85"/>
      <c r="E1157" s="44"/>
      <c r="F1157" s="44"/>
      <c r="G1157" s="44"/>
      <c r="H1157" s="44"/>
      <c r="I1157" s="45"/>
      <c r="J1157" s="45"/>
      <c r="K1157" s="45"/>
      <c r="L1157" s="45"/>
    </row>
    <row r="1158" spans="1:12" ht="17.100000000000001" customHeight="1">
      <c r="A1158" s="43"/>
      <c r="B1158" s="44"/>
      <c r="C1158" s="44"/>
      <c r="D1158" s="85"/>
      <c r="E1158" s="44"/>
      <c r="F1158" s="44"/>
      <c r="G1158" s="44"/>
      <c r="H1158" s="44"/>
      <c r="I1158" s="45"/>
      <c r="J1158" s="45"/>
      <c r="K1158" s="45"/>
      <c r="L1158" s="45"/>
    </row>
    <row r="1159" spans="1:12" ht="17.100000000000001" customHeight="1">
      <c r="A1159" s="43"/>
      <c r="B1159" s="44"/>
      <c r="C1159" s="44"/>
      <c r="D1159" s="85"/>
      <c r="E1159" s="44"/>
      <c r="F1159" s="44"/>
      <c r="G1159" s="44"/>
      <c r="H1159" s="44"/>
      <c r="I1159" s="45"/>
      <c r="J1159" s="45"/>
      <c r="K1159" s="45"/>
      <c r="L1159" s="45"/>
    </row>
    <row r="1160" spans="1:12" ht="17.100000000000001" customHeight="1">
      <c r="A1160" s="43"/>
      <c r="B1160" s="44"/>
      <c r="C1160" s="44"/>
      <c r="D1160" s="85"/>
      <c r="E1160" s="44"/>
      <c r="F1160" s="44"/>
      <c r="G1160" s="44"/>
      <c r="H1160" s="44"/>
      <c r="I1160" s="45"/>
      <c r="J1160" s="45"/>
      <c r="K1160" s="45"/>
      <c r="L1160" s="45"/>
    </row>
    <row r="1161" spans="1:12" ht="17.100000000000001" customHeight="1">
      <c r="A1161" s="43"/>
      <c r="B1161" s="44"/>
      <c r="C1161" s="44"/>
      <c r="D1161" s="85"/>
      <c r="E1161" s="44"/>
      <c r="F1161" s="44"/>
      <c r="G1161" s="44"/>
      <c r="H1161" s="44"/>
      <c r="I1161" s="45"/>
      <c r="J1161" s="45"/>
      <c r="K1161" s="45"/>
      <c r="L1161" s="45"/>
    </row>
    <row r="1162" spans="1:12" ht="17.100000000000001" customHeight="1">
      <c r="A1162" s="43"/>
      <c r="B1162" s="44"/>
      <c r="C1162" s="44"/>
      <c r="D1162" s="85"/>
      <c r="E1162" s="44"/>
      <c r="F1162" s="44"/>
      <c r="G1162" s="44"/>
      <c r="H1162" s="44"/>
      <c r="I1162" s="45"/>
      <c r="J1162" s="45"/>
      <c r="K1162" s="45"/>
      <c r="L1162" s="45"/>
    </row>
    <row r="1163" spans="1:12" ht="17.100000000000001" customHeight="1">
      <c r="A1163" s="43"/>
      <c r="B1163" s="44"/>
      <c r="C1163" s="44"/>
      <c r="D1163" s="85"/>
      <c r="E1163" s="44"/>
      <c r="F1163" s="44"/>
      <c r="G1163" s="44"/>
      <c r="H1163" s="44"/>
      <c r="I1163" s="45"/>
      <c r="J1163" s="45"/>
      <c r="K1163" s="45"/>
      <c r="L1163" s="45"/>
    </row>
    <row r="1164" spans="1:12" ht="17.100000000000001" customHeight="1">
      <c r="A1164" s="43"/>
      <c r="B1164" s="44"/>
      <c r="C1164" s="44"/>
      <c r="D1164" s="85"/>
      <c r="E1164" s="44"/>
      <c r="F1164" s="44"/>
      <c r="G1164" s="44"/>
      <c r="H1164" s="44"/>
      <c r="I1164" s="45"/>
      <c r="J1164" s="45"/>
      <c r="K1164" s="45"/>
      <c r="L1164" s="45"/>
    </row>
    <row r="1165" spans="1:12" ht="17.100000000000001" customHeight="1">
      <c r="A1165" s="43"/>
      <c r="B1165" s="44"/>
      <c r="C1165" s="44"/>
      <c r="D1165" s="85"/>
      <c r="E1165" s="44"/>
      <c r="F1165" s="44"/>
      <c r="G1165" s="44"/>
      <c r="H1165" s="44"/>
      <c r="I1165" s="45"/>
      <c r="J1165" s="45"/>
      <c r="K1165" s="45"/>
      <c r="L1165" s="45"/>
    </row>
    <row r="1166" spans="1:12" ht="17.100000000000001" customHeight="1">
      <c r="A1166" s="43"/>
      <c r="B1166" s="44"/>
      <c r="C1166" s="44"/>
      <c r="D1166" s="85"/>
      <c r="E1166" s="44"/>
      <c r="F1166" s="44"/>
      <c r="G1166" s="44"/>
      <c r="H1166" s="44"/>
      <c r="I1166" s="45"/>
      <c r="J1166" s="45"/>
      <c r="K1166" s="45"/>
      <c r="L1166" s="45"/>
    </row>
    <row r="1167" spans="1:12" ht="17.100000000000001" customHeight="1">
      <c r="A1167" s="43"/>
      <c r="B1167" s="44"/>
      <c r="C1167" s="44"/>
      <c r="D1167" s="85"/>
      <c r="E1167" s="44"/>
      <c r="F1167" s="44"/>
      <c r="G1167" s="44"/>
      <c r="H1167" s="44"/>
      <c r="I1167" s="45"/>
      <c r="J1167" s="45"/>
      <c r="K1167" s="45"/>
      <c r="L1167" s="45"/>
    </row>
    <row r="1168" spans="1:12" ht="17.100000000000001" customHeight="1">
      <c r="A1168" s="43"/>
      <c r="B1168" s="44"/>
      <c r="C1168" s="44"/>
      <c r="D1168" s="85"/>
      <c r="E1168" s="44"/>
      <c r="F1168" s="44"/>
      <c r="G1168" s="44"/>
      <c r="H1168" s="44"/>
      <c r="I1168" s="45"/>
      <c r="J1168" s="45"/>
      <c r="K1168" s="45"/>
      <c r="L1168" s="45"/>
    </row>
    <row r="1169" spans="1:12" ht="17.100000000000001" customHeight="1">
      <c r="A1169" s="43"/>
      <c r="B1169" s="44"/>
      <c r="C1169" s="44"/>
      <c r="D1169" s="85"/>
      <c r="E1169" s="44"/>
      <c r="F1169" s="44"/>
      <c r="G1169" s="44"/>
      <c r="H1169" s="44"/>
      <c r="I1169" s="45"/>
      <c r="J1169" s="45"/>
      <c r="K1169" s="45"/>
      <c r="L1169" s="45"/>
    </row>
    <row r="1170" spans="1:12" ht="17.100000000000001" customHeight="1">
      <c r="A1170" s="43"/>
      <c r="B1170" s="44"/>
      <c r="C1170" s="44"/>
      <c r="D1170" s="85"/>
      <c r="E1170" s="44"/>
      <c r="F1170" s="44"/>
      <c r="G1170" s="44"/>
      <c r="H1170" s="44"/>
      <c r="I1170" s="45"/>
      <c r="J1170" s="45"/>
      <c r="K1170" s="45"/>
      <c r="L1170" s="45"/>
    </row>
    <row r="1171" spans="1:12" ht="17.100000000000001" customHeight="1">
      <c r="A1171" s="43"/>
      <c r="B1171" s="44"/>
      <c r="C1171" s="44"/>
      <c r="D1171" s="85"/>
      <c r="E1171" s="44"/>
      <c r="F1171" s="44"/>
      <c r="G1171" s="44"/>
      <c r="H1171" s="44"/>
      <c r="I1171" s="45"/>
      <c r="J1171" s="45"/>
      <c r="K1171" s="45"/>
      <c r="L1171" s="45"/>
    </row>
    <row r="1172" spans="1:12" ht="17.100000000000001" customHeight="1">
      <c r="A1172" s="43"/>
      <c r="B1172" s="44"/>
      <c r="C1172" s="44"/>
      <c r="D1172" s="85"/>
      <c r="E1172" s="44"/>
      <c r="F1172" s="44"/>
      <c r="G1172" s="44"/>
      <c r="H1172" s="44"/>
      <c r="I1172" s="45"/>
      <c r="J1172" s="45"/>
      <c r="K1172" s="45"/>
      <c r="L1172" s="45"/>
    </row>
    <row r="1173" spans="1:12" ht="17.100000000000001" customHeight="1">
      <c r="A1173" s="43"/>
      <c r="B1173" s="44"/>
      <c r="C1173" s="44"/>
      <c r="D1173" s="85"/>
      <c r="E1173" s="44"/>
      <c r="F1173" s="44"/>
      <c r="G1173" s="44"/>
      <c r="H1173" s="44"/>
      <c r="I1173" s="45"/>
      <c r="J1173" s="45"/>
      <c r="K1173" s="45"/>
      <c r="L1173" s="45"/>
    </row>
    <row r="1174" spans="1:12" ht="17.100000000000001" customHeight="1">
      <c r="A1174" s="43"/>
      <c r="B1174" s="44"/>
      <c r="C1174" s="44"/>
      <c r="D1174" s="85"/>
      <c r="E1174" s="44"/>
      <c r="F1174" s="44"/>
      <c r="G1174" s="44"/>
      <c r="H1174" s="44"/>
      <c r="I1174" s="45"/>
      <c r="J1174" s="45"/>
      <c r="K1174" s="45"/>
      <c r="L1174" s="45"/>
    </row>
    <row r="1175" spans="1:12" ht="17.100000000000001" customHeight="1">
      <c r="A1175" s="43"/>
      <c r="B1175" s="44"/>
      <c r="C1175" s="44"/>
      <c r="D1175" s="85"/>
      <c r="E1175" s="44"/>
      <c r="F1175" s="44"/>
      <c r="G1175" s="44"/>
      <c r="H1175" s="44"/>
      <c r="I1175" s="45"/>
      <c r="J1175" s="45"/>
      <c r="K1175" s="45"/>
      <c r="L1175" s="45"/>
    </row>
    <row r="1176" spans="1:12" ht="17.100000000000001" customHeight="1">
      <c r="A1176" s="43"/>
      <c r="B1176" s="44"/>
      <c r="C1176" s="44"/>
      <c r="D1176" s="85"/>
      <c r="E1176" s="44"/>
      <c r="F1176" s="44"/>
      <c r="G1176" s="44"/>
      <c r="H1176" s="44"/>
      <c r="I1176" s="45"/>
      <c r="J1176" s="45"/>
      <c r="K1176" s="45"/>
      <c r="L1176" s="45"/>
    </row>
    <row r="1177" spans="1:12" ht="17.100000000000001" customHeight="1">
      <c r="A1177" s="43"/>
      <c r="B1177" s="44"/>
      <c r="C1177" s="44"/>
      <c r="D1177" s="85"/>
      <c r="E1177" s="44"/>
      <c r="F1177" s="44"/>
      <c r="G1177" s="44"/>
      <c r="H1177" s="44"/>
      <c r="I1177" s="45"/>
      <c r="J1177" s="45"/>
      <c r="K1177" s="45"/>
      <c r="L1177" s="45"/>
    </row>
    <row r="1178" spans="1:12" ht="17.100000000000001" customHeight="1">
      <c r="A1178" s="43"/>
      <c r="B1178" s="44"/>
      <c r="C1178" s="44"/>
      <c r="D1178" s="85"/>
      <c r="E1178" s="44"/>
      <c r="F1178" s="44"/>
      <c r="G1178" s="44"/>
      <c r="H1178" s="44"/>
      <c r="I1178" s="45"/>
      <c r="J1178" s="45"/>
      <c r="K1178" s="45"/>
      <c r="L1178" s="45"/>
    </row>
    <row r="1179" spans="1:12" ht="17.100000000000001" customHeight="1">
      <c r="A1179" s="43"/>
      <c r="B1179" s="44"/>
      <c r="C1179" s="44"/>
      <c r="D1179" s="85"/>
      <c r="E1179" s="44"/>
      <c r="F1179" s="44"/>
      <c r="G1179" s="44"/>
      <c r="H1179" s="44"/>
      <c r="I1179" s="45"/>
      <c r="J1179" s="45"/>
      <c r="K1179" s="45"/>
      <c r="L1179" s="45"/>
    </row>
    <row r="1180" spans="1:12" ht="17.100000000000001" customHeight="1">
      <c r="A1180" s="43"/>
      <c r="B1180" s="44"/>
      <c r="C1180" s="44"/>
      <c r="D1180" s="85"/>
      <c r="E1180" s="44"/>
      <c r="F1180" s="44"/>
      <c r="G1180" s="44"/>
      <c r="H1180" s="44"/>
      <c r="I1180" s="45"/>
      <c r="J1180" s="45"/>
      <c r="K1180" s="45"/>
      <c r="L1180" s="45"/>
    </row>
    <row r="1181" spans="1:12" ht="17.100000000000001" customHeight="1">
      <c r="A1181" s="43"/>
      <c r="B1181" s="44"/>
      <c r="C1181" s="44"/>
      <c r="D1181" s="85"/>
      <c r="E1181" s="44"/>
      <c r="F1181" s="44"/>
      <c r="G1181" s="44"/>
      <c r="H1181" s="44"/>
      <c r="I1181" s="45"/>
      <c r="J1181" s="45"/>
      <c r="K1181" s="45"/>
      <c r="L1181" s="45"/>
    </row>
    <row r="1182" spans="1:12" ht="17.100000000000001" customHeight="1">
      <c r="A1182" s="43"/>
      <c r="B1182" s="44"/>
      <c r="C1182" s="44"/>
      <c r="D1182" s="85"/>
      <c r="E1182" s="44"/>
      <c r="F1182" s="44"/>
      <c r="G1182" s="44"/>
      <c r="H1182" s="44"/>
      <c r="I1182" s="45"/>
      <c r="J1182" s="45"/>
      <c r="K1182" s="45"/>
      <c r="L1182" s="45"/>
    </row>
    <row r="1183" spans="1:12" ht="17.100000000000001" customHeight="1">
      <c r="A1183" s="43"/>
      <c r="B1183" s="44"/>
      <c r="C1183" s="44"/>
      <c r="D1183" s="85"/>
      <c r="E1183" s="44"/>
      <c r="F1183" s="44"/>
      <c r="G1183" s="44"/>
      <c r="H1183" s="44"/>
      <c r="I1183" s="45"/>
      <c r="J1183" s="45"/>
      <c r="K1183" s="45"/>
      <c r="L1183" s="45"/>
    </row>
    <row r="1184" spans="1:12" ht="17.100000000000001" customHeight="1">
      <c r="A1184" s="43"/>
      <c r="B1184" s="44"/>
      <c r="C1184" s="44"/>
      <c r="D1184" s="85"/>
      <c r="E1184" s="44"/>
      <c r="F1184" s="44"/>
      <c r="G1184" s="44"/>
      <c r="H1184" s="44"/>
      <c r="I1184" s="45"/>
      <c r="J1184" s="45"/>
      <c r="K1184" s="45"/>
      <c r="L1184" s="45"/>
    </row>
    <row r="1185" spans="1:12" ht="17.100000000000001" customHeight="1">
      <c r="A1185" s="43"/>
      <c r="B1185" s="44"/>
      <c r="C1185" s="44"/>
      <c r="D1185" s="85"/>
      <c r="E1185" s="44"/>
      <c r="F1185" s="44"/>
      <c r="G1185" s="44"/>
      <c r="H1185" s="44"/>
      <c r="I1185" s="45"/>
      <c r="J1185" s="45"/>
      <c r="K1185" s="45"/>
      <c r="L1185" s="45"/>
    </row>
    <row r="1186" spans="1:12" ht="17.100000000000001" customHeight="1">
      <c r="A1186" s="43"/>
      <c r="B1186" s="44"/>
      <c r="C1186" s="44"/>
      <c r="D1186" s="85"/>
      <c r="E1186" s="44"/>
      <c r="F1186" s="44"/>
      <c r="G1186" s="44"/>
      <c r="H1186" s="44"/>
      <c r="I1186" s="45"/>
      <c r="J1186" s="45"/>
      <c r="K1186" s="45"/>
      <c r="L1186" s="45"/>
    </row>
    <row r="1187" spans="1:12" ht="17.100000000000001" customHeight="1">
      <c r="A1187" s="43"/>
      <c r="B1187" s="44"/>
      <c r="C1187" s="44"/>
      <c r="D1187" s="85"/>
      <c r="E1187" s="44"/>
      <c r="F1187" s="44"/>
      <c r="G1187" s="44"/>
      <c r="H1187" s="44"/>
      <c r="I1187" s="45"/>
      <c r="J1187" s="45"/>
      <c r="K1187" s="45"/>
      <c r="L1187" s="45"/>
    </row>
    <row r="1188" spans="1:12" ht="17.100000000000001" customHeight="1">
      <c r="A1188" s="43"/>
      <c r="B1188" s="44"/>
      <c r="C1188" s="44"/>
      <c r="D1188" s="85"/>
      <c r="E1188" s="44"/>
      <c r="F1188" s="44"/>
      <c r="G1188" s="44"/>
      <c r="H1188" s="44"/>
      <c r="I1188" s="45"/>
      <c r="J1188" s="45"/>
      <c r="K1188" s="45"/>
      <c r="L1188" s="45"/>
    </row>
    <row r="1189" spans="1:12" ht="17.100000000000001" customHeight="1">
      <c r="A1189" s="43"/>
      <c r="B1189" s="44"/>
      <c r="C1189" s="44"/>
      <c r="D1189" s="85"/>
      <c r="E1189" s="44"/>
      <c r="F1189" s="44"/>
      <c r="G1189" s="44"/>
      <c r="H1189" s="44"/>
      <c r="I1189" s="45"/>
      <c r="J1189" s="45"/>
      <c r="K1189" s="45"/>
      <c r="L1189" s="45"/>
    </row>
    <row r="1190" spans="1:12" ht="17.100000000000001" customHeight="1">
      <c r="A1190" s="43"/>
      <c r="B1190" s="44"/>
      <c r="C1190" s="44"/>
      <c r="D1190" s="85"/>
      <c r="E1190" s="44"/>
      <c r="F1190" s="44"/>
      <c r="G1190" s="44"/>
      <c r="H1190" s="44"/>
      <c r="I1190" s="45"/>
      <c r="J1190" s="45"/>
      <c r="K1190" s="45"/>
      <c r="L1190" s="45"/>
    </row>
    <row r="1191" spans="1:12" ht="17.100000000000001" customHeight="1">
      <c r="A1191" s="43"/>
      <c r="B1191" s="44"/>
      <c r="C1191" s="44"/>
      <c r="D1191" s="85"/>
      <c r="E1191" s="44"/>
      <c r="F1191" s="44"/>
      <c r="G1191" s="44"/>
      <c r="H1191" s="44"/>
      <c r="I1191" s="45"/>
      <c r="J1191" s="45"/>
      <c r="K1191" s="45"/>
      <c r="L1191" s="45"/>
    </row>
    <row r="1192" spans="1:12" ht="17.100000000000001" customHeight="1">
      <c r="A1192" s="43"/>
      <c r="B1192" s="44"/>
      <c r="C1192" s="44"/>
      <c r="D1192" s="85"/>
      <c r="E1192" s="44"/>
      <c r="F1192" s="44"/>
      <c r="G1192" s="44"/>
      <c r="H1192" s="44"/>
      <c r="I1192" s="45"/>
      <c r="J1192" s="45"/>
      <c r="K1192" s="45"/>
      <c r="L1192" s="45"/>
    </row>
    <row r="1193" spans="1:12" ht="17.100000000000001" customHeight="1">
      <c r="A1193" s="43"/>
      <c r="B1193" s="44"/>
      <c r="C1193" s="44"/>
      <c r="D1193" s="85"/>
      <c r="E1193" s="44"/>
      <c r="F1193" s="44"/>
      <c r="G1193" s="44"/>
      <c r="H1193" s="44"/>
      <c r="I1193" s="45"/>
      <c r="J1193" s="45"/>
      <c r="K1193" s="45"/>
      <c r="L1193" s="45"/>
    </row>
    <row r="1194" spans="1:12" ht="17.100000000000001" customHeight="1">
      <c r="A1194" s="43"/>
      <c r="B1194" s="44"/>
      <c r="C1194" s="44"/>
      <c r="D1194" s="85"/>
      <c r="E1194" s="44"/>
      <c r="F1194" s="44"/>
      <c r="G1194" s="44"/>
      <c r="H1194" s="44"/>
      <c r="I1194" s="45"/>
      <c r="J1194" s="45"/>
      <c r="K1194" s="45"/>
      <c r="L1194" s="45"/>
    </row>
    <row r="1195" spans="1:12" ht="17.100000000000001" customHeight="1">
      <c r="A1195" s="43"/>
      <c r="B1195" s="44"/>
      <c r="C1195" s="44"/>
      <c r="D1195" s="85"/>
      <c r="E1195" s="44"/>
      <c r="F1195" s="44"/>
      <c r="G1195" s="44"/>
      <c r="H1195" s="44"/>
      <c r="I1195" s="45"/>
      <c r="J1195" s="45"/>
      <c r="K1195" s="45"/>
      <c r="L1195" s="45"/>
    </row>
    <row r="1196" spans="1:12" ht="17.100000000000001" customHeight="1">
      <c r="A1196" s="43"/>
      <c r="B1196" s="44"/>
      <c r="C1196" s="44"/>
      <c r="D1196" s="85"/>
      <c r="E1196" s="44"/>
      <c r="F1196" s="44"/>
      <c r="G1196" s="44"/>
      <c r="H1196" s="44"/>
      <c r="I1196" s="45"/>
      <c r="J1196" s="45"/>
      <c r="K1196" s="45"/>
      <c r="L1196" s="45"/>
    </row>
    <row r="1197" spans="1:12" ht="17.100000000000001" customHeight="1">
      <c r="A1197" s="43"/>
      <c r="B1197" s="44"/>
      <c r="C1197" s="44"/>
      <c r="D1197" s="85"/>
      <c r="E1197" s="44"/>
      <c r="F1197" s="44"/>
      <c r="G1197" s="44"/>
      <c r="H1197" s="44"/>
      <c r="I1197" s="45"/>
      <c r="J1197" s="45"/>
      <c r="K1197" s="45"/>
      <c r="L1197" s="45"/>
    </row>
    <row r="1198" spans="1:12" ht="17.100000000000001" customHeight="1">
      <c r="A1198" s="43"/>
      <c r="B1198" s="44"/>
      <c r="C1198" s="44"/>
      <c r="D1198" s="85"/>
      <c r="E1198" s="44"/>
      <c r="F1198" s="44"/>
      <c r="G1198" s="44"/>
      <c r="H1198" s="44"/>
      <c r="I1198" s="45"/>
      <c r="J1198" s="45"/>
      <c r="K1198" s="45"/>
      <c r="L1198" s="45"/>
    </row>
    <row r="1199" spans="1:12" ht="17.100000000000001" customHeight="1">
      <c r="A1199" s="43"/>
      <c r="B1199" s="44"/>
      <c r="C1199" s="44"/>
      <c r="D1199" s="85"/>
      <c r="E1199" s="44"/>
      <c r="F1199" s="44"/>
      <c r="G1199" s="44"/>
      <c r="H1199" s="44"/>
      <c r="I1199" s="45"/>
      <c r="J1199" s="45"/>
      <c r="K1199" s="45"/>
      <c r="L1199" s="45"/>
    </row>
    <row r="1200" spans="1:12" ht="17.100000000000001" customHeight="1">
      <c r="A1200" s="43"/>
      <c r="B1200" s="44"/>
      <c r="C1200" s="44"/>
      <c r="D1200" s="85"/>
      <c r="E1200" s="44"/>
      <c r="F1200" s="44"/>
      <c r="G1200" s="44"/>
      <c r="H1200" s="44"/>
      <c r="I1200" s="45"/>
      <c r="J1200" s="45"/>
      <c r="K1200" s="45"/>
      <c r="L1200" s="45"/>
    </row>
    <row r="1201" spans="1:12" ht="17.100000000000001" customHeight="1">
      <c r="A1201" s="43"/>
      <c r="B1201" s="44"/>
      <c r="C1201" s="44"/>
      <c r="D1201" s="85"/>
      <c r="E1201" s="44"/>
      <c r="F1201" s="44"/>
      <c r="G1201" s="44"/>
      <c r="H1201" s="44"/>
      <c r="I1201" s="45"/>
      <c r="J1201" s="45"/>
      <c r="K1201" s="45"/>
      <c r="L1201" s="45"/>
    </row>
    <row r="1202" spans="1:12" ht="17.100000000000001" customHeight="1">
      <c r="A1202" s="43"/>
      <c r="B1202" s="44"/>
      <c r="C1202" s="44"/>
      <c r="D1202" s="85"/>
      <c r="E1202" s="44"/>
      <c r="F1202" s="44"/>
      <c r="G1202" s="44"/>
      <c r="H1202" s="44"/>
      <c r="I1202" s="45"/>
      <c r="J1202" s="45"/>
      <c r="K1202" s="45"/>
      <c r="L1202" s="45"/>
    </row>
    <row r="1203" spans="1:12" ht="17.100000000000001" customHeight="1">
      <c r="A1203" s="43"/>
      <c r="B1203" s="44"/>
      <c r="C1203" s="44"/>
      <c r="D1203" s="85"/>
      <c r="E1203" s="44"/>
      <c r="F1203" s="44"/>
      <c r="G1203" s="44"/>
      <c r="H1203" s="44"/>
      <c r="I1203" s="45"/>
      <c r="J1203" s="45"/>
      <c r="K1203" s="45"/>
      <c r="L1203" s="45"/>
    </row>
    <row r="1204" spans="1:12" ht="17.100000000000001" customHeight="1">
      <c r="A1204" s="43"/>
      <c r="B1204" s="44"/>
      <c r="C1204" s="44"/>
      <c r="D1204" s="85"/>
      <c r="E1204" s="44"/>
      <c r="F1204" s="44"/>
      <c r="G1204" s="44"/>
      <c r="H1204" s="44"/>
      <c r="I1204" s="45"/>
      <c r="J1204" s="45"/>
      <c r="K1204" s="45"/>
      <c r="L1204" s="45"/>
    </row>
    <row r="1205" spans="1:12" ht="17.100000000000001" customHeight="1">
      <c r="A1205" s="43"/>
      <c r="B1205" s="44"/>
      <c r="C1205" s="44"/>
      <c r="D1205" s="85"/>
      <c r="E1205" s="44"/>
      <c r="F1205" s="44"/>
      <c r="G1205" s="44"/>
      <c r="H1205" s="44"/>
      <c r="I1205" s="45"/>
      <c r="J1205" s="45"/>
      <c r="K1205" s="45"/>
      <c r="L1205" s="45"/>
    </row>
    <row r="1206" spans="1:12" ht="17.100000000000001" customHeight="1">
      <c r="A1206" s="43"/>
      <c r="B1206" s="44"/>
      <c r="C1206" s="44"/>
      <c r="D1206" s="85"/>
      <c r="E1206" s="44"/>
      <c r="F1206" s="44"/>
      <c r="G1206" s="44"/>
      <c r="H1206" s="44"/>
      <c r="I1206" s="45"/>
      <c r="J1206" s="45"/>
      <c r="K1206" s="45"/>
      <c r="L1206" s="45"/>
    </row>
    <row r="1207" spans="1:12" ht="17.100000000000001" customHeight="1">
      <c r="A1207" s="43"/>
      <c r="B1207" s="44"/>
      <c r="C1207" s="44"/>
      <c r="D1207" s="85"/>
      <c r="E1207" s="44"/>
      <c r="F1207" s="44"/>
      <c r="G1207" s="44"/>
      <c r="H1207" s="44"/>
      <c r="I1207" s="45"/>
      <c r="J1207" s="45"/>
      <c r="K1207" s="45"/>
      <c r="L1207" s="45"/>
    </row>
    <row r="1208" spans="1:12" ht="17.100000000000001" customHeight="1">
      <c r="A1208" s="43"/>
      <c r="B1208" s="44"/>
      <c r="C1208" s="44"/>
      <c r="D1208" s="85"/>
      <c r="E1208" s="44"/>
      <c r="F1208" s="44"/>
      <c r="G1208" s="44"/>
      <c r="H1208" s="44"/>
      <c r="I1208" s="45"/>
      <c r="J1208" s="45"/>
      <c r="K1208" s="45"/>
      <c r="L1208" s="45"/>
    </row>
    <row r="1209" spans="1:12" ht="17.100000000000001" customHeight="1">
      <c r="A1209" s="43"/>
      <c r="B1209" s="44"/>
      <c r="C1209" s="44"/>
      <c r="D1209" s="85"/>
      <c r="E1209" s="44"/>
      <c r="F1209" s="44"/>
      <c r="G1209" s="44"/>
      <c r="H1209" s="44"/>
      <c r="I1209" s="45"/>
      <c r="J1209" s="45"/>
      <c r="K1209" s="45"/>
      <c r="L1209" s="45"/>
    </row>
    <row r="1210" spans="1:12" ht="17.100000000000001" customHeight="1">
      <c r="A1210" s="43"/>
      <c r="B1210" s="44"/>
      <c r="C1210" s="44"/>
      <c r="D1210" s="85"/>
      <c r="E1210" s="44"/>
      <c r="F1210" s="44"/>
      <c r="G1210" s="44"/>
      <c r="H1210" s="44"/>
      <c r="I1210" s="45"/>
      <c r="J1210" s="45"/>
      <c r="K1210" s="45"/>
      <c r="L1210" s="45"/>
    </row>
    <row r="1211" spans="1:12" ht="17.100000000000001" customHeight="1">
      <c r="A1211" s="43"/>
      <c r="B1211" s="44"/>
      <c r="C1211" s="44"/>
      <c r="D1211" s="85"/>
      <c r="E1211" s="44"/>
      <c r="F1211" s="44"/>
      <c r="G1211" s="44"/>
      <c r="H1211" s="44"/>
      <c r="I1211" s="45"/>
      <c r="J1211" s="45"/>
      <c r="K1211" s="45"/>
      <c r="L1211" s="45"/>
    </row>
    <row r="1212" spans="1:12" ht="17.100000000000001" customHeight="1">
      <c r="A1212" s="43"/>
      <c r="B1212" s="44"/>
      <c r="C1212" s="44"/>
      <c r="D1212" s="85"/>
      <c r="E1212" s="44"/>
      <c r="F1212" s="44"/>
      <c r="G1212" s="44"/>
      <c r="H1212" s="44"/>
      <c r="I1212" s="45"/>
      <c r="J1212" s="45"/>
      <c r="K1212" s="45"/>
      <c r="L1212" s="45"/>
    </row>
    <row r="1213" spans="1:12" ht="17.100000000000001" customHeight="1">
      <c r="A1213" s="43"/>
      <c r="B1213" s="44"/>
      <c r="C1213" s="44"/>
      <c r="D1213" s="85"/>
      <c r="E1213" s="44"/>
      <c r="F1213" s="44"/>
      <c r="G1213" s="44"/>
      <c r="H1213" s="44"/>
      <c r="I1213" s="45"/>
      <c r="J1213" s="45"/>
      <c r="K1213" s="45"/>
      <c r="L1213" s="45"/>
    </row>
    <row r="1214" spans="1:12" ht="17.100000000000001" customHeight="1">
      <c r="A1214" s="43"/>
      <c r="B1214" s="44"/>
      <c r="C1214" s="44"/>
      <c r="D1214" s="85"/>
      <c r="E1214" s="44"/>
      <c r="F1214" s="44"/>
      <c r="G1214" s="44"/>
      <c r="H1214" s="44"/>
      <c r="I1214" s="45"/>
      <c r="J1214" s="45"/>
      <c r="K1214" s="45"/>
      <c r="L1214" s="45"/>
    </row>
    <row r="1215" spans="1:12" ht="17.100000000000001" customHeight="1">
      <c r="A1215" s="43"/>
      <c r="B1215" s="44"/>
      <c r="C1215" s="44"/>
      <c r="D1215" s="85"/>
      <c r="E1215" s="44"/>
      <c r="F1215" s="44"/>
      <c r="G1215" s="44"/>
      <c r="H1215" s="44"/>
      <c r="I1215" s="45"/>
      <c r="J1215" s="45"/>
      <c r="K1215" s="45"/>
      <c r="L1215" s="45"/>
    </row>
    <row r="1216" spans="1:12" ht="17.100000000000001" customHeight="1">
      <c r="A1216" s="43"/>
      <c r="B1216" s="44"/>
      <c r="C1216" s="44"/>
      <c r="D1216" s="85"/>
      <c r="E1216" s="44"/>
      <c r="F1216" s="44"/>
      <c r="G1216" s="44"/>
      <c r="H1216" s="44"/>
      <c r="I1216" s="45"/>
      <c r="J1216" s="45"/>
      <c r="K1216" s="45"/>
      <c r="L1216" s="45"/>
    </row>
    <row r="1217" spans="1:12" ht="17.100000000000001" customHeight="1">
      <c r="A1217" s="43"/>
      <c r="B1217" s="44"/>
      <c r="C1217" s="44"/>
      <c r="D1217" s="85"/>
      <c r="E1217" s="44"/>
      <c r="F1217" s="44"/>
      <c r="G1217" s="44"/>
      <c r="H1217" s="44"/>
      <c r="I1217" s="45"/>
      <c r="J1217" s="45"/>
      <c r="K1217" s="45"/>
      <c r="L1217" s="45"/>
    </row>
    <row r="1218" spans="1:12" ht="17.100000000000001" customHeight="1">
      <c r="A1218" s="43"/>
      <c r="B1218" s="44"/>
      <c r="C1218" s="44"/>
      <c r="D1218" s="85"/>
      <c r="E1218" s="44"/>
      <c r="F1218" s="44"/>
      <c r="G1218" s="44"/>
      <c r="H1218" s="44"/>
      <c r="I1218" s="45"/>
      <c r="J1218" s="45"/>
      <c r="K1218" s="45"/>
      <c r="L1218" s="45"/>
    </row>
    <row r="1219" spans="1:12" ht="17.100000000000001" customHeight="1">
      <c r="A1219" s="43"/>
      <c r="B1219" s="44"/>
      <c r="C1219" s="44"/>
      <c r="D1219" s="85"/>
      <c r="E1219" s="44"/>
      <c r="F1219" s="44"/>
      <c r="G1219" s="44"/>
      <c r="H1219" s="44"/>
      <c r="I1219" s="45"/>
      <c r="J1219" s="45"/>
      <c r="K1219" s="45"/>
      <c r="L1219" s="45"/>
    </row>
    <row r="1220" spans="1:12" ht="17.100000000000001" customHeight="1">
      <c r="A1220" s="43"/>
      <c r="B1220" s="44"/>
      <c r="C1220" s="44"/>
      <c r="D1220" s="85"/>
      <c r="E1220" s="44"/>
      <c r="F1220" s="44"/>
      <c r="G1220" s="44"/>
      <c r="H1220" s="44"/>
      <c r="I1220" s="45"/>
      <c r="J1220" s="45"/>
      <c r="K1220" s="45"/>
      <c r="L1220" s="45"/>
    </row>
    <row r="1221" spans="1:12" ht="17.100000000000001" customHeight="1">
      <c r="A1221" s="43"/>
      <c r="B1221" s="44"/>
      <c r="C1221" s="44"/>
      <c r="D1221" s="85"/>
      <c r="E1221" s="44"/>
      <c r="F1221" s="44"/>
      <c r="G1221" s="44"/>
      <c r="H1221" s="44"/>
      <c r="I1221" s="45"/>
      <c r="J1221" s="45"/>
      <c r="K1221" s="45"/>
      <c r="L1221" s="45"/>
    </row>
    <row r="1222" spans="1:12" ht="17.100000000000001" customHeight="1">
      <c r="A1222" s="43"/>
      <c r="B1222" s="44"/>
      <c r="C1222" s="44"/>
      <c r="D1222" s="85"/>
      <c r="E1222" s="44"/>
      <c r="F1222" s="44"/>
      <c r="G1222" s="44"/>
      <c r="H1222" s="44"/>
      <c r="I1222" s="45"/>
      <c r="J1222" s="45"/>
      <c r="K1222" s="45"/>
      <c r="L1222" s="45"/>
    </row>
    <row r="1223" spans="1:12" ht="17.100000000000001" customHeight="1">
      <c r="A1223" s="43"/>
      <c r="B1223" s="44"/>
      <c r="C1223" s="44"/>
      <c r="D1223" s="85"/>
      <c r="E1223" s="44"/>
      <c r="F1223" s="44"/>
      <c r="G1223" s="44"/>
      <c r="H1223" s="44"/>
      <c r="I1223" s="45"/>
      <c r="J1223" s="45"/>
      <c r="K1223" s="45"/>
      <c r="L1223" s="45"/>
    </row>
    <row r="1224" spans="1:12" ht="17.100000000000001" customHeight="1">
      <c r="A1224" s="43"/>
      <c r="B1224" s="44"/>
      <c r="C1224" s="44"/>
      <c r="D1224" s="85"/>
      <c r="E1224" s="44"/>
      <c r="F1224" s="44"/>
      <c r="G1224" s="44"/>
      <c r="H1224" s="44"/>
      <c r="I1224" s="45"/>
      <c r="J1224" s="45"/>
      <c r="K1224" s="45"/>
      <c r="L1224" s="45"/>
    </row>
    <row r="1225" spans="1:12" ht="17.100000000000001" customHeight="1">
      <c r="A1225" s="43"/>
      <c r="B1225" s="44"/>
      <c r="C1225" s="44"/>
      <c r="D1225" s="85"/>
      <c r="E1225" s="44"/>
      <c r="F1225" s="44"/>
      <c r="G1225" s="44"/>
      <c r="H1225" s="44"/>
      <c r="I1225" s="45"/>
      <c r="J1225" s="45"/>
      <c r="K1225" s="45"/>
      <c r="L1225" s="45"/>
    </row>
    <row r="1226" spans="1:12" ht="17.100000000000001" customHeight="1">
      <c r="A1226" s="43"/>
      <c r="B1226" s="44"/>
      <c r="C1226" s="44"/>
      <c r="D1226" s="85"/>
      <c r="E1226" s="44"/>
      <c r="F1226" s="44"/>
      <c r="G1226" s="44"/>
      <c r="H1226" s="44"/>
      <c r="I1226" s="45"/>
      <c r="J1226" s="45"/>
      <c r="K1226" s="45"/>
      <c r="L1226" s="45"/>
    </row>
    <row r="1227" spans="1:12" ht="17.100000000000001" customHeight="1">
      <c r="A1227" s="43"/>
      <c r="B1227" s="44"/>
      <c r="C1227" s="44"/>
      <c r="D1227" s="85"/>
      <c r="E1227" s="44"/>
      <c r="F1227" s="44"/>
      <c r="G1227" s="44"/>
      <c r="H1227" s="44"/>
      <c r="I1227" s="45"/>
      <c r="J1227" s="45"/>
      <c r="K1227" s="45"/>
      <c r="L1227" s="45"/>
    </row>
    <row r="1228" spans="1:12" ht="17.100000000000001" customHeight="1">
      <c r="A1228" s="43"/>
      <c r="B1228" s="44"/>
      <c r="C1228" s="44"/>
      <c r="D1228" s="85"/>
      <c r="E1228" s="44"/>
      <c r="F1228" s="44"/>
      <c r="G1228" s="44"/>
      <c r="H1228" s="44"/>
      <c r="I1228" s="45"/>
      <c r="J1228" s="45"/>
      <c r="K1228" s="45"/>
      <c r="L1228" s="45"/>
    </row>
    <row r="1229" spans="1:12" ht="17.100000000000001" customHeight="1">
      <c r="A1229" s="43"/>
      <c r="B1229" s="44"/>
      <c r="C1229" s="44"/>
      <c r="D1229" s="85"/>
      <c r="E1229" s="44"/>
      <c r="F1229" s="44"/>
      <c r="G1229" s="44"/>
      <c r="H1229" s="44"/>
      <c r="I1229" s="45"/>
      <c r="J1229" s="45"/>
      <c r="K1229" s="45"/>
      <c r="L1229" s="45"/>
    </row>
    <row r="1230" spans="1:12" ht="17.100000000000001" customHeight="1">
      <c r="A1230" s="43"/>
      <c r="B1230" s="44"/>
      <c r="C1230" s="44"/>
      <c r="D1230" s="85"/>
      <c r="E1230" s="44"/>
      <c r="F1230" s="44"/>
      <c r="G1230" s="44"/>
      <c r="H1230" s="44"/>
      <c r="I1230" s="45"/>
      <c r="J1230" s="45"/>
      <c r="K1230" s="45"/>
      <c r="L1230" s="45"/>
    </row>
    <row r="1231" spans="1:12" ht="17.100000000000001" customHeight="1">
      <c r="A1231" s="43"/>
      <c r="B1231" s="44"/>
      <c r="C1231" s="44"/>
      <c r="D1231" s="85"/>
      <c r="E1231" s="44"/>
      <c r="F1231" s="44"/>
      <c r="G1231" s="44"/>
      <c r="H1231" s="44"/>
      <c r="I1231" s="45"/>
      <c r="J1231" s="45"/>
      <c r="K1231" s="45"/>
      <c r="L1231" s="45"/>
    </row>
    <row r="1232" spans="1:12" ht="17.100000000000001" customHeight="1">
      <c r="A1232" s="43"/>
      <c r="B1232" s="44"/>
      <c r="C1232" s="44"/>
      <c r="D1232" s="85"/>
      <c r="E1232" s="44"/>
      <c r="F1232" s="44"/>
      <c r="G1232" s="44"/>
      <c r="H1232" s="44"/>
      <c r="I1232" s="45"/>
      <c r="J1232" s="45"/>
      <c r="K1232" s="45"/>
      <c r="L1232" s="45"/>
    </row>
    <row r="1233" spans="1:12" ht="17.100000000000001" customHeight="1">
      <c r="A1233" s="43"/>
      <c r="B1233" s="44"/>
      <c r="C1233" s="44"/>
      <c r="D1233" s="85"/>
      <c r="E1233" s="44"/>
      <c r="F1233" s="44"/>
      <c r="G1233" s="44"/>
      <c r="H1233" s="44"/>
      <c r="I1233" s="45"/>
      <c r="J1233" s="45"/>
      <c r="K1233" s="45"/>
      <c r="L1233" s="45"/>
    </row>
    <row r="1234" spans="1:12" ht="17.100000000000001" customHeight="1">
      <c r="A1234" s="43"/>
      <c r="B1234" s="44"/>
      <c r="C1234" s="44"/>
      <c r="D1234" s="85"/>
      <c r="E1234" s="44"/>
      <c r="F1234" s="44"/>
      <c r="G1234" s="44"/>
      <c r="H1234" s="44"/>
      <c r="I1234" s="45"/>
      <c r="J1234" s="45"/>
      <c r="K1234" s="45"/>
      <c r="L1234" s="45"/>
    </row>
    <row r="1235" spans="1:12" ht="17.100000000000001" customHeight="1">
      <c r="A1235" s="43"/>
      <c r="B1235" s="44"/>
      <c r="C1235" s="44"/>
      <c r="D1235" s="85"/>
      <c r="E1235" s="44"/>
      <c r="F1235" s="44"/>
      <c r="G1235" s="44"/>
      <c r="H1235" s="44"/>
      <c r="I1235" s="45"/>
      <c r="J1235" s="45"/>
      <c r="K1235" s="45"/>
      <c r="L1235" s="45"/>
    </row>
    <row r="1236" spans="1:12" ht="17.100000000000001" customHeight="1">
      <c r="A1236" s="43"/>
      <c r="B1236" s="44"/>
      <c r="C1236" s="44"/>
      <c r="D1236" s="85"/>
      <c r="E1236" s="44"/>
      <c r="F1236" s="44"/>
      <c r="G1236" s="44"/>
      <c r="H1236" s="44"/>
      <c r="I1236" s="45"/>
      <c r="J1236" s="45"/>
      <c r="K1236" s="45"/>
      <c r="L1236" s="45"/>
    </row>
    <row r="1237" spans="1:12" ht="17.100000000000001" customHeight="1">
      <c r="A1237" s="43"/>
      <c r="B1237" s="44"/>
      <c r="C1237" s="44"/>
      <c r="D1237" s="85"/>
      <c r="E1237" s="44"/>
      <c r="F1237" s="44"/>
      <c r="G1237" s="44"/>
      <c r="H1237" s="44"/>
      <c r="I1237" s="45"/>
      <c r="J1237" s="45"/>
      <c r="K1237" s="45"/>
      <c r="L1237" s="45"/>
    </row>
    <row r="1238" spans="1:12" ht="17.100000000000001" customHeight="1">
      <c r="A1238" s="43"/>
      <c r="B1238" s="44"/>
      <c r="C1238" s="44"/>
      <c r="D1238" s="85"/>
      <c r="E1238" s="44"/>
      <c r="F1238" s="44"/>
      <c r="G1238" s="44"/>
      <c r="H1238" s="44"/>
      <c r="I1238" s="45"/>
      <c r="J1238" s="45"/>
      <c r="K1238" s="45"/>
      <c r="L1238" s="45"/>
    </row>
    <row r="1239" spans="1:12" ht="17.100000000000001" customHeight="1">
      <c r="A1239" s="43"/>
      <c r="B1239" s="44"/>
      <c r="C1239" s="44"/>
      <c r="D1239" s="85"/>
      <c r="E1239" s="44"/>
      <c r="F1239" s="44"/>
      <c r="G1239" s="44"/>
      <c r="H1239" s="44"/>
      <c r="I1239" s="45"/>
      <c r="J1239" s="45"/>
      <c r="K1239" s="45"/>
      <c r="L1239" s="45"/>
    </row>
    <row r="1240" spans="1:12" ht="17.100000000000001" customHeight="1">
      <c r="A1240" s="43"/>
      <c r="B1240" s="44"/>
      <c r="C1240" s="44"/>
      <c r="D1240" s="85"/>
      <c r="E1240" s="44"/>
      <c r="F1240" s="44"/>
      <c r="G1240" s="44"/>
      <c r="H1240" s="44"/>
      <c r="I1240" s="45"/>
      <c r="J1240" s="45"/>
      <c r="K1240" s="45"/>
      <c r="L1240" s="45"/>
    </row>
    <row r="1241" spans="1:12" ht="17.100000000000001" customHeight="1">
      <c r="A1241" s="43"/>
      <c r="B1241" s="44"/>
      <c r="C1241" s="44"/>
      <c r="D1241" s="85"/>
      <c r="E1241" s="44"/>
      <c r="F1241" s="44"/>
      <c r="G1241" s="44"/>
      <c r="H1241" s="44"/>
      <c r="I1241" s="45"/>
      <c r="J1241" s="45"/>
      <c r="K1241" s="45"/>
      <c r="L1241" s="45"/>
    </row>
    <row r="1242" spans="1:12" ht="17.100000000000001" customHeight="1">
      <c r="A1242" s="43"/>
      <c r="B1242" s="44"/>
      <c r="C1242" s="44"/>
      <c r="D1242" s="85"/>
      <c r="E1242" s="44"/>
      <c r="F1242" s="44"/>
      <c r="G1242" s="44"/>
      <c r="H1242" s="44"/>
      <c r="I1242" s="45"/>
      <c r="J1242" s="45"/>
      <c r="K1242" s="45"/>
      <c r="L1242" s="45"/>
    </row>
    <row r="1243" spans="1:12" ht="17.100000000000001" customHeight="1">
      <c r="A1243" s="43"/>
      <c r="B1243" s="44"/>
      <c r="C1243" s="44"/>
      <c r="D1243" s="85"/>
      <c r="E1243" s="44"/>
      <c r="F1243" s="44"/>
      <c r="G1243" s="44"/>
      <c r="H1243" s="44"/>
      <c r="I1243" s="45"/>
      <c r="J1243" s="45"/>
      <c r="K1243" s="45"/>
      <c r="L1243" s="45"/>
    </row>
    <row r="1244" spans="1:12" ht="17.100000000000001" customHeight="1">
      <c r="A1244" s="43"/>
      <c r="B1244" s="44"/>
      <c r="C1244" s="44"/>
      <c r="D1244" s="85"/>
      <c r="E1244" s="44"/>
      <c r="F1244" s="44"/>
      <c r="G1244" s="44"/>
      <c r="H1244" s="44"/>
      <c r="I1244" s="45"/>
      <c r="J1244" s="45"/>
      <c r="K1244" s="45"/>
      <c r="L1244" s="45"/>
    </row>
    <row r="1245" spans="1:12" ht="17.100000000000001" customHeight="1">
      <c r="A1245" s="43"/>
      <c r="B1245" s="44"/>
      <c r="C1245" s="44"/>
      <c r="D1245" s="85"/>
      <c r="E1245" s="44"/>
      <c r="F1245" s="44"/>
      <c r="G1245" s="44"/>
      <c r="H1245" s="44"/>
      <c r="I1245" s="45"/>
      <c r="J1245" s="45"/>
      <c r="K1245" s="45"/>
      <c r="L1245" s="45"/>
    </row>
    <row r="1246" spans="1:12" ht="17.100000000000001" customHeight="1">
      <c r="A1246" s="43"/>
      <c r="B1246" s="44"/>
      <c r="C1246" s="44"/>
      <c r="D1246" s="85"/>
      <c r="E1246" s="44"/>
      <c r="F1246" s="44"/>
      <c r="G1246" s="44"/>
      <c r="H1246" s="44"/>
      <c r="I1246" s="45"/>
      <c r="J1246" s="45"/>
      <c r="K1246" s="45"/>
      <c r="L1246" s="45"/>
    </row>
    <row r="1247" spans="1:12" ht="17.100000000000001" customHeight="1">
      <c r="A1247" s="43"/>
      <c r="B1247" s="44"/>
      <c r="C1247" s="44"/>
      <c r="D1247" s="85"/>
      <c r="E1247" s="44"/>
      <c r="F1247" s="44"/>
      <c r="G1247" s="44"/>
      <c r="H1247" s="44"/>
      <c r="I1247" s="45"/>
      <c r="J1247" s="45"/>
      <c r="K1247" s="45"/>
      <c r="L1247" s="45"/>
    </row>
    <row r="1248" spans="1:12" ht="17.100000000000001" customHeight="1">
      <c r="A1248" s="43"/>
      <c r="B1248" s="44"/>
      <c r="C1248" s="44"/>
      <c r="D1248" s="85"/>
      <c r="E1248" s="44"/>
      <c r="F1248" s="44"/>
      <c r="G1248" s="44"/>
      <c r="H1248" s="44"/>
      <c r="I1248" s="45"/>
      <c r="J1248" s="45"/>
      <c r="K1248" s="45"/>
      <c r="L1248" s="45"/>
    </row>
    <row r="1249" spans="1:12" ht="17.100000000000001" customHeight="1">
      <c r="A1249" s="43"/>
      <c r="B1249" s="44"/>
      <c r="C1249" s="44"/>
      <c r="D1249" s="85"/>
      <c r="E1249" s="44"/>
      <c r="F1249" s="44"/>
      <c r="G1249" s="44"/>
      <c r="H1249" s="44"/>
      <c r="I1249" s="45"/>
      <c r="J1249" s="45"/>
      <c r="K1249" s="45"/>
      <c r="L1249" s="45"/>
    </row>
    <row r="1250" spans="1:12" ht="17.100000000000001" customHeight="1">
      <c r="A1250" s="43"/>
      <c r="B1250" s="44"/>
      <c r="C1250" s="44"/>
      <c r="D1250" s="85"/>
      <c r="E1250" s="44"/>
      <c r="F1250" s="44"/>
      <c r="G1250" s="44"/>
      <c r="H1250" s="44"/>
      <c r="I1250" s="45"/>
      <c r="J1250" s="45"/>
      <c r="K1250" s="45"/>
      <c r="L1250" s="45"/>
    </row>
    <row r="1251" spans="1:12" ht="17.100000000000001" customHeight="1">
      <c r="A1251" s="43"/>
      <c r="B1251" s="44"/>
      <c r="C1251" s="44"/>
      <c r="D1251" s="85"/>
      <c r="E1251" s="44"/>
      <c r="F1251" s="44"/>
      <c r="G1251" s="44"/>
      <c r="H1251" s="44"/>
      <c r="I1251" s="45"/>
      <c r="J1251" s="45"/>
      <c r="K1251" s="45"/>
      <c r="L1251" s="45"/>
    </row>
    <row r="1252" spans="1:12" ht="17.100000000000001" customHeight="1">
      <c r="A1252" s="43"/>
      <c r="B1252" s="44"/>
      <c r="C1252" s="44"/>
      <c r="D1252" s="85"/>
      <c r="E1252" s="44"/>
      <c r="F1252" s="44"/>
      <c r="G1252" s="44"/>
      <c r="H1252" s="44"/>
      <c r="I1252" s="45"/>
      <c r="J1252" s="45"/>
      <c r="K1252" s="45"/>
      <c r="L1252" s="45"/>
    </row>
    <row r="1253" spans="1:12" ht="17.100000000000001" customHeight="1">
      <c r="A1253" s="43"/>
      <c r="B1253" s="44"/>
      <c r="C1253" s="44"/>
      <c r="D1253" s="85"/>
      <c r="E1253" s="44"/>
      <c r="F1253" s="44"/>
      <c r="G1253" s="44"/>
      <c r="H1253" s="44"/>
      <c r="I1253" s="45"/>
      <c r="J1253" s="45"/>
      <c r="K1253" s="45"/>
      <c r="L1253" s="45"/>
    </row>
    <row r="1254" spans="1:12" ht="17.100000000000001" customHeight="1">
      <c r="A1254" s="43"/>
      <c r="B1254" s="44"/>
      <c r="C1254" s="44"/>
      <c r="D1254" s="85"/>
      <c r="E1254" s="44"/>
      <c r="F1254" s="44"/>
      <c r="G1254" s="44"/>
      <c r="H1254" s="44"/>
      <c r="I1254" s="45"/>
      <c r="J1254" s="45"/>
      <c r="K1254" s="45"/>
      <c r="L1254" s="45"/>
    </row>
    <row r="1255" spans="1:12" ht="17.100000000000001" customHeight="1">
      <c r="A1255" s="43"/>
      <c r="B1255" s="44"/>
      <c r="C1255" s="44"/>
      <c r="D1255" s="85"/>
      <c r="E1255" s="44"/>
      <c r="F1255" s="44"/>
      <c r="G1255" s="44"/>
      <c r="H1255" s="44"/>
      <c r="I1255" s="45"/>
      <c r="J1255" s="45"/>
      <c r="K1255" s="45"/>
      <c r="L1255" s="45"/>
    </row>
    <row r="1256" spans="1:12" ht="17.100000000000001" customHeight="1">
      <c r="A1256" s="43"/>
      <c r="B1256" s="44"/>
      <c r="C1256" s="44"/>
      <c r="D1256" s="85"/>
      <c r="E1256" s="44"/>
      <c r="F1256" s="44"/>
      <c r="G1256" s="44"/>
      <c r="H1256" s="44"/>
      <c r="I1256" s="45"/>
      <c r="J1256" s="45"/>
      <c r="K1256" s="45"/>
      <c r="L1256" s="45"/>
    </row>
    <row r="1257" spans="1:12" ht="17.100000000000001" customHeight="1">
      <c r="A1257" s="43"/>
      <c r="B1257" s="44"/>
      <c r="C1257" s="44"/>
      <c r="D1257" s="85"/>
      <c r="E1257" s="44"/>
      <c r="F1257" s="44"/>
      <c r="G1257" s="44"/>
      <c r="H1257" s="44"/>
      <c r="I1257" s="45"/>
      <c r="J1257" s="45"/>
      <c r="K1257" s="45"/>
      <c r="L1257" s="45"/>
    </row>
    <row r="1258" spans="1:12" ht="17.100000000000001" customHeight="1">
      <c r="A1258" s="43"/>
      <c r="B1258" s="44"/>
      <c r="C1258" s="44"/>
      <c r="D1258" s="85"/>
      <c r="E1258" s="44"/>
      <c r="F1258" s="44"/>
      <c r="G1258" s="44"/>
      <c r="H1258" s="44"/>
      <c r="I1258" s="45"/>
      <c r="J1258" s="45"/>
      <c r="K1258" s="45"/>
      <c r="L1258" s="45"/>
    </row>
    <row r="1259" spans="1:12" ht="17.100000000000001" customHeight="1">
      <c r="A1259" s="43"/>
      <c r="B1259" s="44"/>
      <c r="C1259" s="44"/>
      <c r="D1259" s="85"/>
      <c r="E1259" s="44"/>
      <c r="F1259" s="44"/>
      <c r="G1259" s="44"/>
      <c r="H1259" s="44"/>
      <c r="I1259" s="45"/>
      <c r="J1259" s="45"/>
      <c r="K1259" s="45"/>
      <c r="L1259" s="45"/>
    </row>
    <row r="1260" spans="1:12" ht="17.100000000000001" customHeight="1">
      <c r="A1260" s="43"/>
      <c r="B1260" s="44"/>
      <c r="C1260" s="44"/>
      <c r="D1260" s="85"/>
      <c r="E1260" s="44"/>
      <c r="F1260" s="44"/>
      <c r="G1260" s="44"/>
      <c r="H1260" s="44"/>
      <c r="I1260" s="45"/>
      <c r="J1260" s="45"/>
      <c r="K1260" s="45"/>
      <c r="L1260" s="45"/>
    </row>
    <row r="1261" spans="1:12" ht="17.100000000000001" customHeight="1">
      <c r="A1261" s="43"/>
      <c r="B1261" s="44"/>
      <c r="C1261" s="44"/>
      <c r="D1261" s="85"/>
      <c r="E1261" s="44"/>
      <c r="F1261" s="44"/>
      <c r="G1261" s="44"/>
      <c r="H1261" s="44"/>
      <c r="I1261" s="45"/>
      <c r="J1261" s="45"/>
      <c r="K1261" s="45"/>
      <c r="L1261" s="45"/>
    </row>
    <row r="1262" spans="1:12" ht="17.100000000000001" customHeight="1">
      <c r="A1262" s="43"/>
      <c r="B1262" s="44"/>
      <c r="C1262" s="44"/>
      <c r="D1262" s="85"/>
      <c r="E1262" s="44"/>
      <c r="F1262" s="44"/>
      <c r="G1262" s="44"/>
      <c r="H1262" s="44"/>
      <c r="I1262" s="45"/>
      <c r="J1262" s="45"/>
      <c r="K1262" s="45"/>
      <c r="L1262" s="45"/>
    </row>
    <row r="1263" spans="1:12" ht="17.100000000000001" customHeight="1">
      <c r="A1263" s="43"/>
      <c r="B1263" s="44"/>
      <c r="C1263" s="44"/>
      <c r="D1263" s="85"/>
      <c r="E1263" s="44"/>
      <c r="F1263" s="44"/>
      <c r="G1263" s="44"/>
      <c r="H1263" s="44"/>
      <c r="I1263" s="45"/>
      <c r="J1263" s="45"/>
      <c r="K1263" s="45"/>
      <c r="L1263" s="45"/>
    </row>
    <row r="1264" spans="1:12" ht="17.100000000000001" customHeight="1">
      <c r="A1264" s="43"/>
      <c r="B1264" s="44"/>
      <c r="C1264" s="44"/>
      <c r="D1264" s="85"/>
      <c r="E1264" s="44"/>
      <c r="F1264" s="44"/>
      <c r="G1264" s="44"/>
      <c r="H1264" s="44"/>
      <c r="I1264" s="45"/>
      <c r="J1264" s="45"/>
      <c r="K1264" s="45"/>
      <c r="L1264" s="45"/>
    </row>
    <row r="1265" spans="1:12" ht="17.100000000000001" customHeight="1">
      <c r="A1265" s="43"/>
      <c r="B1265" s="44"/>
      <c r="C1265" s="44"/>
      <c r="D1265" s="85"/>
      <c r="E1265" s="44"/>
      <c r="F1265" s="44"/>
      <c r="G1265" s="44"/>
      <c r="H1265" s="44"/>
      <c r="I1265" s="45"/>
      <c r="J1265" s="45"/>
      <c r="K1265" s="45"/>
      <c r="L1265" s="45"/>
    </row>
    <row r="1266" spans="1:12" ht="17.100000000000001" customHeight="1">
      <c r="A1266" s="43"/>
      <c r="B1266" s="44"/>
      <c r="C1266" s="44"/>
      <c r="D1266" s="85"/>
      <c r="E1266" s="44"/>
      <c r="F1266" s="44"/>
      <c r="G1266" s="44"/>
      <c r="H1266" s="44"/>
      <c r="I1266" s="45"/>
      <c r="J1266" s="45"/>
      <c r="K1266" s="45"/>
      <c r="L1266" s="45"/>
    </row>
    <row r="1267" spans="1:12" ht="17.100000000000001" customHeight="1">
      <c r="A1267" s="43"/>
      <c r="B1267" s="44"/>
      <c r="C1267" s="44"/>
      <c r="D1267" s="85"/>
      <c r="E1267" s="44"/>
      <c r="F1267" s="44"/>
      <c r="G1267" s="44"/>
      <c r="H1267" s="44"/>
      <c r="I1267" s="45"/>
      <c r="J1267" s="45"/>
      <c r="K1267" s="45"/>
      <c r="L1267" s="45"/>
    </row>
    <row r="1268" spans="1:12" ht="17.100000000000001" customHeight="1">
      <c r="A1268" s="43"/>
      <c r="B1268" s="44"/>
      <c r="C1268" s="44"/>
      <c r="D1268" s="85"/>
      <c r="E1268" s="44"/>
      <c r="F1268" s="44"/>
      <c r="G1268" s="44"/>
      <c r="H1268" s="44"/>
      <c r="I1268" s="45"/>
      <c r="J1268" s="45"/>
      <c r="K1268" s="45"/>
      <c r="L1268" s="45"/>
    </row>
    <row r="1269" spans="1:12" ht="17.100000000000001" customHeight="1">
      <c r="A1269" s="43"/>
      <c r="B1269" s="44"/>
      <c r="C1269" s="44"/>
      <c r="D1269" s="85"/>
      <c r="E1269" s="44"/>
      <c r="F1269" s="44"/>
      <c r="G1269" s="44"/>
      <c r="H1269" s="44"/>
      <c r="I1269" s="45"/>
      <c r="J1269" s="45"/>
      <c r="K1269" s="45"/>
      <c r="L1269" s="45"/>
    </row>
    <row r="1270" spans="1:12" ht="17.100000000000001" customHeight="1">
      <c r="A1270" s="43"/>
      <c r="B1270" s="44"/>
      <c r="C1270" s="44"/>
      <c r="D1270" s="85"/>
      <c r="E1270" s="44"/>
      <c r="F1270" s="44"/>
      <c r="G1270" s="44"/>
      <c r="H1270" s="44"/>
      <c r="I1270" s="45"/>
      <c r="J1270" s="45"/>
      <c r="K1270" s="45"/>
      <c r="L1270" s="45"/>
    </row>
    <row r="1271" spans="1:12" ht="17.100000000000001" customHeight="1">
      <c r="A1271" s="43"/>
      <c r="B1271" s="44"/>
      <c r="C1271" s="44"/>
      <c r="D1271" s="85"/>
      <c r="E1271" s="44"/>
      <c r="F1271" s="44"/>
      <c r="G1271" s="44"/>
      <c r="H1271" s="44"/>
      <c r="I1271" s="45"/>
      <c r="J1271" s="45"/>
      <c r="K1271" s="45"/>
      <c r="L1271" s="45"/>
    </row>
    <row r="1272" spans="1:12" ht="17.100000000000001" customHeight="1">
      <c r="A1272" s="43"/>
      <c r="B1272" s="44"/>
      <c r="C1272" s="44"/>
      <c r="D1272" s="85"/>
      <c r="E1272" s="44"/>
      <c r="F1272" s="44"/>
      <c r="G1272" s="44"/>
      <c r="H1272" s="44"/>
      <c r="I1272" s="45"/>
      <c r="J1272" s="45"/>
      <c r="K1272" s="45"/>
      <c r="L1272" s="45"/>
    </row>
    <row r="1273" spans="1:12" ht="17.100000000000001" customHeight="1">
      <c r="A1273" s="43"/>
      <c r="B1273" s="44"/>
      <c r="C1273" s="44"/>
      <c r="D1273" s="85"/>
      <c r="E1273" s="44"/>
      <c r="F1273" s="44"/>
      <c r="G1273" s="44"/>
      <c r="H1273" s="44"/>
      <c r="I1273" s="45"/>
      <c r="J1273" s="45"/>
      <c r="K1273" s="45"/>
      <c r="L1273" s="45"/>
    </row>
    <row r="1274" spans="1:12" ht="17.100000000000001" customHeight="1">
      <c r="A1274" s="43"/>
      <c r="B1274" s="44"/>
      <c r="C1274" s="44"/>
      <c r="D1274" s="85"/>
      <c r="E1274" s="44"/>
      <c r="F1274" s="44"/>
      <c r="G1274" s="44"/>
      <c r="H1274" s="44"/>
      <c r="I1274" s="45"/>
      <c r="J1274" s="45"/>
      <c r="K1274" s="45"/>
      <c r="L1274" s="45"/>
    </row>
    <row r="1275" spans="1:12" ht="17.100000000000001" customHeight="1">
      <c r="A1275" s="43"/>
      <c r="B1275" s="44"/>
      <c r="C1275" s="44"/>
      <c r="D1275" s="85"/>
      <c r="E1275" s="44"/>
      <c r="F1275" s="44"/>
      <c r="G1275" s="44"/>
      <c r="H1275" s="44"/>
      <c r="I1275" s="45"/>
      <c r="J1275" s="45"/>
      <c r="K1275" s="45"/>
      <c r="L1275" s="45"/>
    </row>
    <row r="1276" spans="1:12" ht="17.100000000000001" customHeight="1">
      <c r="A1276" s="43"/>
      <c r="B1276" s="44"/>
      <c r="C1276" s="44"/>
      <c r="D1276" s="85"/>
      <c r="E1276" s="44"/>
      <c r="F1276" s="44"/>
      <c r="G1276" s="44"/>
      <c r="H1276" s="44"/>
      <c r="I1276" s="45"/>
      <c r="J1276" s="45"/>
      <c r="K1276" s="45"/>
      <c r="L1276" s="45"/>
    </row>
    <row r="1277" spans="1:12" ht="17.100000000000001" customHeight="1">
      <c r="A1277" s="43"/>
      <c r="B1277" s="44"/>
      <c r="C1277" s="44"/>
      <c r="D1277" s="85"/>
      <c r="E1277" s="44"/>
      <c r="F1277" s="44"/>
      <c r="G1277" s="44"/>
      <c r="H1277" s="44"/>
      <c r="I1277" s="45"/>
      <c r="J1277" s="45"/>
      <c r="K1277" s="45"/>
      <c r="L1277" s="45"/>
    </row>
    <row r="1278" spans="1:12" ht="17.100000000000001" customHeight="1">
      <c r="A1278" s="43"/>
      <c r="B1278" s="44"/>
      <c r="C1278" s="44"/>
      <c r="D1278" s="85"/>
      <c r="E1278" s="44"/>
      <c r="F1278" s="44"/>
      <c r="G1278" s="44"/>
      <c r="H1278" s="44"/>
      <c r="I1278" s="45"/>
      <c r="J1278" s="45"/>
      <c r="K1278" s="45"/>
      <c r="L1278" s="45"/>
    </row>
    <row r="1279" spans="1:12" ht="17.100000000000001" customHeight="1">
      <c r="A1279" s="43"/>
      <c r="B1279" s="44"/>
      <c r="C1279" s="44"/>
      <c r="D1279" s="85"/>
      <c r="E1279" s="44"/>
      <c r="F1279" s="44"/>
      <c r="G1279" s="44"/>
      <c r="H1279" s="44"/>
      <c r="I1279" s="45"/>
      <c r="J1279" s="45"/>
      <c r="K1279" s="45"/>
      <c r="L1279" s="45"/>
    </row>
    <row r="1280" spans="1:12" ht="17.100000000000001" customHeight="1">
      <c r="A1280" s="43"/>
      <c r="B1280" s="44"/>
      <c r="C1280" s="44"/>
      <c r="D1280" s="85"/>
      <c r="E1280" s="44"/>
      <c r="F1280" s="44"/>
      <c r="G1280" s="44"/>
      <c r="H1280" s="44"/>
      <c r="I1280" s="45"/>
      <c r="J1280" s="45"/>
      <c r="K1280" s="45"/>
      <c r="L1280" s="45"/>
    </row>
    <row r="1281" spans="1:12" ht="17.100000000000001" customHeight="1">
      <c r="A1281" s="43"/>
      <c r="B1281" s="44"/>
      <c r="C1281" s="44"/>
      <c r="D1281" s="85"/>
      <c r="E1281" s="44"/>
      <c r="F1281" s="44"/>
      <c r="G1281" s="44"/>
      <c r="H1281" s="44"/>
      <c r="I1281" s="45"/>
      <c r="J1281" s="45"/>
      <c r="K1281" s="45"/>
      <c r="L1281" s="45"/>
    </row>
    <row r="1282" spans="1:12" ht="17.100000000000001" customHeight="1">
      <c r="A1282" s="43"/>
      <c r="B1282" s="44"/>
      <c r="C1282" s="44"/>
      <c r="D1282" s="85"/>
      <c r="E1282" s="44"/>
      <c r="F1282" s="44"/>
      <c r="G1282" s="44"/>
      <c r="H1282" s="44"/>
      <c r="I1282" s="45"/>
      <c r="J1282" s="45"/>
      <c r="K1282" s="45"/>
      <c r="L1282" s="45"/>
    </row>
    <row r="1283" spans="1:12" ht="17.100000000000001" customHeight="1">
      <c r="A1283" s="43"/>
      <c r="B1283" s="44"/>
      <c r="C1283" s="44"/>
      <c r="D1283" s="85"/>
      <c r="E1283" s="44"/>
      <c r="F1283" s="44"/>
      <c r="G1283" s="44"/>
      <c r="H1283" s="44"/>
      <c r="I1283" s="45"/>
      <c r="J1283" s="45"/>
      <c r="K1283" s="45"/>
      <c r="L1283" s="45"/>
    </row>
    <row r="1284" spans="1:12" ht="17.100000000000001" customHeight="1">
      <c r="A1284" s="43"/>
      <c r="B1284" s="44"/>
      <c r="C1284" s="44"/>
      <c r="D1284" s="85"/>
      <c r="E1284" s="44"/>
      <c r="F1284" s="44"/>
      <c r="G1284" s="44"/>
      <c r="H1284" s="44"/>
      <c r="I1284" s="45"/>
      <c r="J1284" s="45"/>
      <c r="K1284" s="45"/>
      <c r="L1284" s="45"/>
    </row>
    <row r="1285" spans="1:12" ht="17.100000000000001" customHeight="1">
      <c r="A1285" s="43"/>
      <c r="B1285" s="44"/>
      <c r="C1285" s="44"/>
      <c r="D1285" s="85"/>
      <c r="E1285" s="44"/>
      <c r="F1285" s="44"/>
      <c r="G1285" s="44"/>
      <c r="H1285" s="44"/>
      <c r="I1285" s="45"/>
      <c r="J1285" s="45"/>
      <c r="K1285" s="45"/>
      <c r="L1285" s="45"/>
    </row>
    <row r="1286" spans="1:12" ht="17.100000000000001" customHeight="1">
      <c r="A1286" s="43"/>
      <c r="B1286" s="44"/>
      <c r="C1286" s="44"/>
      <c r="D1286" s="85"/>
      <c r="E1286" s="44"/>
      <c r="F1286" s="44"/>
      <c r="G1286" s="44"/>
      <c r="H1286" s="44"/>
      <c r="I1286" s="45"/>
      <c r="J1286" s="45"/>
      <c r="K1286" s="45"/>
      <c r="L1286" s="45"/>
    </row>
    <row r="1287" spans="1:12" ht="17.100000000000001" customHeight="1">
      <c r="A1287" s="43"/>
      <c r="B1287" s="44"/>
      <c r="C1287" s="44"/>
      <c r="D1287" s="85"/>
      <c r="E1287" s="44"/>
      <c r="F1287" s="44"/>
      <c r="G1287" s="44"/>
      <c r="H1287" s="44"/>
      <c r="I1287" s="45"/>
      <c r="J1287" s="45"/>
      <c r="K1287" s="45"/>
      <c r="L1287" s="45"/>
    </row>
    <row r="1288" spans="1:12" ht="17.100000000000001" customHeight="1">
      <c r="A1288" s="43"/>
      <c r="B1288" s="44"/>
      <c r="C1288" s="44"/>
      <c r="D1288" s="85"/>
      <c r="E1288" s="44"/>
      <c r="F1288" s="44"/>
      <c r="G1288" s="44"/>
      <c r="H1288" s="44"/>
      <c r="I1288" s="45"/>
      <c r="J1288" s="45"/>
      <c r="K1288" s="45"/>
      <c r="L1288" s="45"/>
    </row>
    <row r="1289" spans="1:12" ht="17.100000000000001" customHeight="1">
      <c r="A1289" s="43"/>
      <c r="B1289" s="44"/>
      <c r="C1289" s="44"/>
      <c r="D1289" s="85"/>
      <c r="E1289" s="44"/>
      <c r="F1289" s="44"/>
      <c r="G1289" s="44"/>
      <c r="H1289" s="44"/>
      <c r="I1289" s="45"/>
      <c r="J1289" s="45"/>
      <c r="K1289" s="45"/>
      <c r="L1289" s="45"/>
    </row>
    <row r="1290" spans="1:12" ht="17.100000000000001" customHeight="1">
      <c r="A1290" s="43"/>
      <c r="B1290" s="44"/>
      <c r="C1290" s="44"/>
      <c r="D1290" s="85"/>
      <c r="E1290" s="44"/>
      <c r="F1290" s="44"/>
      <c r="G1290" s="44"/>
      <c r="H1290" s="44"/>
      <c r="I1290" s="45"/>
      <c r="J1290" s="45"/>
      <c r="K1290" s="45"/>
      <c r="L1290" s="45"/>
    </row>
    <row r="1291" spans="1:12" ht="17.100000000000001" customHeight="1">
      <c r="A1291" s="43"/>
      <c r="B1291" s="44"/>
      <c r="C1291" s="44"/>
      <c r="D1291" s="85"/>
      <c r="E1291" s="44"/>
      <c r="F1291" s="44"/>
      <c r="G1291" s="44"/>
      <c r="H1291" s="44"/>
      <c r="I1291" s="45"/>
      <c r="J1291" s="45"/>
      <c r="K1291" s="45"/>
      <c r="L1291" s="45"/>
    </row>
    <row r="1292" spans="1:12" ht="17.100000000000001" customHeight="1">
      <c r="A1292" s="43"/>
      <c r="B1292" s="44"/>
      <c r="C1292" s="44"/>
      <c r="D1292" s="85"/>
      <c r="E1292" s="44"/>
      <c r="F1292" s="44"/>
      <c r="G1292" s="44"/>
      <c r="H1292" s="44"/>
      <c r="I1292" s="45"/>
      <c r="J1292" s="45"/>
      <c r="K1292" s="45"/>
      <c r="L1292" s="45"/>
    </row>
    <row r="1293" spans="1:12" ht="17.100000000000001" customHeight="1">
      <c r="A1293" s="43"/>
      <c r="B1293" s="44"/>
      <c r="C1293" s="44"/>
      <c r="D1293" s="85"/>
      <c r="E1293" s="44"/>
      <c r="F1293" s="44"/>
      <c r="G1293" s="44"/>
      <c r="H1293" s="44"/>
      <c r="I1293" s="45"/>
      <c r="J1293" s="45"/>
      <c r="K1293" s="45"/>
      <c r="L1293" s="45"/>
    </row>
    <row r="1294" spans="1:12" ht="17.100000000000001" customHeight="1">
      <c r="A1294" s="43"/>
      <c r="B1294" s="44"/>
      <c r="C1294" s="44"/>
      <c r="D1294" s="85"/>
      <c r="E1294" s="44"/>
      <c r="F1294" s="44"/>
      <c r="G1294" s="44"/>
      <c r="H1294" s="44"/>
      <c r="I1294" s="45"/>
      <c r="J1294" s="45"/>
      <c r="K1294" s="45"/>
      <c r="L1294" s="45"/>
    </row>
    <row r="1295" spans="1:12" ht="17.100000000000001" customHeight="1">
      <c r="A1295" s="43"/>
      <c r="B1295" s="44"/>
      <c r="C1295" s="44"/>
      <c r="D1295" s="85"/>
      <c r="E1295" s="44"/>
      <c r="F1295" s="44"/>
      <c r="G1295" s="44"/>
      <c r="H1295" s="44"/>
      <c r="I1295" s="45"/>
      <c r="J1295" s="45"/>
      <c r="K1295" s="45"/>
      <c r="L1295" s="45"/>
    </row>
    <row r="1296" spans="1:12" ht="17.100000000000001" customHeight="1">
      <c r="A1296" s="43"/>
      <c r="B1296" s="44"/>
      <c r="C1296" s="44"/>
      <c r="D1296" s="85"/>
      <c r="E1296" s="44"/>
      <c r="F1296" s="44"/>
      <c r="G1296" s="44"/>
      <c r="H1296" s="44"/>
      <c r="I1296" s="45"/>
      <c r="J1296" s="45"/>
      <c r="K1296" s="45"/>
      <c r="L1296" s="45"/>
    </row>
    <row r="1297" spans="1:12" ht="17.100000000000001" customHeight="1">
      <c r="A1297" s="43"/>
      <c r="B1297" s="44"/>
      <c r="C1297" s="44"/>
      <c r="D1297" s="85"/>
      <c r="E1297" s="44"/>
      <c r="F1297" s="44"/>
      <c r="G1297" s="44"/>
      <c r="H1297" s="44"/>
      <c r="I1297" s="45"/>
      <c r="J1297" s="45"/>
      <c r="K1297" s="45"/>
      <c r="L1297" s="45"/>
    </row>
    <row r="1298" spans="1:12" ht="17.100000000000001" customHeight="1">
      <c r="A1298" s="43"/>
      <c r="B1298" s="44"/>
      <c r="C1298" s="44"/>
      <c r="D1298" s="85"/>
      <c r="E1298" s="44"/>
      <c r="F1298" s="44"/>
      <c r="G1298" s="44"/>
      <c r="H1298" s="44"/>
      <c r="I1298" s="45"/>
      <c r="J1298" s="45"/>
      <c r="K1298" s="45"/>
      <c r="L1298" s="45"/>
    </row>
    <row r="1299" spans="1:12" ht="17.100000000000001" customHeight="1">
      <c r="A1299" s="43"/>
      <c r="B1299" s="44"/>
      <c r="C1299" s="44"/>
      <c r="D1299" s="85"/>
      <c r="E1299" s="44"/>
      <c r="F1299" s="44"/>
      <c r="G1299" s="44"/>
      <c r="H1299" s="44"/>
      <c r="I1299" s="45"/>
      <c r="J1299" s="45"/>
      <c r="K1299" s="45"/>
      <c r="L1299" s="45"/>
    </row>
    <row r="1300" spans="1:12" ht="17.100000000000001" customHeight="1">
      <c r="A1300" s="43"/>
      <c r="B1300" s="44"/>
      <c r="C1300" s="44"/>
      <c r="D1300" s="85"/>
      <c r="E1300" s="44"/>
      <c r="F1300" s="44"/>
      <c r="G1300" s="44"/>
      <c r="H1300" s="44"/>
      <c r="I1300" s="45"/>
      <c r="J1300" s="45"/>
      <c r="K1300" s="45"/>
      <c r="L1300" s="45"/>
    </row>
    <row r="1301" spans="1:12" ht="17.100000000000001" customHeight="1">
      <c r="A1301" s="43"/>
      <c r="B1301" s="44"/>
      <c r="C1301" s="44"/>
      <c r="D1301" s="85"/>
      <c r="E1301" s="44"/>
      <c r="F1301" s="44"/>
      <c r="G1301" s="44"/>
      <c r="H1301" s="44"/>
      <c r="I1301" s="45"/>
      <c r="J1301" s="45"/>
      <c r="K1301" s="45"/>
      <c r="L1301" s="45"/>
    </row>
    <row r="1302" spans="1:12" ht="17.100000000000001" customHeight="1">
      <c r="A1302" s="43"/>
      <c r="B1302" s="44"/>
      <c r="C1302" s="44"/>
      <c r="D1302" s="85"/>
      <c r="E1302" s="44"/>
      <c r="F1302" s="44"/>
      <c r="G1302" s="44"/>
      <c r="H1302" s="44"/>
      <c r="I1302" s="45"/>
      <c r="J1302" s="45"/>
      <c r="K1302" s="45"/>
      <c r="L1302" s="45"/>
    </row>
    <row r="1303" spans="1:12" ht="17.100000000000001" customHeight="1">
      <c r="A1303" s="43"/>
      <c r="B1303" s="44"/>
      <c r="C1303" s="44"/>
      <c r="D1303" s="85"/>
      <c r="E1303" s="44"/>
      <c r="F1303" s="44"/>
      <c r="G1303" s="44"/>
      <c r="H1303" s="44"/>
      <c r="I1303" s="45"/>
      <c r="J1303" s="45"/>
      <c r="K1303" s="45"/>
      <c r="L1303" s="45"/>
    </row>
    <row r="1304" spans="1:12" ht="17.100000000000001" customHeight="1">
      <c r="A1304" s="43"/>
      <c r="B1304" s="44"/>
      <c r="C1304" s="44"/>
      <c r="D1304" s="85"/>
      <c r="E1304" s="44"/>
      <c r="F1304" s="44"/>
      <c r="G1304" s="44"/>
      <c r="H1304" s="44"/>
      <c r="I1304" s="45"/>
      <c r="J1304" s="45"/>
      <c r="K1304" s="45"/>
      <c r="L1304" s="45"/>
    </row>
    <row r="1305" spans="1:12" ht="17.100000000000001" customHeight="1">
      <c r="A1305" s="43"/>
      <c r="B1305" s="44"/>
      <c r="C1305" s="44"/>
      <c r="D1305" s="85"/>
      <c r="E1305" s="44"/>
      <c r="F1305" s="44"/>
      <c r="G1305" s="44"/>
      <c r="H1305" s="44"/>
      <c r="I1305" s="45"/>
      <c r="J1305" s="45"/>
      <c r="K1305" s="45"/>
      <c r="L1305" s="45"/>
    </row>
    <row r="1306" spans="1:12" ht="17.100000000000001" customHeight="1">
      <c r="A1306" s="43"/>
      <c r="B1306" s="44"/>
      <c r="C1306" s="44"/>
      <c r="D1306" s="85"/>
      <c r="E1306" s="44"/>
      <c r="F1306" s="44"/>
      <c r="G1306" s="44"/>
      <c r="H1306" s="44"/>
      <c r="I1306" s="45"/>
      <c r="J1306" s="45"/>
      <c r="K1306" s="45"/>
      <c r="L1306" s="45"/>
    </row>
    <row r="1307" spans="1:12" ht="17.100000000000001" customHeight="1">
      <c r="A1307" s="43"/>
      <c r="B1307" s="44"/>
      <c r="C1307" s="44"/>
      <c r="D1307" s="85"/>
      <c r="E1307" s="44"/>
      <c r="F1307" s="44"/>
      <c r="G1307" s="44"/>
      <c r="H1307" s="44"/>
      <c r="I1307" s="45"/>
      <c r="J1307" s="45"/>
      <c r="K1307" s="45"/>
      <c r="L1307" s="45"/>
    </row>
    <row r="1308" spans="1:12" ht="17.100000000000001" customHeight="1">
      <c r="A1308" s="43"/>
      <c r="B1308" s="44"/>
      <c r="C1308" s="44"/>
      <c r="D1308" s="85"/>
      <c r="E1308" s="44"/>
      <c r="F1308" s="44"/>
      <c r="G1308" s="44"/>
      <c r="H1308" s="44"/>
      <c r="I1308" s="45"/>
      <c r="J1308" s="45"/>
      <c r="K1308" s="45"/>
      <c r="L1308" s="45"/>
    </row>
    <row r="1309" spans="1:12" ht="17.100000000000001" customHeight="1">
      <c r="A1309" s="43"/>
      <c r="B1309" s="44"/>
      <c r="C1309" s="44"/>
      <c r="D1309" s="85"/>
      <c r="E1309" s="44"/>
      <c r="F1309" s="44"/>
      <c r="G1309" s="44"/>
      <c r="H1309" s="44"/>
      <c r="I1309" s="45"/>
      <c r="J1309" s="45"/>
      <c r="K1309" s="45"/>
      <c r="L1309" s="45"/>
    </row>
    <row r="1310" spans="1:12" ht="17.100000000000001" customHeight="1">
      <c r="A1310" s="43"/>
      <c r="B1310" s="44"/>
      <c r="C1310" s="44"/>
      <c r="D1310" s="85"/>
      <c r="E1310" s="44"/>
      <c r="F1310" s="44"/>
      <c r="G1310" s="44"/>
      <c r="H1310" s="44"/>
      <c r="I1310" s="45"/>
      <c r="J1310" s="45"/>
      <c r="K1310" s="45"/>
      <c r="L1310" s="45"/>
    </row>
    <row r="1311" spans="1:12" ht="17.100000000000001" customHeight="1">
      <c r="A1311" s="43"/>
      <c r="B1311" s="44"/>
      <c r="C1311" s="44"/>
      <c r="D1311" s="85"/>
      <c r="E1311" s="44"/>
      <c r="F1311" s="44"/>
      <c r="G1311" s="44"/>
      <c r="H1311" s="44"/>
      <c r="I1311" s="45"/>
      <c r="J1311" s="45"/>
      <c r="K1311" s="45"/>
      <c r="L1311" s="45"/>
    </row>
    <row r="1312" spans="1:12" ht="17.100000000000001" customHeight="1">
      <c r="A1312" s="43"/>
      <c r="B1312" s="44"/>
      <c r="C1312" s="44"/>
      <c r="D1312" s="85"/>
      <c r="E1312" s="44"/>
      <c r="F1312" s="44"/>
      <c r="G1312" s="44"/>
      <c r="H1312" s="44"/>
      <c r="I1312" s="45"/>
      <c r="J1312" s="45"/>
      <c r="K1312" s="45"/>
      <c r="L1312" s="45"/>
    </row>
    <row r="1313" spans="1:12" ht="17.100000000000001" customHeight="1">
      <c r="A1313" s="43"/>
      <c r="B1313" s="44"/>
      <c r="C1313" s="44"/>
      <c r="D1313" s="85"/>
      <c r="E1313" s="44"/>
      <c r="F1313" s="44"/>
      <c r="G1313" s="44"/>
      <c r="H1313" s="44"/>
      <c r="I1313" s="45"/>
      <c r="J1313" s="45"/>
      <c r="K1313" s="45"/>
      <c r="L1313" s="45"/>
    </row>
    <row r="1314" spans="1:12" ht="17.100000000000001" customHeight="1">
      <c r="A1314" s="43"/>
      <c r="B1314" s="44"/>
      <c r="C1314" s="44"/>
      <c r="D1314" s="85"/>
      <c r="E1314" s="44"/>
      <c r="F1314" s="44"/>
      <c r="G1314" s="44"/>
      <c r="H1314" s="44"/>
      <c r="I1314" s="45"/>
      <c r="J1314" s="45"/>
      <c r="K1314" s="45"/>
      <c r="L1314" s="45"/>
    </row>
    <row r="1315" spans="1:12" ht="17.100000000000001" customHeight="1">
      <c r="A1315" s="43"/>
      <c r="B1315" s="44"/>
      <c r="C1315" s="44"/>
      <c r="D1315" s="85"/>
      <c r="E1315" s="44"/>
      <c r="F1315" s="44"/>
      <c r="G1315" s="44"/>
      <c r="H1315" s="44"/>
      <c r="I1315" s="45"/>
      <c r="J1315" s="45"/>
      <c r="K1315" s="45"/>
      <c r="L1315" s="45"/>
    </row>
    <row r="1316" spans="1:12" ht="17.100000000000001" customHeight="1">
      <c r="A1316" s="43"/>
      <c r="B1316" s="44"/>
      <c r="C1316" s="44"/>
      <c r="D1316" s="85"/>
      <c r="E1316" s="44"/>
      <c r="F1316" s="44"/>
      <c r="G1316" s="44"/>
      <c r="H1316" s="44"/>
      <c r="I1316" s="45"/>
      <c r="J1316" s="45"/>
      <c r="K1316" s="45"/>
      <c r="L1316" s="45"/>
    </row>
    <row r="1317" spans="1:12" ht="17.100000000000001" customHeight="1">
      <c r="A1317" s="43"/>
      <c r="B1317" s="44"/>
      <c r="C1317" s="44"/>
      <c r="D1317" s="85"/>
      <c r="E1317" s="44"/>
      <c r="F1317" s="44"/>
      <c r="G1317" s="44"/>
      <c r="H1317" s="44"/>
      <c r="I1317" s="45"/>
      <c r="J1317" s="45"/>
      <c r="K1317" s="45"/>
      <c r="L1317" s="45"/>
    </row>
    <row r="1318" spans="1:12" ht="17.100000000000001" customHeight="1">
      <c r="A1318" s="43"/>
      <c r="B1318" s="44"/>
      <c r="C1318" s="44"/>
      <c r="D1318" s="85"/>
      <c r="E1318" s="44"/>
      <c r="F1318" s="44"/>
      <c r="G1318" s="44"/>
      <c r="H1318" s="44"/>
      <c r="I1318" s="45"/>
      <c r="J1318" s="45"/>
      <c r="K1318" s="45"/>
      <c r="L1318" s="45"/>
    </row>
    <row r="1319" spans="1:12" ht="17.100000000000001" customHeight="1">
      <c r="A1319" s="43"/>
      <c r="B1319" s="44"/>
      <c r="C1319" s="44"/>
      <c r="D1319" s="85"/>
      <c r="E1319" s="44"/>
      <c r="F1319" s="44"/>
      <c r="G1319" s="44"/>
      <c r="H1319" s="44"/>
      <c r="I1319" s="45"/>
      <c r="J1319" s="45"/>
      <c r="K1319" s="45"/>
      <c r="L1319" s="45"/>
    </row>
    <row r="1320" spans="1:12" ht="17.100000000000001" customHeight="1">
      <c r="A1320" s="43"/>
      <c r="B1320" s="44"/>
      <c r="C1320" s="44"/>
      <c r="D1320" s="85"/>
      <c r="E1320" s="44"/>
      <c r="F1320" s="44"/>
      <c r="G1320" s="44"/>
      <c r="H1320" s="44"/>
      <c r="I1320" s="45"/>
      <c r="J1320" s="45"/>
      <c r="K1320" s="45"/>
      <c r="L1320" s="45"/>
    </row>
    <row r="1321" spans="1:12" ht="17.100000000000001" customHeight="1">
      <c r="A1321" s="43"/>
      <c r="B1321" s="44"/>
      <c r="C1321" s="44"/>
      <c r="D1321" s="85"/>
      <c r="E1321" s="44"/>
      <c r="F1321" s="44"/>
      <c r="G1321" s="44"/>
      <c r="H1321" s="44"/>
      <c r="I1321" s="45"/>
      <c r="J1321" s="45"/>
      <c r="K1321" s="45"/>
      <c r="L1321" s="45"/>
    </row>
    <row r="1322" spans="1:12" ht="17.100000000000001" customHeight="1">
      <c r="A1322" s="43"/>
      <c r="B1322" s="44"/>
      <c r="C1322" s="44"/>
      <c r="D1322" s="85"/>
      <c r="E1322" s="44"/>
      <c r="F1322" s="44"/>
      <c r="G1322" s="44"/>
      <c r="H1322" s="44"/>
      <c r="I1322" s="45"/>
      <c r="J1322" s="45"/>
      <c r="K1322" s="45"/>
      <c r="L1322" s="45"/>
    </row>
    <row r="1323" spans="1:12" ht="17.100000000000001" customHeight="1">
      <c r="A1323" s="43"/>
      <c r="B1323" s="44"/>
      <c r="C1323" s="44"/>
      <c r="D1323" s="85"/>
      <c r="E1323" s="44"/>
      <c r="F1323" s="44"/>
      <c r="G1323" s="44"/>
      <c r="H1323" s="44"/>
      <c r="I1323" s="45"/>
      <c r="J1323" s="45"/>
      <c r="K1323" s="45"/>
      <c r="L1323" s="45"/>
    </row>
    <row r="1324" spans="1:12" ht="17.100000000000001" customHeight="1">
      <c r="A1324" s="43"/>
      <c r="B1324" s="44"/>
      <c r="C1324" s="44"/>
      <c r="D1324" s="85"/>
      <c r="E1324" s="44"/>
      <c r="F1324" s="44"/>
      <c r="G1324" s="44"/>
      <c r="H1324" s="44"/>
      <c r="I1324" s="45"/>
      <c r="J1324" s="45"/>
      <c r="K1324" s="45"/>
      <c r="L1324" s="45"/>
    </row>
    <row r="1325" spans="1:12" ht="17.100000000000001" customHeight="1">
      <c r="A1325" s="43"/>
      <c r="B1325" s="44"/>
      <c r="C1325" s="44"/>
      <c r="D1325" s="85"/>
      <c r="E1325" s="44"/>
      <c r="F1325" s="44"/>
      <c r="G1325" s="44"/>
      <c r="H1325" s="44"/>
      <c r="I1325" s="45"/>
      <c r="J1325" s="45"/>
      <c r="K1325" s="45"/>
      <c r="L1325" s="45"/>
    </row>
    <row r="1326" spans="1:12" ht="17.100000000000001" customHeight="1">
      <c r="A1326" s="43"/>
      <c r="B1326" s="44"/>
      <c r="C1326" s="44"/>
      <c r="D1326" s="85"/>
      <c r="E1326" s="44"/>
      <c r="F1326" s="44"/>
      <c r="G1326" s="44"/>
      <c r="H1326" s="44"/>
      <c r="I1326" s="45"/>
      <c r="J1326" s="45"/>
      <c r="K1326" s="45"/>
      <c r="L1326" s="45"/>
    </row>
    <row r="1327" spans="1:12" ht="17.100000000000001" customHeight="1">
      <c r="A1327" s="43"/>
      <c r="B1327" s="44"/>
      <c r="C1327" s="44"/>
      <c r="D1327" s="85"/>
      <c r="E1327" s="44"/>
      <c r="F1327" s="44"/>
      <c r="G1327" s="44"/>
      <c r="H1327" s="44"/>
      <c r="I1327" s="45"/>
      <c r="J1327" s="45"/>
      <c r="K1327" s="45"/>
      <c r="L1327" s="45"/>
    </row>
    <row r="1328" spans="1:12" ht="17.100000000000001" customHeight="1">
      <c r="A1328" s="43"/>
      <c r="B1328" s="44"/>
      <c r="C1328" s="44"/>
      <c r="D1328" s="85"/>
      <c r="E1328" s="44"/>
      <c r="F1328" s="44"/>
      <c r="G1328" s="44"/>
      <c r="H1328" s="44"/>
      <c r="I1328" s="45"/>
      <c r="J1328" s="45"/>
      <c r="K1328" s="45"/>
      <c r="L1328" s="45"/>
    </row>
    <row r="1329" spans="1:12" ht="17.100000000000001" customHeight="1">
      <c r="A1329" s="43"/>
      <c r="B1329" s="44"/>
      <c r="C1329" s="44"/>
      <c r="D1329" s="85"/>
      <c r="E1329" s="44"/>
      <c r="F1329" s="44"/>
      <c r="G1329" s="44"/>
      <c r="H1329" s="44"/>
      <c r="I1329" s="45"/>
      <c r="J1329" s="45"/>
      <c r="K1329" s="45"/>
      <c r="L1329" s="45"/>
    </row>
    <row r="1330" spans="1:12" ht="17.100000000000001" customHeight="1">
      <c r="A1330" s="43"/>
      <c r="B1330" s="44"/>
      <c r="C1330" s="44"/>
      <c r="D1330" s="85"/>
      <c r="E1330" s="44"/>
      <c r="F1330" s="44"/>
      <c r="G1330" s="44"/>
      <c r="H1330" s="44"/>
      <c r="I1330" s="45"/>
      <c r="J1330" s="45"/>
      <c r="K1330" s="45"/>
      <c r="L1330" s="45"/>
    </row>
    <row r="1331" spans="1:12" ht="17.100000000000001" customHeight="1">
      <c r="A1331" s="43"/>
      <c r="B1331" s="44"/>
      <c r="C1331" s="44"/>
      <c r="D1331" s="85"/>
      <c r="E1331" s="44"/>
      <c r="F1331" s="44"/>
      <c r="G1331" s="44"/>
      <c r="H1331" s="44"/>
      <c r="I1331" s="45"/>
      <c r="J1331" s="45"/>
      <c r="K1331" s="45"/>
      <c r="L1331" s="45"/>
    </row>
    <row r="1332" spans="1:12" ht="17.100000000000001" customHeight="1">
      <c r="A1332" s="43"/>
      <c r="B1332" s="44"/>
      <c r="C1332" s="44"/>
      <c r="D1332" s="85"/>
      <c r="E1332" s="44"/>
      <c r="F1332" s="44"/>
      <c r="G1332" s="44"/>
      <c r="H1332" s="44"/>
      <c r="I1332" s="45"/>
      <c r="J1332" s="45"/>
      <c r="K1332" s="45"/>
      <c r="L1332" s="45"/>
    </row>
    <row r="1333" spans="1:12" ht="17.100000000000001" customHeight="1">
      <c r="A1333" s="43"/>
      <c r="B1333" s="44"/>
      <c r="C1333" s="44"/>
      <c r="D1333" s="85"/>
      <c r="E1333" s="44"/>
      <c r="F1333" s="44"/>
      <c r="G1333" s="44"/>
      <c r="H1333" s="44"/>
      <c r="I1333" s="45"/>
      <c r="J1333" s="45"/>
      <c r="K1333" s="45"/>
      <c r="L1333" s="45"/>
    </row>
    <row r="1334" spans="1:12" ht="17.100000000000001" customHeight="1">
      <c r="A1334" s="43"/>
      <c r="B1334" s="44"/>
      <c r="C1334" s="44"/>
      <c r="D1334" s="85"/>
      <c r="E1334" s="44"/>
      <c r="F1334" s="44"/>
      <c r="G1334" s="44"/>
      <c r="H1334" s="44"/>
      <c r="I1334" s="45"/>
      <c r="J1334" s="45"/>
      <c r="K1334" s="45"/>
      <c r="L1334" s="45"/>
    </row>
    <row r="1335" spans="1:12" ht="17.100000000000001" customHeight="1">
      <c r="A1335" s="43"/>
      <c r="B1335" s="44"/>
      <c r="C1335" s="44"/>
      <c r="D1335" s="85"/>
      <c r="E1335" s="44"/>
      <c r="F1335" s="44"/>
      <c r="G1335" s="44"/>
      <c r="H1335" s="44"/>
      <c r="I1335" s="45"/>
      <c r="J1335" s="45"/>
      <c r="K1335" s="45"/>
      <c r="L1335" s="45"/>
    </row>
    <row r="1336" spans="1:12" ht="17.100000000000001" customHeight="1">
      <c r="A1336" s="43"/>
      <c r="B1336" s="44"/>
      <c r="C1336" s="44"/>
      <c r="D1336" s="85"/>
      <c r="E1336" s="44"/>
      <c r="F1336" s="44"/>
      <c r="G1336" s="44"/>
      <c r="H1336" s="44"/>
      <c r="I1336" s="45"/>
      <c r="J1336" s="45"/>
      <c r="K1336" s="45"/>
      <c r="L1336" s="45"/>
    </row>
    <row r="1337" spans="1:12" ht="17.100000000000001" customHeight="1">
      <c r="A1337" s="43"/>
      <c r="B1337" s="44"/>
      <c r="C1337" s="44"/>
      <c r="D1337" s="85"/>
      <c r="E1337" s="44"/>
      <c r="F1337" s="44"/>
      <c r="G1337" s="44"/>
      <c r="H1337" s="44"/>
      <c r="I1337" s="45"/>
      <c r="J1337" s="45"/>
      <c r="K1337" s="45"/>
      <c r="L1337" s="45"/>
    </row>
    <row r="1338" spans="1:12" ht="17.100000000000001" customHeight="1">
      <c r="A1338" s="43"/>
      <c r="B1338" s="44"/>
      <c r="C1338" s="44"/>
      <c r="D1338" s="85"/>
      <c r="E1338" s="44"/>
      <c r="F1338" s="44"/>
      <c r="G1338" s="44"/>
      <c r="H1338" s="44"/>
      <c r="I1338" s="45"/>
      <c r="J1338" s="45"/>
      <c r="K1338" s="45"/>
      <c r="L1338" s="45"/>
    </row>
    <row r="1339" spans="1:12" ht="17.100000000000001" customHeight="1">
      <c r="A1339" s="43"/>
      <c r="B1339" s="44"/>
      <c r="C1339" s="44"/>
      <c r="D1339" s="85"/>
      <c r="E1339" s="44"/>
      <c r="F1339" s="44"/>
      <c r="G1339" s="44"/>
      <c r="H1339" s="44"/>
      <c r="I1339" s="45"/>
      <c r="J1339" s="45"/>
      <c r="K1339" s="45"/>
      <c r="L1339" s="45"/>
    </row>
    <row r="1340" spans="1:12" ht="17.100000000000001" customHeight="1">
      <c r="A1340" s="43"/>
      <c r="B1340" s="44"/>
      <c r="C1340" s="44"/>
      <c r="D1340" s="85"/>
      <c r="E1340" s="44"/>
      <c r="F1340" s="44"/>
      <c r="G1340" s="44"/>
      <c r="H1340" s="44"/>
      <c r="I1340" s="45"/>
      <c r="J1340" s="45"/>
      <c r="K1340" s="45"/>
      <c r="L1340" s="45"/>
    </row>
    <row r="1341" spans="1:12" ht="17.100000000000001" customHeight="1">
      <c r="A1341" s="43"/>
      <c r="B1341" s="44"/>
      <c r="C1341" s="44"/>
      <c r="D1341" s="85"/>
      <c r="E1341" s="44"/>
      <c r="F1341" s="44"/>
      <c r="G1341" s="44"/>
      <c r="H1341" s="44"/>
      <c r="I1341" s="45"/>
      <c r="J1341" s="45"/>
      <c r="K1341" s="45"/>
      <c r="L1341" s="45"/>
    </row>
    <row r="1342" spans="1:12" ht="17.100000000000001" customHeight="1">
      <c r="A1342" s="43"/>
      <c r="B1342" s="44"/>
      <c r="C1342" s="44"/>
      <c r="D1342" s="85"/>
      <c r="E1342" s="44"/>
      <c r="F1342" s="44"/>
      <c r="G1342" s="44"/>
      <c r="H1342" s="44"/>
      <c r="I1342" s="45"/>
      <c r="J1342" s="45"/>
      <c r="K1342" s="45"/>
      <c r="L1342" s="45"/>
    </row>
    <row r="1343" spans="1:12" ht="17.100000000000001" customHeight="1">
      <c r="A1343" s="43"/>
      <c r="B1343" s="44"/>
      <c r="C1343" s="44"/>
      <c r="D1343" s="85"/>
      <c r="E1343" s="44"/>
      <c r="F1343" s="44"/>
      <c r="G1343" s="44"/>
      <c r="H1343" s="44"/>
      <c r="I1343" s="45"/>
      <c r="J1343" s="45"/>
      <c r="K1343" s="45"/>
      <c r="L1343" s="45"/>
    </row>
    <row r="1344" spans="1:12" ht="17.100000000000001" customHeight="1">
      <c r="A1344" s="43"/>
      <c r="B1344" s="44"/>
      <c r="C1344" s="44"/>
      <c r="D1344" s="85"/>
      <c r="E1344" s="44"/>
      <c r="F1344" s="44"/>
      <c r="G1344" s="44"/>
      <c r="H1344" s="44"/>
      <c r="I1344" s="45"/>
      <c r="J1344" s="45"/>
      <c r="K1344" s="45"/>
      <c r="L1344" s="45"/>
    </row>
    <row r="1345" spans="1:12" ht="17.100000000000001" customHeight="1">
      <c r="A1345" s="43"/>
      <c r="B1345" s="44"/>
      <c r="C1345" s="44"/>
      <c r="D1345" s="85"/>
      <c r="E1345" s="44"/>
      <c r="F1345" s="44"/>
      <c r="G1345" s="44"/>
      <c r="H1345" s="44"/>
      <c r="I1345" s="45"/>
      <c r="J1345" s="45"/>
      <c r="K1345" s="45"/>
      <c r="L1345" s="45"/>
    </row>
    <row r="1346" spans="1:12" ht="17.100000000000001" customHeight="1">
      <c r="A1346" s="43"/>
      <c r="B1346" s="44"/>
      <c r="C1346" s="44"/>
      <c r="D1346" s="85"/>
      <c r="E1346" s="44"/>
      <c r="F1346" s="44"/>
      <c r="G1346" s="44"/>
      <c r="H1346" s="44"/>
      <c r="I1346" s="45"/>
      <c r="J1346" s="45"/>
      <c r="K1346" s="45"/>
      <c r="L1346" s="45"/>
    </row>
    <row r="1347" spans="1:12" ht="17.100000000000001" customHeight="1">
      <c r="A1347" s="43"/>
      <c r="B1347" s="44"/>
      <c r="C1347" s="44"/>
      <c r="D1347" s="85"/>
      <c r="E1347" s="44"/>
      <c r="F1347" s="44"/>
      <c r="G1347" s="44"/>
      <c r="H1347" s="44"/>
      <c r="I1347" s="45"/>
      <c r="J1347" s="45"/>
      <c r="K1347" s="45"/>
      <c r="L1347" s="45"/>
    </row>
    <row r="1348" spans="1:12" ht="17.100000000000001" customHeight="1">
      <c r="A1348" s="43"/>
      <c r="B1348" s="44"/>
      <c r="C1348" s="44"/>
      <c r="D1348" s="85"/>
      <c r="E1348" s="44"/>
      <c r="F1348" s="44"/>
      <c r="G1348" s="44"/>
      <c r="H1348" s="44"/>
      <c r="I1348" s="45"/>
      <c r="J1348" s="45"/>
      <c r="K1348" s="45"/>
      <c r="L1348" s="45"/>
    </row>
    <row r="1349" spans="1:12" ht="17.100000000000001" customHeight="1">
      <c r="A1349" s="43"/>
      <c r="B1349" s="44"/>
      <c r="C1349" s="44"/>
      <c r="D1349" s="85"/>
      <c r="E1349" s="44"/>
      <c r="F1349" s="44"/>
      <c r="G1349" s="44"/>
      <c r="H1349" s="44"/>
      <c r="I1349" s="45"/>
      <c r="J1349" s="45"/>
      <c r="K1349" s="45"/>
      <c r="L1349" s="45"/>
    </row>
    <row r="1350" spans="1:12" ht="17.100000000000001" customHeight="1">
      <c r="A1350" s="43"/>
      <c r="B1350" s="44"/>
      <c r="C1350" s="44"/>
      <c r="D1350" s="85"/>
      <c r="E1350" s="44"/>
      <c r="F1350" s="44"/>
      <c r="G1350" s="44"/>
      <c r="H1350" s="44"/>
      <c r="I1350" s="45"/>
      <c r="J1350" s="45"/>
      <c r="K1350" s="45"/>
      <c r="L1350" s="45"/>
    </row>
    <row r="1351" spans="1:12" ht="17.100000000000001" customHeight="1">
      <c r="A1351" s="43"/>
      <c r="B1351" s="44"/>
      <c r="C1351" s="44"/>
      <c r="D1351" s="85"/>
      <c r="E1351" s="44"/>
      <c r="F1351" s="44"/>
      <c r="G1351" s="44"/>
      <c r="H1351" s="44"/>
      <c r="I1351" s="45"/>
      <c r="J1351" s="45"/>
      <c r="K1351" s="45"/>
      <c r="L1351" s="45"/>
    </row>
    <row r="1352" spans="1:12" ht="17.100000000000001" customHeight="1">
      <c r="A1352" s="43"/>
      <c r="B1352" s="44"/>
      <c r="C1352" s="44"/>
      <c r="D1352" s="85"/>
      <c r="E1352" s="44"/>
      <c r="F1352" s="44"/>
      <c r="G1352" s="44"/>
      <c r="H1352" s="44"/>
      <c r="I1352" s="45"/>
      <c r="J1352" s="45"/>
      <c r="K1352" s="45"/>
      <c r="L1352" s="45"/>
    </row>
    <row r="1353" spans="1:12" ht="17.100000000000001" customHeight="1">
      <c r="A1353" s="43"/>
      <c r="B1353" s="44"/>
      <c r="C1353" s="44"/>
      <c r="D1353" s="85"/>
      <c r="E1353" s="44"/>
      <c r="F1353" s="44"/>
      <c r="G1353" s="44"/>
      <c r="H1353" s="44"/>
      <c r="I1353" s="45"/>
      <c r="J1353" s="45"/>
      <c r="K1353" s="45"/>
      <c r="L1353" s="45"/>
    </row>
    <row r="1354" spans="1:12" ht="17.100000000000001" customHeight="1">
      <c r="A1354" s="43"/>
      <c r="B1354" s="44"/>
      <c r="C1354" s="44"/>
      <c r="D1354" s="85"/>
      <c r="E1354" s="44"/>
      <c r="F1354" s="44"/>
      <c r="G1354" s="44"/>
      <c r="H1354" s="44"/>
      <c r="I1354" s="45"/>
      <c r="J1354" s="45"/>
      <c r="K1354" s="45"/>
      <c r="L1354" s="45"/>
    </row>
    <row r="1355" spans="1:12" ht="17.100000000000001" customHeight="1">
      <c r="A1355" s="43"/>
      <c r="B1355" s="44"/>
      <c r="C1355" s="44"/>
      <c r="D1355" s="85"/>
      <c r="E1355" s="44"/>
      <c r="F1355" s="44"/>
      <c r="G1355" s="44"/>
      <c r="H1355" s="44"/>
      <c r="I1355" s="45"/>
      <c r="J1355" s="45"/>
      <c r="K1355" s="45"/>
      <c r="L1355" s="45"/>
    </row>
    <row r="1356" spans="1:12" ht="17.100000000000001" customHeight="1">
      <c r="A1356" s="43"/>
      <c r="B1356" s="44"/>
      <c r="C1356" s="44"/>
      <c r="D1356" s="85"/>
      <c r="E1356" s="44"/>
      <c r="F1356" s="44"/>
      <c r="G1356" s="44"/>
      <c r="H1356" s="44"/>
      <c r="I1356" s="45"/>
      <c r="J1356" s="45"/>
      <c r="K1356" s="45"/>
      <c r="L1356" s="45"/>
    </row>
    <row r="1357" spans="1:12" ht="17.100000000000001" customHeight="1">
      <c r="A1357" s="43"/>
      <c r="B1357" s="44"/>
      <c r="C1357" s="44"/>
      <c r="D1357" s="85"/>
      <c r="E1357" s="44"/>
      <c r="F1357" s="44"/>
      <c r="G1357" s="44"/>
      <c r="H1357" s="44"/>
      <c r="I1357" s="45"/>
      <c r="J1357" s="45"/>
      <c r="K1357" s="45"/>
      <c r="L1357" s="45"/>
    </row>
    <row r="1358" spans="1:12" ht="17.100000000000001" customHeight="1">
      <c r="A1358" s="43"/>
      <c r="B1358" s="44"/>
      <c r="C1358" s="44"/>
      <c r="D1358" s="85"/>
      <c r="E1358" s="44"/>
      <c r="F1358" s="44"/>
      <c r="G1358" s="44"/>
      <c r="H1358" s="44"/>
      <c r="I1358" s="45"/>
      <c r="J1358" s="45"/>
      <c r="K1358" s="45"/>
      <c r="L1358" s="45"/>
    </row>
    <row r="1359" spans="1:12" ht="17.100000000000001" customHeight="1">
      <c r="A1359" s="43"/>
      <c r="B1359" s="44"/>
      <c r="C1359" s="44"/>
      <c r="D1359" s="85"/>
      <c r="E1359" s="44"/>
      <c r="F1359" s="44"/>
      <c r="G1359" s="44"/>
      <c r="H1359" s="44"/>
      <c r="I1359" s="45"/>
      <c r="J1359" s="45"/>
      <c r="K1359" s="45"/>
      <c r="L1359" s="45"/>
    </row>
    <row r="1360" spans="1:12" ht="17.100000000000001" customHeight="1">
      <c r="A1360" s="43"/>
      <c r="B1360" s="44"/>
      <c r="C1360" s="44"/>
      <c r="D1360" s="85"/>
      <c r="E1360" s="44"/>
      <c r="F1360" s="44"/>
      <c r="G1360" s="44"/>
      <c r="H1360" s="44"/>
      <c r="I1360" s="45"/>
      <c r="J1360" s="45"/>
      <c r="K1360" s="45"/>
      <c r="L1360" s="45"/>
    </row>
    <row r="1361" spans="1:12" ht="17.100000000000001" customHeight="1">
      <c r="A1361" s="43"/>
      <c r="B1361" s="44"/>
      <c r="C1361" s="44"/>
      <c r="D1361" s="85"/>
      <c r="E1361" s="44"/>
      <c r="F1361" s="44"/>
      <c r="G1361" s="44"/>
      <c r="H1361" s="44"/>
      <c r="I1361" s="45"/>
      <c r="J1361" s="45"/>
      <c r="K1361" s="45"/>
      <c r="L1361" s="45"/>
    </row>
    <row r="1362" spans="1:12" ht="17.100000000000001" customHeight="1">
      <c r="A1362" s="43"/>
      <c r="B1362" s="44"/>
      <c r="C1362" s="44"/>
      <c r="D1362" s="85"/>
      <c r="E1362" s="44"/>
      <c r="F1362" s="44"/>
      <c r="G1362" s="44"/>
      <c r="H1362" s="44"/>
      <c r="I1362" s="45"/>
      <c r="J1362" s="45"/>
      <c r="K1362" s="45"/>
      <c r="L1362" s="45"/>
    </row>
    <row r="1363" spans="1:12" ht="17.100000000000001" customHeight="1">
      <c r="A1363" s="43"/>
      <c r="B1363" s="44"/>
      <c r="C1363" s="44"/>
      <c r="D1363" s="85"/>
      <c r="E1363" s="44"/>
      <c r="F1363" s="44"/>
      <c r="G1363" s="44"/>
      <c r="H1363" s="44"/>
      <c r="I1363" s="45"/>
      <c r="J1363" s="45"/>
      <c r="K1363" s="45"/>
      <c r="L1363" s="45"/>
    </row>
    <row r="1364" spans="1:12" ht="17.100000000000001" customHeight="1">
      <c r="A1364" s="43"/>
      <c r="B1364" s="44"/>
      <c r="C1364" s="44"/>
      <c r="D1364" s="85"/>
      <c r="E1364" s="44"/>
      <c r="F1364" s="44"/>
      <c r="G1364" s="44"/>
      <c r="H1364" s="44"/>
      <c r="I1364" s="45"/>
      <c r="J1364" s="45"/>
      <c r="K1364" s="45"/>
      <c r="L1364" s="45"/>
    </row>
    <row r="1365" spans="1:12" ht="17.100000000000001" customHeight="1">
      <c r="A1365" s="43"/>
      <c r="B1365" s="44"/>
      <c r="C1365" s="44"/>
      <c r="D1365" s="85"/>
      <c r="E1365" s="44"/>
      <c r="F1365" s="44"/>
      <c r="G1365" s="44"/>
      <c r="H1365" s="44"/>
      <c r="I1365" s="45"/>
      <c r="J1365" s="45"/>
      <c r="K1365" s="45"/>
      <c r="L1365" s="45"/>
    </row>
    <row r="1366" spans="1:12" ht="17.100000000000001" customHeight="1">
      <c r="A1366" s="43"/>
      <c r="B1366" s="44"/>
      <c r="C1366" s="44"/>
      <c r="D1366" s="85"/>
      <c r="E1366" s="44"/>
      <c r="F1366" s="44"/>
      <c r="G1366" s="44"/>
      <c r="H1366" s="44"/>
      <c r="I1366" s="45"/>
      <c r="J1366" s="45"/>
      <c r="K1366" s="45"/>
      <c r="L1366" s="45"/>
    </row>
    <row r="1367" spans="1:12" ht="17.100000000000001" customHeight="1">
      <c r="A1367" s="43"/>
      <c r="B1367" s="44"/>
      <c r="C1367" s="44"/>
      <c r="D1367" s="85"/>
      <c r="E1367" s="44"/>
      <c r="F1367" s="44"/>
      <c r="G1367" s="44"/>
      <c r="H1367" s="44"/>
      <c r="I1367" s="45"/>
      <c r="J1367" s="45"/>
      <c r="K1367" s="45"/>
      <c r="L1367" s="45"/>
    </row>
    <row r="1368" spans="1:12" ht="17.100000000000001" customHeight="1">
      <c r="A1368" s="43"/>
      <c r="B1368" s="44"/>
      <c r="C1368" s="44"/>
      <c r="D1368" s="85"/>
      <c r="E1368" s="44"/>
      <c r="F1368" s="44"/>
      <c r="G1368" s="44"/>
      <c r="H1368" s="44"/>
      <c r="I1368" s="45"/>
      <c r="J1368" s="45"/>
      <c r="K1368" s="45"/>
      <c r="L1368" s="45"/>
    </row>
    <row r="1369" spans="1:12" ht="17.100000000000001" customHeight="1">
      <c r="A1369" s="43"/>
      <c r="B1369" s="44"/>
      <c r="C1369" s="44"/>
      <c r="D1369" s="85"/>
      <c r="E1369" s="44"/>
      <c r="F1369" s="44"/>
      <c r="G1369" s="44"/>
      <c r="H1369" s="44"/>
      <c r="I1369" s="45"/>
      <c r="J1369" s="45"/>
      <c r="K1369" s="45"/>
      <c r="L1369" s="45"/>
    </row>
    <row r="1370" spans="1:12" ht="17.100000000000001" customHeight="1">
      <c r="A1370" s="43"/>
      <c r="B1370" s="44"/>
      <c r="C1370" s="44"/>
      <c r="D1370" s="85"/>
      <c r="E1370" s="44"/>
      <c r="F1370" s="44"/>
      <c r="G1370" s="44"/>
      <c r="H1370" s="44"/>
      <c r="I1370" s="45"/>
      <c r="J1370" s="45"/>
      <c r="K1370" s="45"/>
      <c r="L1370" s="45"/>
    </row>
    <row r="1371" spans="1:12" ht="17.100000000000001" customHeight="1">
      <c r="A1371" s="43"/>
      <c r="B1371" s="44"/>
      <c r="C1371" s="44"/>
      <c r="D1371" s="85"/>
      <c r="E1371" s="44"/>
      <c r="F1371" s="44"/>
      <c r="G1371" s="44"/>
      <c r="H1371" s="44"/>
      <c r="I1371" s="45"/>
      <c r="J1371" s="45"/>
      <c r="K1371" s="45"/>
      <c r="L1371" s="45"/>
    </row>
    <row r="1372" spans="1:12" ht="17.100000000000001" customHeight="1">
      <c r="A1372" s="43"/>
      <c r="B1372" s="44"/>
      <c r="C1372" s="44"/>
      <c r="D1372" s="85"/>
      <c r="E1372" s="44"/>
      <c r="F1372" s="44"/>
      <c r="G1372" s="44"/>
      <c r="H1372" s="44"/>
      <c r="I1372" s="45"/>
      <c r="J1372" s="45"/>
      <c r="K1372" s="45"/>
      <c r="L1372" s="45"/>
    </row>
    <row r="1373" spans="1:12" ht="17.100000000000001" customHeight="1">
      <c r="A1373" s="43"/>
      <c r="B1373" s="44"/>
      <c r="C1373" s="44"/>
      <c r="D1373" s="85"/>
      <c r="E1373" s="44"/>
      <c r="F1373" s="44"/>
      <c r="G1373" s="44"/>
      <c r="H1373" s="44"/>
      <c r="I1373" s="45"/>
      <c r="J1373" s="45"/>
      <c r="K1373" s="45"/>
      <c r="L1373" s="45"/>
    </row>
    <row r="1374" spans="1:12" ht="17.100000000000001" customHeight="1">
      <c r="A1374" s="43"/>
      <c r="B1374" s="44"/>
      <c r="C1374" s="44"/>
      <c r="D1374" s="85"/>
      <c r="E1374" s="44"/>
      <c r="F1374" s="44"/>
      <c r="G1374" s="44"/>
      <c r="H1374" s="44"/>
      <c r="I1374" s="45"/>
      <c r="J1374" s="45"/>
      <c r="K1374" s="45"/>
      <c r="L1374" s="45"/>
    </row>
    <row r="1375" spans="1:12" ht="17.100000000000001" customHeight="1">
      <c r="A1375" s="43"/>
      <c r="B1375" s="44"/>
      <c r="C1375" s="44"/>
      <c r="D1375" s="85"/>
      <c r="E1375" s="44"/>
      <c r="F1375" s="44"/>
      <c r="G1375" s="44"/>
      <c r="H1375" s="44"/>
      <c r="I1375" s="45"/>
      <c r="J1375" s="45"/>
      <c r="K1375" s="45"/>
      <c r="L1375" s="45"/>
    </row>
    <row r="1376" spans="1:12" ht="17.100000000000001" customHeight="1">
      <c r="A1376" s="43"/>
      <c r="B1376" s="44"/>
      <c r="C1376" s="44"/>
      <c r="D1376" s="85"/>
      <c r="E1376" s="44"/>
      <c r="F1376" s="44"/>
      <c r="G1376" s="44"/>
      <c r="H1376" s="44"/>
      <c r="I1376" s="45"/>
      <c r="J1376" s="45"/>
      <c r="K1376" s="45"/>
      <c r="L1376" s="45"/>
    </row>
    <row r="1377" spans="1:12" ht="17.100000000000001" customHeight="1">
      <c r="A1377" s="43"/>
      <c r="B1377" s="44"/>
      <c r="C1377" s="44"/>
      <c r="D1377" s="85"/>
      <c r="E1377" s="44"/>
      <c r="F1377" s="44"/>
      <c r="G1377" s="44"/>
      <c r="H1377" s="44"/>
      <c r="I1377" s="45"/>
      <c r="J1377" s="45"/>
      <c r="K1377" s="45"/>
      <c r="L1377" s="45"/>
    </row>
    <row r="1378" spans="1:12" ht="17.100000000000001" customHeight="1">
      <c r="A1378" s="43"/>
      <c r="B1378" s="44"/>
      <c r="C1378" s="44"/>
      <c r="D1378" s="85"/>
      <c r="E1378" s="44"/>
      <c r="F1378" s="44"/>
      <c r="G1378" s="44"/>
      <c r="H1378" s="44"/>
      <c r="I1378" s="45"/>
      <c r="J1378" s="45"/>
      <c r="K1378" s="45"/>
      <c r="L1378" s="45"/>
    </row>
    <row r="1379" spans="1:12" ht="17.100000000000001" customHeight="1">
      <c r="A1379" s="43"/>
      <c r="B1379" s="44"/>
      <c r="C1379" s="44"/>
      <c r="D1379" s="85"/>
      <c r="E1379" s="44"/>
      <c r="F1379" s="44"/>
      <c r="G1379" s="44"/>
      <c r="H1379" s="44"/>
      <c r="I1379" s="45"/>
      <c r="J1379" s="45"/>
      <c r="K1379" s="45"/>
      <c r="L1379" s="45"/>
    </row>
    <row r="1380" spans="1:12" ht="17.100000000000001" customHeight="1">
      <c r="A1380" s="43"/>
      <c r="B1380" s="44"/>
      <c r="C1380" s="44"/>
      <c r="D1380" s="85"/>
      <c r="E1380" s="44"/>
      <c r="F1380" s="44"/>
      <c r="G1380" s="44"/>
      <c r="H1380" s="44"/>
      <c r="I1380" s="45"/>
      <c r="J1380" s="45"/>
      <c r="K1380" s="45"/>
      <c r="L1380" s="45"/>
    </row>
    <row r="1381" spans="1:12" ht="17.100000000000001" customHeight="1">
      <c r="A1381" s="43"/>
      <c r="B1381" s="44"/>
      <c r="C1381" s="44"/>
      <c r="D1381" s="85"/>
      <c r="E1381" s="44"/>
      <c r="F1381" s="44"/>
      <c r="G1381" s="44"/>
      <c r="H1381" s="44"/>
      <c r="I1381" s="45"/>
      <c r="J1381" s="45"/>
      <c r="K1381" s="45"/>
      <c r="L1381" s="45"/>
    </row>
    <row r="1382" spans="1:12" ht="17.100000000000001" customHeight="1">
      <c r="A1382" s="43"/>
      <c r="B1382" s="44"/>
      <c r="C1382" s="44"/>
      <c r="D1382" s="85"/>
      <c r="E1382" s="44"/>
      <c r="F1382" s="44"/>
      <c r="G1382" s="44"/>
      <c r="H1382" s="44"/>
      <c r="I1382" s="45"/>
      <c r="J1382" s="45"/>
      <c r="K1382" s="45"/>
      <c r="L1382" s="45"/>
    </row>
    <row r="1383" spans="1:12" ht="17.100000000000001" customHeight="1">
      <c r="A1383" s="43"/>
      <c r="B1383" s="44"/>
      <c r="C1383" s="44"/>
      <c r="D1383" s="85"/>
      <c r="E1383" s="44"/>
      <c r="F1383" s="44"/>
      <c r="G1383" s="44"/>
      <c r="H1383" s="44"/>
      <c r="I1383" s="45"/>
      <c r="J1383" s="45"/>
      <c r="K1383" s="45"/>
      <c r="L1383" s="45"/>
    </row>
    <row r="1384" spans="1:12" ht="17.100000000000001" customHeight="1">
      <c r="A1384" s="43"/>
      <c r="B1384" s="44"/>
      <c r="C1384" s="44"/>
      <c r="D1384" s="85"/>
      <c r="E1384" s="44"/>
      <c r="F1384" s="44"/>
      <c r="G1384" s="44"/>
      <c r="H1384" s="44"/>
      <c r="I1384" s="45"/>
      <c r="J1384" s="45"/>
      <c r="K1384" s="45"/>
      <c r="L1384" s="45"/>
    </row>
    <row r="1385" spans="1:12" ht="17.100000000000001" customHeight="1">
      <c r="A1385" s="43"/>
      <c r="B1385" s="44"/>
      <c r="C1385" s="44"/>
      <c r="D1385" s="85"/>
      <c r="E1385" s="44"/>
      <c r="F1385" s="44"/>
      <c r="G1385" s="44"/>
      <c r="H1385" s="44"/>
      <c r="I1385" s="45"/>
      <c r="J1385" s="45"/>
      <c r="K1385" s="45"/>
      <c r="L1385" s="45"/>
    </row>
    <row r="1386" spans="1:12" ht="17.100000000000001" customHeight="1">
      <c r="A1386" s="43"/>
      <c r="B1386" s="44"/>
      <c r="C1386" s="44"/>
      <c r="D1386" s="85"/>
      <c r="E1386" s="44"/>
      <c r="F1386" s="44"/>
      <c r="G1386" s="44"/>
      <c r="H1386" s="44"/>
      <c r="I1386" s="45"/>
      <c r="J1386" s="45"/>
      <c r="K1386" s="45"/>
      <c r="L1386" s="45"/>
    </row>
    <row r="1387" spans="1:12" ht="17.100000000000001" customHeight="1">
      <c r="A1387" s="43"/>
      <c r="B1387" s="44"/>
      <c r="C1387" s="44"/>
      <c r="D1387" s="85"/>
      <c r="E1387" s="44"/>
      <c r="F1387" s="44"/>
      <c r="G1387" s="44"/>
      <c r="H1387" s="44"/>
      <c r="I1387" s="45"/>
      <c r="J1387" s="45"/>
      <c r="K1387" s="45"/>
      <c r="L1387" s="45"/>
    </row>
    <row r="1388" spans="1:12" ht="17.100000000000001" customHeight="1">
      <c r="A1388" s="43"/>
      <c r="B1388" s="44"/>
      <c r="C1388" s="44"/>
      <c r="D1388" s="85"/>
      <c r="E1388" s="44"/>
      <c r="F1388" s="44"/>
      <c r="G1388" s="44"/>
      <c r="H1388" s="44"/>
      <c r="I1388" s="45"/>
      <c r="J1388" s="45"/>
      <c r="K1388" s="45"/>
      <c r="L1388" s="45"/>
    </row>
    <row r="1389" spans="1:12" ht="17.100000000000001" customHeight="1">
      <c r="A1389" s="43"/>
      <c r="B1389" s="44"/>
      <c r="C1389" s="44"/>
      <c r="D1389" s="85"/>
      <c r="E1389" s="44"/>
      <c r="F1389" s="44"/>
      <c r="G1389" s="44"/>
      <c r="H1389" s="44"/>
      <c r="I1389" s="45"/>
      <c r="J1389" s="45"/>
      <c r="K1389" s="45"/>
      <c r="L1389" s="45"/>
    </row>
    <row r="1390" spans="1:12" ht="17.100000000000001" customHeight="1">
      <c r="A1390" s="43"/>
      <c r="B1390" s="44"/>
      <c r="C1390" s="44"/>
      <c r="D1390" s="85"/>
      <c r="E1390" s="44"/>
      <c r="F1390" s="44"/>
      <c r="G1390" s="44"/>
      <c r="H1390" s="44"/>
      <c r="I1390" s="45"/>
      <c r="J1390" s="45"/>
      <c r="K1390" s="45"/>
      <c r="L1390" s="45"/>
    </row>
    <row r="1391" spans="1:12" ht="17.100000000000001" customHeight="1">
      <c r="A1391" s="43"/>
      <c r="B1391" s="44"/>
      <c r="C1391" s="44"/>
      <c r="D1391" s="85"/>
      <c r="E1391" s="44"/>
      <c r="F1391" s="44"/>
      <c r="G1391" s="44"/>
      <c r="H1391" s="44"/>
      <c r="I1391" s="45"/>
      <c r="J1391" s="45"/>
      <c r="K1391" s="45"/>
      <c r="L1391" s="45"/>
    </row>
    <row r="1392" spans="1:12" ht="17.100000000000001" customHeight="1">
      <c r="A1392" s="43"/>
      <c r="B1392" s="44"/>
      <c r="C1392" s="44"/>
      <c r="D1392" s="85"/>
      <c r="E1392" s="44"/>
      <c r="F1392" s="44"/>
      <c r="G1392" s="44"/>
      <c r="H1392" s="44"/>
      <c r="I1392" s="45"/>
      <c r="J1392" s="45"/>
      <c r="K1392" s="45"/>
      <c r="L1392" s="45"/>
    </row>
    <row r="1393" spans="1:12" ht="17.100000000000001" customHeight="1">
      <c r="A1393" s="43"/>
      <c r="B1393" s="44"/>
      <c r="C1393" s="44"/>
      <c r="D1393" s="85"/>
      <c r="E1393" s="44"/>
      <c r="F1393" s="44"/>
      <c r="G1393" s="44"/>
      <c r="H1393" s="44"/>
      <c r="I1393" s="45"/>
      <c r="J1393" s="45"/>
      <c r="K1393" s="45"/>
      <c r="L1393" s="45"/>
    </row>
    <row r="1394" spans="1:12" ht="17.100000000000001" customHeight="1">
      <c r="A1394" s="43"/>
      <c r="B1394" s="44"/>
      <c r="C1394" s="44"/>
      <c r="D1394" s="85"/>
      <c r="E1394" s="44"/>
      <c r="F1394" s="44"/>
      <c r="G1394" s="44"/>
      <c r="H1394" s="44"/>
      <c r="I1394" s="45"/>
      <c r="J1394" s="45"/>
      <c r="K1394" s="45"/>
      <c r="L1394" s="45"/>
    </row>
    <row r="1395" spans="1:12" ht="17.100000000000001" customHeight="1">
      <c r="A1395" s="43"/>
      <c r="B1395" s="44"/>
      <c r="C1395" s="44"/>
      <c r="D1395" s="85"/>
      <c r="E1395" s="44"/>
      <c r="F1395" s="44"/>
      <c r="G1395" s="44"/>
      <c r="H1395" s="44"/>
      <c r="I1395" s="45"/>
      <c r="J1395" s="45"/>
      <c r="K1395" s="45"/>
      <c r="L1395" s="45"/>
    </row>
    <row r="1396" spans="1:12" ht="17.100000000000001" customHeight="1">
      <c r="A1396" s="43"/>
      <c r="B1396" s="44"/>
      <c r="C1396" s="44"/>
      <c r="D1396" s="85"/>
      <c r="E1396" s="44"/>
      <c r="F1396" s="44"/>
      <c r="G1396" s="44"/>
      <c r="H1396" s="44"/>
      <c r="I1396" s="45"/>
      <c r="J1396" s="45"/>
      <c r="K1396" s="45"/>
      <c r="L1396" s="45"/>
    </row>
    <row r="1397" spans="1:12" ht="17.100000000000001" customHeight="1">
      <c r="A1397" s="43"/>
      <c r="B1397" s="44"/>
      <c r="C1397" s="44"/>
      <c r="D1397" s="85"/>
      <c r="E1397" s="44"/>
      <c r="F1397" s="44"/>
      <c r="G1397" s="44"/>
      <c r="H1397" s="44"/>
      <c r="I1397" s="45"/>
      <c r="J1397" s="45"/>
      <c r="K1397" s="45"/>
      <c r="L1397" s="45"/>
    </row>
    <row r="1398" spans="1:12" ht="17.100000000000001" customHeight="1">
      <c r="A1398" s="43"/>
      <c r="B1398" s="44"/>
      <c r="C1398" s="44"/>
      <c r="D1398" s="85"/>
      <c r="E1398" s="44"/>
      <c r="F1398" s="44"/>
      <c r="G1398" s="44"/>
      <c r="H1398" s="44"/>
      <c r="I1398" s="45"/>
      <c r="J1398" s="45"/>
      <c r="K1398" s="45"/>
      <c r="L1398" s="45"/>
    </row>
    <row r="1399" spans="1:12" ht="17.100000000000001" customHeight="1">
      <c r="A1399" s="43"/>
      <c r="B1399" s="44"/>
      <c r="C1399" s="44"/>
      <c r="D1399" s="85"/>
      <c r="E1399" s="44"/>
      <c r="F1399" s="44"/>
      <c r="G1399" s="44"/>
      <c r="H1399" s="44"/>
      <c r="I1399" s="45"/>
      <c r="J1399" s="45"/>
      <c r="K1399" s="45"/>
      <c r="L1399" s="45"/>
    </row>
    <row r="1400" spans="1:12" ht="17.100000000000001" customHeight="1">
      <c r="A1400" s="43"/>
      <c r="B1400" s="44"/>
      <c r="C1400" s="44"/>
      <c r="D1400" s="85"/>
      <c r="E1400" s="44"/>
      <c r="F1400" s="44"/>
      <c r="G1400" s="44"/>
      <c r="H1400" s="44"/>
      <c r="I1400" s="45"/>
      <c r="J1400" s="45"/>
      <c r="K1400" s="45"/>
      <c r="L1400" s="45"/>
    </row>
    <row r="1401" spans="1:12" ht="17.100000000000001" customHeight="1">
      <c r="A1401" s="43"/>
      <c r="B1401" s="44"/>
      <c r="C1401" s="44"/>
      <c r="D1401" s="85"/>
      <c r="E1401" s="44"/>
      <c r="F1401" s="44"/>
      <c r="G1401" s="44"/>
      <c r="H1401" s="44"/>
      <c r="I1401" s="45"/>
      <c r="J1401" s="45"/>
      <c r="K1401" s="45"/>
      <c r="L1401" s="45"/>
    </row>
    <row r="1402" spans="1:12" ht="17.100000000000001" customHeight="1">
      <c r="A1402" s="43"/>
      <c r="B1402" s="44"/>
      <c r="C1402" s="44"/>
      <c r="D1402" s="85"/>
      <c r="E1402" s="44"/>
      <c r="F1402" s="44"/>
      <c r="G1402" s="44"/>
      <c r="H1402" s="44"/>
      <c r="I1402" s="45"/>
      <c r="J1402" s="45"/>
      <c r="K1402" s="45"/>
      <c r="L1402" s="45"/>
    </row>
    <row r="1403" spans="1:12" ht="17.100000000000001" customHeight="1">
      <c r="A1403" s="43"/>
      <c r="B1403" s="44"/>
      <c r="C1403" s="44"/>
      <c r="D1403" s="85"/>
      <c r="E1403" s="44"/>
      <c r="F1403" s="44"/>
      <c r="G1403" s="44"/>
      <c r="H1403" s="44"/>
      <c r="I1403" s="45"/>
      <c r="J1403" s="45"/>
      <c r="K1403" s="45"/>
      <c r="L1403" s="45"/>
    </row>
    <row r="1404" spans="1:12" ht="17.100000000000001" customHeight="1">
      <c r="A1404" s="43"/>
      <c r="B1404" s="44"/>
      <c r="C1404" s="44"/>
      <c r="D1404" s="85"/>
      <c r="E1404" s="44"/>
      <c r="F1404" s="44"/>
      <c r="G1404" s="44"/>
      <c r="H1404" s="44"/>
      <c r="I1404" s="45"/>
      <c r="J1404" s="45"/>
      <c r="K1404" s="45"/>
      <c r="L1404" s="45"/>
    </row>
    <row r="1405" spans="1:12" ht="17.100000000000001" customHeight="1">
      <c r="A1405" s="43"/>
      <c r="B1405" s="44"/>
      <c r="C1405" s="44"/>
      <c r="D1405" s="85"/>
      <c r="E1405" s="44"/>
      <c r="F1405" s="44"/>
      <c r="G1405" s="44"/>
      <c r="H1405" s="44"/>
      <c r="I1405" s="45"/>
      <c r="J1405" s="45"/>
      <c r="K1405" s="45"/>
      <c r="L1405" s="45"/>
    </row>
    <row r="1406" spans="1:12" ht="17.100000000000001" customHeight="1">
      <c r="A1406" s="43"/>
      <c r="B1406" s="44"/>
      <c r="C1406" s="44"/>
      <c r="D1406" s="85"/>
      <c r="E1406" s="44"/>
      <c r="F1406" s="44"/>
      <c r="G1406" s="44"/>
      <c r="H1406" s="44"/>
      <c r="I1406" s="45"/>
      <c r="J1406" s="45"/>
      <c r="K1406" s="45"/>
      <c r="L1406" s="45"/>
    </row>
    <row r="1407" spans="1:12" ht="17.100000000000001" customHeight="1">
      <c r="A1407" s="43"/>
      <c r="B1407" s="44"/>
      <c r="C1407" s="44"/>
      <c r="D1407" s="85"/>
      <c r="E1407" s="44"/>
      <c r="F1407" s="44"/>
      <c r="G1407" s="44"/>
      <c r="H1407" s="44"/>
      <c r="I1407" s="45"/>
      <c r="J1407" s="45"/>
      <c r="K1407" s="45"/>
      <c r="L1407" s="45"/>
    </row>
    <row r="1408" spans="1:12" ht="17.100000000000001" customHeight="1">
      <c r="A1408" s="43"/>
      <c r="B1408" s="44"/>
      <c r="C1408" s="44"/>
      <c r="D1408" s="85"/>
      <c r="E1408" s="44"/>
      <c r="F1408" s="44"/>
      <c r="G1408" s="44"/>
      <c r="H1408" s="44"/>
      <c r="I1408" s="45"/>
      <c r="J1408" s="45"/>
      <c r="K1408" s="45"/>
      <c r="L1408" s="45"/>
    </row>
    <row r="1409" spans="1:12" ht="17.100000000000001" customHeight="1">
      <c r="A1409" s="43"/>
      <c r="B1409" s="44"/>
      <c r="C1409" s="44"/>
      <c r="D1409" s="85"/>
      <c r="E1409" s="44"/>
      <c r="F1409" s="44"/>
      <c r="G1409" s="44"/>
      <c r="H1409" s="44"/>
      <c r="I1409" s="45"/>
      <c r="J1409" s="45"/>
      <c r="K1409" s="45"/>
      <c r="L1409" s="45"/>
    </row>
    <row r="1410" spans="1:12" ht="17.100000000000001" customHeight="1">
      <c r="A1410" s="43"/>
      <c r="B1410" s="44"/>
      <c r="C1410" s="44"/>
      <c r="D1410" s="85"/>
      <c r="E1410" s="44"/>
      <c r="F1410" s="44"/>
      <c r="G1410" s="44"/>
      <c r="H1410" s="44"/>
      <c r="I1410" s="45"/>
      <c r="J1410" s="45"/>
      <c r="K1410" s="45"/>
      <c r="L1410" s="45"/>
    </row>
    <row r="1411" spans="1:12" ht="17.100000000000001" customHeight="1">
      <c r="A1411" s="43"/>
      <c r="B1411" s="44"/>
      <c r="C1411" s="44"/>
      <c r="D1411" s="85"/>
      <c r="E1411" s="44"/>
      <c r="F1411" s="44"/>
      <c r="G1411" s="44"/>
      <c r="H1411" s="44"/>
      <c r="I1411" s="45"/>
      <c r="J1411" s="45"/>
      <c r="K1411" s="45"/>
      <c r="L1411" s="45"/>
    </row>
    <row r="1412" spans="1:12" ht="17.100000000000001" customHeight="1">
      <c r="A1412" s="43"/>
      <c r="B1412" s="44"/>
      <c r="C1412" s="44"/>
      <c r="D1412" s="85"/>
      <c r="E1412" s="44"/>
      <c r="F1412" s="44"/>
      <c r="G1412" s="44"/>
      <c r="H1412" s="44"/>
      <c r="I1412" s="45"/>
      <c r="J1412" s="45"/>
      <c r="K1412" s="45"/>
      <c r="L1412" s="45"/>
    </row>
    <row r="1413" spans="1:12" ht="17.100000000000001" customHeight="1">
      <c r="A1413" s="43"/>
      <c r="B1413" s="44"/>
      <c r="C1413" s="44"/>
      <c r="D1413" s="85"/>
      <c r="E1413" s="44"/>
      <c r="F1413" s="44"/>
      <c r="G1413" s="44"/>
      <c r="H1413" s="44"/>
      <c r="I1413" s="45"/>
      <c r="J1413" s="45"/>
      <c r="K1413" s="45"/>
      <c r="L1413" s="45"/>
    </row>
    <row r="1414" spans="1:12" ht="17.100000000000001" customHeight="1">
      <c r="A1414" s="43"/>
      <c r="B1414" s="44"/>
      <c r="C1414" s="44"/>
      <c r="D1414" s="85"/>
      <c r="E1414" s="44"/>
      <c r="F1414" s="44"/>
      <c r="G1414" s="44"/>
      <c r="H1414" s="44"/>
      <c r="I1414" s="45"/>
      <c r="J1414" s="45"/>
      <c r="K1414" s="45"/>
      <c r="L1414" s="45"/>
    </row>
    <row r="1415" spans="1:12" ht="17.100000000000001" customHeight="1">
      <c r="A1415" s="43"/>
      <c r="B1415" s="44"/>
      <c r="C1415" s="44"/>
      <c r="D1415" s="85"/>
      <c r="E1415" s="44"/>
      <c r="F1415" s="44"/>
      <c r="G1415" s="44"/>
      <c r="H1415" s="44"/>
      <c r="I1415" s="45"/>
      <c r="J1415" s="45"/>
      <c r="K1415" s="45"/>
      <c r="L1415" s="45"/>
    </row>
    <row r="1416" spans="1:12" ht="17.100000000000001" customHeight="1">
      <c r="A1416" s="43"/>
      <c r="B1416" s="44"/>
      <c r="C1416" s="44"/>
      <c r="D1416" s="85"/>
      <c r="E1416" s="44"/>
      <c r="F1416" s="44"/>
      <c r="G1416" s="44"/>
      <c r="H1416" s="44"/>
      <c r="I1416" s="45"/>
      <c r="J1416" s="45"/>
      <c r="K1416" s="45"/>
      <c r="L1416" s="45"/>
    </row>
    <row r="1417" spans="1:12" ht="17.100000000000001" customHeight="1">
      <c r="A1417" s="43"/>
      <c r="B1417" s="44"/>
      <c r="C1417" s="44"/>
      <c r="D1417" s="85"/>
      <c r="E1417" s="44"/>
      <c r="F1417" s="44"/>
      <c r="G1417" s="44"/>
      <c r="H1417" s="44"/>
      <c r="I1417" s="45"/>
      <c r="J1417" s="45"/>
      <c r="K1417" s="45"/>
      <c r="L1417" s="45"/>
    </row>
    <row r="1418" spans="1:12" ht="17.100000000000001" customHeight="1">
      <c r="A1418" s="43"/>
      <c r="B1418" s="44"/>
      <c r="C1418" s="44"/>
      <c r="D1418" s="85"/>
      <c r="E1418" s="44"/>
      <c r="F1418" s="44"/>
      <c r="G1418" s="44"/>
      <c r="H1418" s="44"/>
      <c r="I1418" s="45"/>
      <c r="J1418" s="45"/>
      <c r="K1418" s="45"/>
      <c r="L1418" s="45"/>
    </row>
    <row r="1419" spans="1:12" ht="17.100000000000001" customHeight="1">
      <c r="A1419" s="43"/>
      <c r="B1419" s="44"/>
      <c r="C1419" s="44"/>
      <c r="D1419" s="85"/>
      <c r="E1419" s="44"/>
      <c r="F1419" s="44"/>
      <c r="G1419" s="44"/>
      <c r="H1419" s="44"/>
      <c r="I1419" s="45"/>
      <c r="J1419" s="45"/>
      <c r="K1419" s="45"/>
      <c r="L1419" s="45"/>
    </row>
    <row r="1420" spans="1:12" ht="17.100000000000001" customHeight="1">
      <c r="A1420" s="43"/>
      <c r="B1420" s="44"/>
      <c r="C1420" s="44"/>
      <c r="D1420" s="85"/>
      <c r="E1420" s="44"/>
      <c r="F1420" s="44"/>
      <c r="G1420" s="44"/>
      <c r="H1420" s="44"/>
      <c r="I1420" s="45"/>
      <c r="J1420" s="45"/>
      <c r="K1420" s="45"/>
      <c r="L1420" s="45"/>
    </row>
    <row r="1421" spans="1:12" ht="17.100000000000001" customHeight="1">
      <c r="A1421" s="43"/>
      <c r="B1421" s="44"/>
      <c r="C1421" s="44"/>
      <c r="D1421" s="85"/>
      <c r="E1421" s="44"/>
      <c r="F1421" s="44"/>
      <c r="G1421" s="44"/>
      <c r="H1421" s="44"/>
      <c r="I1421" s="45"/>
      <c r="J1421" s="45"/>
      <c r="K1421" s="45"/>
      <c r="L1421" s="45"/>
    </row>
    <row r="1422" spans="1:12" ht="17.100000000000001" customHeight="1">
      <c r="A1422" s="43"/>
      <c r="B1422" s="44"/>
      <c r="C1422" s="44"/>
      <c r="D1422" s="85"/>
      <c r="E1422" s="44"/>
      <c r="F1422" s="44"/>
      <c r="G1422" s="44"/>
      <c r="H1422" s="44"/>
      <c r="I1422" s="45"/>
      <c r="J1422" s="45"/>
      <c r="K1422" s="45"/>
      <c r="L1422" s="45"/>
    </row>
    <row r="1423" spans="1:12" ht="17.100000000000001" customHeight="1">
      <c r="A1423" s="43"/>
      <c r="B1423" s="44"/>
      <c r="C1423" s="44"/>
      <c r="D1423" s="85"/>
      <c r="E1423" s="44"/>
      <c r="F1423" s="44"/>
      <c r="G1423" s="44"/>
      <c r="H1423" s="44"/>
      <c r="I1423" s="45"/>
      <c r="J1423" s="45"/>
      <c r="K1423" s="45"/>
      <c r="L1423" s="45"/>
    </row>
    <row r="1424" spans="1:12" ht="17.100000000000001" customHeight="1">
      <c r="A1424" s="43"/>
      <c r="B1424" s="44"/>
      <c r="C1424" s="44"/>
      <c r="D1424" s="85"/>
      <c r="E1424" s="44"/>
      <c r="F1424" s="44"/>
      <c r="G1424" s="44"/>
      <c r="H1424" s="44"/>
      <c r="I1424" s="45"/>
      <c r="J1424" s="45"/>
      <c r="K1424" s="45"/>
      <c r="L1424" s="45"/>
    </row>
    <row r="1425" spans="1:12" ht="17.100000000000001" customHeight="1">
      <c r="A1425" s="43"/>
      <c r="B1425" s="44"/>
      <c r="C1425" s="44"/>
      <c r="D1425" s="85"/>
      <c r="E1425" s="44"/>
      <c r="F1425" s="44"/>
      <c r="G1425" s="44"/>
      <c r="H1425" s="44"/>
      <c r="I1425" s="45"/>
      <c r="J1425" s="45"/>
      <c r="K1425" s="45"/>
      <c r="L1425" s="45"/>
    </row>
    <row r="1426" spans="1:12" ht="17.100000000000001" customHeight="1">
      <c r="A1426" s="43"/>
      <c r="B1426" s="44"/>
      <c r="C1426" s="44"/>
      <c r="D1426" s="85"/>
      <c r="E1426" s="44"/>
      <c r="F1426" s="44"/>
      <c r="G1426" s="44"/>
      <c r="H1426" s="44"/>
      <c r="I1426" s="45"/>
      <c r="J1426" s="45"/>
      <c r="K1426" s="45"/>
      <c r="L1426" s="45"/>
    </row>
    <row r="1427" spans="1:12" ht="17.100000000000001" customHeight="1">
      <c r="A1427" s="43"/>
      <c r="B1427" s="44"/>
      <c r="C1427" s="44"/>
      <c r="D1427" s="85"/>
      <c r="E1427" s="44"/>
      <c r="F1427" s="44"/>
      <c r="G1427" s="44"/>
      <c r="H1427" s="44"/>
      <c r="I1427" s="45"/>
      <c r="J1427" s="45"/>
      <c r="K1427" s="45"/>
      <c r="L1427" s="45"/>
    </row>
    <row r="1428" spans="1:12" ht="17.100000000000001" customHeight="1">
      <c r="A1428" s="43"/>
      <c r="B1428" s="44"/>
      <c r="C1428" s="44"/>
      <c r="D1428" s="85"/>
      <c r="E1428" s="44"/>
      <c r="F1428" s="44"/>
      <c r="G1428" s="44"/>
      <c r="H1428" s="44"/>
      <c r="I1428" s="45"/>
      <c r="J1428" s="45"/>
      <c r="K1428" s="45"/>
      <c r="L1428" s="45"/>
    </row>
    <row r="1429" spans="1:12" ht="17.100000000000001" customHeight="1">
      <c r="A1429" s="43"/>
      <c r="B1429" s="44"/>
      <c r="C1429" s="44"/>
      <c r="D1429" s="85"/>
      <c r="E1429" s="44"/>
      <c r="F1429" s="44"/>
      <c r="G1429" s="44"/>
      <c r="H1429" s="44"/>
      <c r="I1429" s="45"/>
      <c r="J1429" s="45"/>
      <c r="K1429" s="45"/>
      <c r="L1429" s="45"/>
    </row>
    <row r="1430" spans="1:12" ht="17.100000000000001" customHeight="1">
      <c r="A1430" s="43"/>
      <c r="B1430" s="44"/>
      <c r="C1430" s="44"/>
      <c r="D1430" s="85"/>
      <c r="E1430" s="44"/>
      <c r="F1430" s="44"/>
      <c r="G1430" s="44"/>
      <c r="H1430" s="44"/>
      <c r="I1430" s="45"/>
      <c r="J1430" s="45"/>
      <c r="K1430" s="45"/>
      <c r="L1430" s="45"/>
    </row>
    <row r="1431" spans="1:12" ht="17.100000000000001" customHeight="1">
      <c r="A1431" s="43"/>
      <c r="B1431" s="44"/>
      <c r="C1431" s="44"/>
      <c r="D1431" s="85"/>
      <c r="E1431" s="44"/>
      <c r="F1431" s="44"/>
      <c r="G1431" s="44"/>
      <c r="H1431" s="44"/>
      <c r="I1431" s="45"/>
      <c r="J1431" s="45"/>
      <c r="K1431" s="45"/>
      <c r="L1431" s="45"/>
    </row>
    <row r="1432" spans="1:12" ht="17.100000000000001" customHeight="1">
      <c r="A1432" s="43"/>
      <c r="B1432" s="44"/>
      <c r="C1432" s="44"/>
      <c r="D1432" s="85"/>
      <c r="E1432" s="44"/>
      <c r="F1432" s="44"/>
      <c r="G1432" s="44"/>
      <c r="H1432" s="44"/>
      <c r="I1432" s="45"/>
      <c r="J1432" s="45"/>
      <c r="K1432" s="45"/>
      <c r="L1432" s="45"/>
    </row>
    <row r="1433" spans="1:12" ht="17.100000000000001" customHeight="1">
      <c r="A1433" s="43"/>
      <c r="B1433" s="44"/>
      <c r="C1433" s="44"/>
      <c r="D1433" s="85"/>
      <c r="E1433" s="44"/>
      <c r="F1433" s="44"/>
      <c r="G1433" s="44"/>
      <c r="H1433" s="44"/>
      <c r="I1433" s="45"/>
      <c r="J1433" s="45"/>
      <c r="K1433" s="45"/>
      <c r="L1433" s="45"/>
    </row>
    <row r="1434" spans="1:12" ht="17.100000000000001" customHeight="1">
      <c r="A1434" s="43"/>
      <c r="B1434" s="44"/>
      <c r="C1434" s="44"/>
      <c r="D1434" s="85"/>
      <c r="E1434" s="44"/>
      <c r="F1434" s="44"/>
      <c r="G1434" s="44"/>
      <c r="H1434" s="44"/>
      <c r="I1434" s="45"/>
      <c r="J1434" s="45"/>
      <c r="K1434" s="45"/>
      <c r="L1434" s="45"/>
    </row>
    <row r="1435" spans="1:12" ht="17.100000000000001" customHeight="1">
      <c r="A1435" s="43"/>
      <c r="B1435" s="44"/>
      <c r="C1435" s="44"/>
      <c r="D1435" s="85"/>
      <c r="E1435" s="44"/>
      <c r="F1435" s="44"/>
      <c r="G1435" s="44"/>
      <c r="H1435" s="44"/>
      <c r="I1435" s="45"/>
      <c r="J1435" s="45"/>
      <c r="K1435" s="45"/>
      <c r="L1435" s="45"/>
    </row>
    <row r="1436" spans="1:12" ht="17.100000000000001" customHeight="1">
      <c r="A1436" s="43"/>
      <c r="B1436" s="44"/>
      <c r="C1436" s="44"/>
      <c r="D1436" s="85"/>
      <c r="E1436" s="44"/>
      <c r="F1436" s="44"/>
      <c r="G1436" s="44"/>
      <c r="H1436" s="44"/>
      <c r="I1436" s="45"/>
      <c r="J1436" s="45"/>
      <c r="K1436" s="45"/>
      <c r="L1436" s="45"/>
    </row>
    <row r="1437" spans="1:12" ht="17.100000000000001" customHeight="1">
      <c r="A1437" s="43"/>
      <c r="B1437" s="44"/>
      <c r="C1437" s="44"/>
      <c r="D1437" s="85"/>
      <c r="E1437" s="44"/>
      <c r="F1437" s="44"/>
      <c r="G1437" s="44"/>
      <c r="H1437" s="44"/>
      <c r="I1437" s="45"/>
      <c r="J1437" s="45"/>
      <c r="K1437" s="45"/>
      <c r="L1437" s="45"/>
    </row>
    <row r="1438" spans="1:12" ht="17.100000000000001" customHeight="1">
      <c r="A1438" s="43"/>
      <c r="B1438" s="44"/>
      <c r="C1438" s="44"/>
      <c r="D1438" s="85"/>
      <c r="E1438" s="44"/>
      <c r="F1438" s="44"/>
      <c r="G1438" s="44"/>
      <c r="H1438" s="44"/>
      <c r="I1438" s="45"/>
      <c r="J1438" s="45"/>
      <c r="K1438" s="45"/>
      <c r="L1438" s="45"/>
    </row>
    <row r="1439" spans="1:12" ht="17.100000000000001" customHeight="1">
      <c r="A1439" s="43"/>
      <c r="B1439" s="44"/>
      <c r="C1439" s="44"/>
      <c r="D1439" s="85"/>
      <c r="E1439" s="44"/>
      <c r="F1439" s="44"/>
      <c r="G1439" s="44"/>
      <c r="H1439" s="44"/>
      <c r="I1439" s="45"/>
      <c r="J1439" s="45"/>
      <c r="K1439" s="45"/>
      <c r="L1439" s="45"/>
    </row>
    <row r="1440" spans="1:12" ht="17.100000000000001" customHeight="1">
      <c r="A1440" s="43"/>
      <c r="B1440" s="44"/>
      <c r="C1440" s="44"/>
      <c r="D1440" s="85"/>
      <c r="E1440" s="44"/>
      <c r="F1440" s="44"/>
      <c r="G1440" s="44"/>
      <c r="H1440" s="44"/>
      <c r="I1440" s="45"/>
      <c r="J1440" s="45"/>
      <c r="K1440" s="45"/>
      <c r="L1440" s="45"/>
    </row>
    <row r="1441" spans="1:12" ht="17.100000000000001" customHeight="1">
      <c r="A1441" s="43"/>
      <c r="B1441" s="44"/>
      <c r="C1441" s="44"/>
      <c r="D1441" s="85"/>
      <c r="E1441" s="44"/>
      <c r="F1441" s="44"/>
      <c r="G1441" s="44"/>
      <c r="H1441" s="44"/>
      <c r="I1441" s="45"/>
      <c r="J1441" s="45"/>
      <c r="K1441" s="45"/>
      <c r="L1441" s="45"/>
    </row>
    <row r="1442" spans="1:12" ht="17.100000000000001" customHeight="1">
      <c r="A1442" s="43"/>
      <c r="B1442" s="44"/>
      <c r="C1442" s="44"/>
      <c r="D1442" s="85"/>
      <c r="E1442" s="44"/>
      <c r="F1442" s="44"/>
      <c r="G1442" s="44"/>
      <c r="H1442" s="44"/>
      <c r="I1442" s="45"/>
      <c r="J1442" s="45"/>
      <c r="K1442" s="45"/>
      <c r="L1442" s="45"/>
    </row>
    <row r="1443" spans="1:12" ht="17.100000000000001" customHeight="1">
      <c r="A1443" s="43"/>
      <c r="B1443" s="44"/>
      <c r="C1443" s="44"/>
      <c r="D1443" s="85"/>
      <c r="E1443" s="44"/>
      <c r="F1443" s="44"/>
      <c r="G1443" s="44"/>
      <c r="H1443" s="44"/>
      <c r="I1443" s="45"/>
      <c r="J1443" s="45"/>
      <c r="K1443" s="45"/>
      <c r="L1443" s="45"/>
    </row>
    <row r="1444" spans="1:12" ht="17.100000000000001" customHeight="1">
      <c r="A1444" s="43"/>
      <c r="B1444" s="44"/>
      <c r="C1444" s="44"/>
      <c r="D1444" s="85"/>
      <c r="E1444" s="44"/>
      <c r="F1444" s="44"/>
      <c r="G1444" s="44"/>
      <c r="H1444" s="44"/>
      <c r="I1444" s="45"/>
      <c r="J1444" s="45"/>
      <c r="K1444" s="45"/>
    </row>
    <row r="1445" spans="1:12" ht="17.100000000000001" customHeight="1">
      <c r="A1445" s="43"/>
      <c r="B1445" s="44"/>
      <c r="C1445" s="44"/>
      <c r="D1445" s="85"/>
      <c r="E1445" s="44"/>
      <c r="F1445" s="44"/>
      <c r="G1445" s="44"/>
      <c r="H1445" s="44"/>
      <c r="I1445" s="45"/>
      <c r="J1445" s="45"/>
      <c r="K1445" s="45"/>
    </row>
    <row r="1446" spans="1:12" ht="17.100000000000001" customHeight="1">
      <c r="A1446" s="43"/>
      <c r="B1446" s="44"/>
      <c r="C1446" s="44"/>
      <c r="D1446" s="85"/>
      <c r="E1446" s="44"/>
      <c r="F1446" s="44"/>
      <c r="G1446" s="44"/>
      <c r="H1446" s="44"/>
      <c r="I1446" s="45"/>
      <c r="J1446" s="45"/>
      <c r="K1446" s="45"/>
    </row>
    <row r="1447" spans="1:12" ht="17.100000000000001" customHeight="1">
      <c r="A1447" s="43"/>
      <c r="B1447" s="44"/>
      <c r="C1447" s="44"/>
      <c r="D1447" s="85"/>
      <c r="E1447" s="44"/>
      <c r="F1447" s="44"/>
      <c r="G1447" s="44"/>
      <c r="H1447" s="44"/>
      <c r="I1447" s="45"/>
      <c r="J1447" s="45"/>
      <c r="K1447" s="45"/>
    </row>
    <row r="1448" spans="1:12" ht="17.100000000000001" customHeight="1">
      <c r="A1448" s="43"/>
      <c r="B1448" s="44"/>
      <c r="C1448" s="44"/>
      <c r="D1448" s="85"/>
      <c r="E1448" s="44"/>
      <c r="F1448" s="44"/>
      <c r="G1448" s="44"/>
      <c r="H1448" s="44"/>
      <c r="I1448" s="45"/>
      <c r="J1448" s="45"/>
      <c r="K1448" s="45"/>
    </row>
    <row r="1449" spans="1:12" ht="17.100000000000001" customHeight="1">
      <c r="A1449" s="43"/>
      <c r="B1449" s="44"/>
      <c r="C1449" s="44"/>
      <c r="D1449" s="85"/>
      <c r="E1449" s="44"/>
      <c r="F1449" s="44"/>
      <c r="G1449" s="44"/>
      <c r="H1449" s="44"/>
      <c r="I1449" s="45"/>
      <c r="J1449" s="45"/>
      <c r="K1449" s="45"/>
    </row>
    <row r="1450" spans="1:12" ht="17.100000000000001" customHeight="1">
      <c r="A1450" s="43"/>
      <c r="B1450" s="44"/>
      <c r="C1450" s="44"/>
      <c r="D1450" s="85"/>
      <c r="E1450" s="44"/>
      <c r="F1450" s="44"/>
      <c r="G1450" s="44"/>
      <c r="H1450" s="44"/>
      <c r="I1450" s="45"/>
      <c r="J1450" s="45"/>
      <c r="K1450" s="45"/>
    </row>
    <row r="1451" spans="1:12" ht="17.100000000000001" customHeight="1">
      <c r="A1451" s="43"/>
      <c r="B1451" s="44"/>
      <c r="C1451" s="44"/>
      <c r="D1451" s="85"/>
      <c r="E1451" s="44"/>
      <c r="F1451" s="44"/>
      <c r="G1451" s="44"/>
      <c r="H1451" s="44"/>
      <c r="I1451" s="45"/>
      <c r="J1451" s="45"/>
      <c r="K1451" s="45"/>
    </row>
    <row r="1452" spans="1:12" ht="17.100000000000001" customHeight="1">
      <c r="A1452" s="43"/>
      <c r="B1452" s="44"/>
      <c r="C1452" s="44"/>
      <c r="D1452" s="85"/>
      <c r="E1452" s="44"/>
      <c r="F1452" s="44"/>
      <c r="G1452" s="44"/>
      <c r="H1452" s="44"/>
      <c r="I1452" s="45"/>
      <c r="J1452" s="45"/>
      <c r="K1452" s="45"/>
    </row>
    <row r="1453" spans="1:12" ht="17.100000000000001" customHeight="1">
      <c r="A1453" s="43"/>
      <c r="B1453" s="44"/>
      <c r="C1453" s="44"/>
      <c r="D1453" s="85"/>
      <c r="E1453" s="44"/>
      <c r="F1453" s="44"/>
      <c r="G1453" s="44"/>
      <c r="H1453" s="44"/>
      <c r="I1453" s="45"/>
      <c r="J1453" s="45"/>
      <c r="K1453" s="45"/>
    </row>
    <row r="1454" spans="1:12" ht="17.100000000000001" customHeight="1">
      <c r="A1454" s="43"/>
      <c r="B1454" s="44"/>
      <c r="C1454" s="44"/>
      <c r="D1454" s="85"/>
      <c r="E1454" s="44"/>
      <c r="F1454" s="44"/>
      <c r="G1454" s="44"/>
      <c r="H1454" s="44"/>
      <c r="I1454" s="45"/>
      <c r="J1454" s="45"/>
      <c r="K1454" s="45"/>
    </row>
    <row r="1455" spans="1:12" ht="17.100000000000001" customHeight="1">
      <c r="A1455" s="43"/>
      <c r="B1455" s="44"/>
      <c r="C1455" s="44"/>
      <c r="D1455" s="85"/>
      <c r="E1455" s="44"/>
      <c r="F1455" s="44"/>
      <c r="G1455" s="44"/>
      <c r="H1455" s="44"/>
      <c r="I1455" s="45"/>
      <c r="J1455" s="45"/>
      <c r="K1455" s="45"/>
    </row>
    <row r="1456" spans="1:12" ht="17.100000000000001" customHeight="1">
      <c r="A1456" s="43"/>
      <c r="B1456" s="44"/>
      <c r="C1456" s="44"/>
      <c r="D1456" s="85"/>
      <c r="E1456" s="44"/>
      <c r="F1456" s="44"/>
      <c r="G1456" s="44"/>
      <c r="H1456" s="44"/>
      <c r="I1456" s="45"/>
      <c r="J1456" s="45"/>
      <c r="K1456" s="45"/>
    </row>
    <row r="1457" spans="1:11" ht="17.100000000000001" customHeight="1">
      <c r="A1457" s="43"/>
      <c r="B1457" s="44"/>
      <c r="C1457" s="44"/>
      <c r="D1457" s="85"/>
      <c r="E1457" s="44"/>
      <c r="F1457" s="44"/>
      <c r="G1457" s="44"/>
      <c r="H1457" s="44"/>
      <c r="I1457" s="45"/>
      <c r="J1457" s="45"/>
      <c r="K1457" s="45"/>
    </row>
    <row r="1458" spans="1:11" ht="17.100000000000001" customHeight="1">
      <c r="A1458" s="43"/>
      <c r="B1458" s="44"/>
      <c r="C1458" s="44"/>
      <c r="D1458" s="85"/>
      <c r="E1458" s="44"/>
      <c r="F1458" s="44"/>
      <c r="G1458" s="44"/>
      <c r="H1458" s="44"/>
      <c r="I1458" s="45"/>
      <c r="J1458" s="45"/>
      <c r="K1458" s="45"/>
    </row>
    <row r="1459" spans="1:11" ht="17.100000000000001" customHeight="1">
      <c r="A1459" s="43"/>
      <c r="B1459" s="44"/>
      <c r="C1459" s="44"/>
      <c r="D1459" s="85"/>
      <c r="E1459" s="44"/>
      <c r="F1459" s="44"/>
      <c r="G1459" s="44"/>
      <c r="H1459" s="44"/>
      <c r="I1459" s="45"/>
      <c r="J1459" s="45"/>
      <c r="K1459" s="45"/>
    </row>
    <row r="1460" spans="1:11" ht="17.100000000000001" customHeight="1">
      <c r="A1460" s="43"/>
      <c r="B1460" s="44"/>
      <c r="C1460" s="44"/>
      <c r="D1460" s="85"/>
      <c r="E1460" s="44"/>
      <c r="F1460" s="44"/>
      <c r="G1460" s="44"/>
      <c r="H1460" s="44"/>
      <c r="I1460" s="45"/>
      <c r="J1460" s="45"/>
      <c r="K1460" s="45"/>
    </row>
    <row r="1461" spans="1:11" ht="17.100000000000001" customHeight="1">
      <c r="A1461" s="43"/>
      <c r="B1461" s="44"/>
      <c r="C1461" s="44"/>
      <c r="D1461" s="85"/>
      <c r="E1461" s="44"/>
      <c r="F1461" s="44"/>
      <c r="G1461" s="44"/>
      <c r="H1461" s="44"/>
      <c r="I1461" s="45"/>
      <c r="J1461" s="45"/>
      <c r="K1461" s="45"/>
    </row>
    <row r="1462" spans="1:11" ht="17.100000000000001" customHeight="1">
      <c r="A1462" s="43"/>
      <c r="B1462" s="44"/>
      <c r="C1462" s="44"/>
      <c r="D1462" s="85"/>
      <c r="E1462" s="44"/>
      <c r="F1462" s="44"/>
      <c r="G1462" s="44"/>
      <c r="H1462" s="44"/>
      <c r="I1462" s="45"/>
      <c r="J1462" s="45"/>
      <c r="K1462" s="45"/>
    </row>
    <row r="1463" spans="1:11" ht="17.100000000000001" customHeight="1">
      <c r="A1463" s="43"/>
      <c r="B1463" s="44"/>
      <c r="C1463" s="44"/>
      <c r="D1463" s="85"/>
      <c r="E1463" s="44"/>
      <c r="F1463" s="44"/>
      <c r="G1463" s="44"/>
      <c r="H1463" s="44"/>
      <c r="I1463" s="45"/>
      <c r="J1463" s="45"/>
      <c r="K1463" s="45"/>
    </row>
    <row r="1464" spans="1:11" ht="17.100000000000001" customHeight="1">
      <c r="A1464" s="43"/>
      <c r="B1464" s="44"/>
      <c r="C1464" s="44"/>
      <c r="D1464" s="85"/>
      <c r="E1464" s="44"/>
      <c r="F1464" s="44"/>
      <c r="G1464" s="44"/>
      <c r="H1464" s="44"/>
      <c r="I1464" s="45"/>
      <c r="J1464" s="45"/>
      <c r="K1464" s="45"/>
    </row>
    <row r="1465" spans="1:11" ht="17.100000000000001" customHeight="1">
      <c r="A1465" s="43"/>
      <c r="B1465" s="44"/>
      <c r="C1465" s="44"/>
      <c r="D1465" s="85"/>
      <c r="E1465" s="44"/>
      <c r="F1465" s="44"/>
      <c r="G1465" s="44"/>
      <c r="H1465" s="44"/>
      <c r="I1465" s="45"/>
      <c r="J1465" s="45"/>
      <c r="K1465" s="45"/>
    </row>
    <row r="1466" spans="1:11" ht="17.100000000000001" customHeight="1">
      <c r="A1466" s="43"/>
      <c r="B1466" s="44"/>
      <c r="C1466" s="44"/>
      <c r="D1466" s="85"/>
      <c r="E1466" s="44"/>
      <c r="F1466" s="44"/>
      <c r="G1466" s="44"/>
      <c r="H1466" s="44"/>
      <c r="I1466" s="45"/>
      <c r="J1466" s="45"/>
      <c r="K1466" s="45"/>
    </row>
    <row r="1467" spans="1:11" ht="17.100000000000001" customHeight="1">
      <c r="A1467" s="43"/>
      <c r="B1467" s="44"/>
      <c r="C1467" s="44"/>
      <c r="D1467" s="85"/>
      <c r="E1467" s="44"/>
      <c r="F1467" s="44"/>
      <c r="G1467" s="44"/>
      <c r="H1467" s="44"/>
      <c r="I1467" s="45"/>
      <c r="J1467" s="45"/>
      <c r="K1467" s="45"/>
    </row>
    <row r="1468" spans="1:11" ht="17.100000000000001" customHeight="1">
      <c r="A1468" s="43"/>
      <c r="B1468" s="44"/>
      <c r="C1468" s="44"/>
      <c r="D1468" s="85"/>
      <c r="E1468" s="44"/>
      <c r="F1468" s="44"/>
      <c r="G1468" s="44"/>
      <c r="H1468" s="44"/>
      <c r="I1468" s="45"/>
      <c r="J1468" s="45"/>
      <c r="K1468" s="45"/>
    </row>
    <row r="1469" spans="1:11" ht="17.100000000000001" customHeight="1">
      <c r="A1469" s="43"/>
      <c r="B1469" s="44"/>
      <c r="C1469" s="44"/>
      <c r="D1469" s="85"/>
      <c r="E1469" s="44"/>
      <c r="F1469" s="44"/>
      <c r="G1469" s="44"/>
      <c r="H1469" s="44"/>
      <c r="I1469" s="45"/>
      <c r="J1469" s="45"/>
      <c r="K1469" s="45"/>
    </row>
    <row r="1470" spans="1:11" ht="17.100000000000001" customHeight="1">
      <c r="A1470" s="43"/>
      <c r="B1470" s="44"/>
      <c r="C1470" s="44"/>
      <c r="D1470" s="85"/>
      <c r="E1470" s="44"/>
      <c r="F1470" s="44"/>
      <c r="G1470" s="44"/>
      <c r="H1470" s="44"/>
      <c r="I1470" s="45"/>
      <c r="J1470" s="45"/>
      <c r="K1470" s="45"/>
    </row>
    <row r="1471" spans="1:11" ht="17.100000000000001" customHeight="1">
      <c r="A1471" s="43"/>
      <c r="B1471" s="44"/>
      <c r="C1471" s="44"/>
      <c r="D1471" s="85"/>
      <c r="E1471" s="44"/>
      <c r="F1471" s="44"/>
      <c r="G1471" s="44"/>
      <c r="H1471" s="44"/>
      <c r="I1471" s="45"/>
      <c r="J1471" s="45"/>
      <c r="K1471" s="45"/>
    </row>
    <row r="1472" spans="1:11" ht="17.100000000000001" customHeight="1">
      <c r="A1472" s="43"/>
      <c r="B1472" s="44"/>
      <c r="C1472" s="44"/>
      <c r="D1472" s="85"/>
      <c r="E1472" s="44"/>
      <c r="F1472" s="44"/>
      <c r="G1472" s="44"/>
      <c r="H1472" s="44"/>
      <c r="I1472" s="45"/>
      <c r="J1472" s="45"/>
      <c r="K1472" s="45"/>
    </row>
    <row r="1473" spans="1:11" ht="17.100000000000001" customHeight="1">
      <c r="A1473" s="43"/>
      <c r="B1473" s="44"/>
      <c r="C1473" s="44"/>
      <c r="D1473" s="85"/>
      <c r="E1473" s="44"/>
      <c r="F1473" s="44"/>
      <c r="G1473" s="44"/>
      <c r="H1473" s="44"/>
      <c r="I1473" s="45"/>
      <c r="J1473" s="45"/>
      <c r="K1473" s="45"/>
    </row>
    <row r="1474" spans="1:11" ht="17.100000000000001" customHeight="1">
      <c r="A1474" s="43"/>
      <c r="B1474" s="44"/>
      <c r="C1474" s="44"/>
      <c r="D1474" s="85"/>
      <c r="E1474" s="44"/>
      <c r="F1474" s="44"/>
      <c r="G1474" s="44"/>
      <c r="H1474" s="44"/>
      <c r="I1474" s="45"/>
      <c r="J1474" s="45"/>
      <c r="K1474" s="45"/>
    </row>
    <row r="1475" spans="1:11" ht="17.100000000000001" customHeight="1">
      <c r="A1475" s="43"/>
      <c r="B1475" s="44"/>
      <c r="C1475" s="44"/>
      <c r="D1475" s="85"/>
      <c r="E1475" s="44"/>
      <c r="F1475" s="44"/>
      <c r="G1475" s="44"/>
      <c r="H1475" s="44"/>
      <c r="I1475" s="45"/>
      <c r="J1475" s="45"/>
      <c r="K1475" s="45"/>
    </row>
    <row r="1476" spans="1:11" ht="17.100000000000001" customHeight="1">
      <c r="A1476" s="43"/>
      <c r="B1476" s="44"/>
      <c r="C1476" s="44"/>
      <c r="D1476" s="85"/>
      <c r="E1476" s="44"/>
      <c r="F1476" s="44"/>
      <c r="G1476" s="44"/>
      <c r="H1476" s="44"/>
      <c r="I1476" s="45"/>
      <c r="J1476" s="45"/>
      <c r="K1476" s="45"/>
    </row>
    <row r="1477" spans="1:11" ht="17.100000000000001" customHeight="1">
      <c r="A1477" s="43"/>
      <c r="B1477" s="44"/>
      <c r="C1477" s="44"/>
      <c r="D1477" s="85"/>
      <c r="E1477" s="44"/>
      <c r="F1477" s="44"/>
      <c r="G1477" s="44"/>
      <c r="H1477" s="44"/>
      <c r="I1477" s="45"/>
      <c r="J1477" s="45"/>
      <c r="K1477" s="45"/>
    </row>
    <row r="1478" spans="1:11" ht="17.100000000000001" customHeight="1">
      <c r="A1478" s="43"/>
      <c r="B1478" s="44"/>
      <c r="C1478" s="44"/>
      <c r="D1478" s="85"/>
      <c r="E1478" s="44"/>
      <c r="F1478" s="44"/>
      <c r="G1478" s="44"/>
      <c r="H1478" s="44"/>
      <c r="I1478" s="45"/>
      <c r="J1478" s="45"/>
      <c r="K1478" s="45"/>
    </row>
    <row r="1479" spans="1:11" ht="17.100000000000001" customHeight="1">
      <c r="A1479" s="43"/>
      <c r="B1479" s="44"/>
      <c r="C1479" s="44"/>
      <c r="D1479" s="85"/>
      <c r="E1479" s="44"/>
      <c r="F1479" s="44"/>
      <c r="G1479" s="44"/>
      <c r="H1479" s="44"/>
      <c r="I1479" s="45"/>
      <c r="J1479" s="45"/>
      <c r="K1479" s="45"/>
    </row>
    <row r="1480" spans="1:11" ht="17.100000000000001" customHeight="1">
      <c r="A1480" s="43"/>
      <c r="B1480" s="44"/>
      <c r="C1480" s="44"/>
      <c r="D1480" s="85"/>
      <c r="E1480" s="44"/>
      <c r="F1480" s="44"/>
      <c r="G1480" s="44"/>
      <c r="H1480" s="44"/>
      <c r="I1480" s="45"/>
      <c r="J1480" s="45"/>
      <c r="K1480" s="45"/>
    </row>
    <row r="1481" spans="1:11" ht="17.100000000000001" customHeight="1">
      <c r="A1481" s="43"/>
      <c r="B1481" s="44"/>
      <c r="C1481" s="44"/>
      <c r="D1481" s="85"/>
      <c r="E1481" s="44"/>
      <c r="F1481" s="44"/>
      <c r="G1481" s="44"/>
      <c r="H1481" s="44"/>
      <c r="I1481" s="45"/>
      <c r="J1481" s="45"/>
      <c r="K1481" s="45"/>
    </row>
    <row r="1482" spans="1:11" ht="17.100000000000001" customHeight="1">
      <c r="A1482" s="43"/>
      <c r="B1482" s="44"/>
      <c r="C1482" s="44"/>
      <c r="D1482" s="85"/>
      <c r="E1482" s="44"/>
      <c r="F1482" s="44"/>
      <c r="G1482" s="44"/>
      <c r="H1482" s="44"/>
      <c r="I1482" s="45"/>
      <c r="J1482" s="45"/>
      <c r="K1482" s="45"/>
    </row>
    <row r="1483" spans="1:11" ht="17.100000000000001" customHeight="1">
      <c r="A1483" s="43"/>
      <c r="B1483" s="44"/>
      <c r="C1483" s="44"/>
      <c r="D1483" s="85"/>
      <c r="E1483" s="44"/>
      <c r="F1483" s="44"/>
      <c r="G1483" s="44"/>
      <c r="H1483" s="44"/>
      <c r="I1483" s="45"/>
      <c r="J1483" s="45"/>
      <c r="K1483" s="45"/>
    </row>
    <row r="1484" spans="1:11" ht="17.100000000000001" customHeight="1">
      <c r="A1484" s="43"/>
      <c r="B1484" s="44"/>
      <c r="C1484" s="44"/>
      <c r="D1484" s="85"/>
      <c r="E1484" s="44"/>
      <c r="F1484" s="44"/>
      <c r="G1484" s="44"/>
      <c r="H1484" s="44"/>
      <c r="I1484" s="45"/>
      <c r="J1484" s="45"/>
      <c r="K1484" s="45"/>
    </row>
    <row r="1485" spans="1:11" ht="17.100000000000001" customHeight="1">
      <c r="A1485" s="43"/>
      <c r="B1485" s="44"/>
      <c r="C1485" s="44"/>
      <c r="D1485" s="85"/>
      <c r="E1485" s="44"/>
      <c r="F1485" s="44"/>
      <c r="G1485" s="44"/>
      <c r="H1485" s="44"/>
      <c r="I1485" s="45"/>
      <c r="J1485" s="45"/>
      <c r="K1485" s="45"/>
    </row>
    <row r="1486" spans="1:11" ht="17.100000000000001" customHeight="1">
      <c r="A1486" s="43"/>
      <c r="B1486" s="44"/>
      <c r="C1486" s="44"/>
      <c r="D1486" s="85"/>
      <c r="E1486" s="44"/>
      <c r="F1486" s="44"/>
      <c r="G1486" s="44"/>
      <c r="H1486" s="44"/>
      <c r="I1486" s="45"/>
      <c r="J1486" s="45"/>
      <c r="K1486" s="45"/>
    </row>
    <row r="1487" spans="1:11" ht="17.100000000000001" customHeight="1">
      <c r="A1487" s="43"/>
      <c r="B1487" s="44"/>
      <c r="C1487" s="44"/>
      <c r="D1487" s="85"/>
      <c r="E1487" s="44"/>
      <c r="F1487" s="44"/>
      <c r="G1487" s="44"/>
      <c r="H1487" s="44"/>
      <c r="I1487" s="45"/>
      <c r="J1487" s="45"/>
      <c r="K1487" s="45"/>
    </row>
    <row r="1488" spans="1:11" ht="17.100000000000001" customHeight="1">
      <c r="A1488" s="43"/>
      <c r="B1488" s="44"/>
      <c r="C1488" s="44"/>
      <c r="D1488" s="85"/>
      <c r="E1488" s="44"/>
      <c r="F1488" s="44"/>
      <c r="G1488" s="44"/>
      <c r="H1488" s="44"/>
      <c r="I1488" s="45"/>
      <c r="J1488" s="45"/>
      <c r="K1488" s="45"/>
    </row>
    <row r="1489" spans="1:11" ht="17.100000000000001" customHeight="1">
      <c r="A1489" s="43"/>
      <c r="B1489" s="44"/>
      <c r="C1489" s="44"/>
      <c r="D1489" s="85"/>
      <c r="E1489" s="44"/>
      <c r="F1489" s="44"/>
      <c r="G1489" s="44"/>
      <c r="H1489" s="44"/>
      <c r="I1489" s="45"/>
      <c r="J1489" s="45"/>
      <c r="K1489" s="45"/>
    </row>
    <row r="1490" spans="1:11" ht="17.100000000000001" customHeight="1">
      <c r="A1490" s="43"/>
      <c r="B1490" s="44"/>
      <c r="C1490" s="44"/>
      <c r="D1490" s="85"/>
      <c r="E1490" s="44"/>
      <c r="F1490" s="44"/>
      <c r="G1490" s="44"/>
      <c r="H1490" s="44"/>
      <c r="I1490" s="45"/>
      <c r="J1490" s="45"/>
      <c r="K1490" s="45"/>
    </row>
    <row r="1491" spans="1:11" ht="17.100000000000001" customHeight="1">
      <c r="A1491" s="43"/>
      <c r="B1491" s="44"/>
      <c r="C1491" s="44"/>
      <c r="D1491" s="85"/>
      <c r="E1491" s="44"/>
      <c r="F1491" s="44"/>
      <c r="G1491" s="44"/>
      <c r="H1491" s="44"/>
      <c r="I1491" s="45"/>
      <c r="J1491" s="45"/>
      <c r="K1491" s="45"/>
    </row>
    <row r="1492" spans="1:11" ht="17.100000000000001" customHeight="1">
      <c r="A1492" s="43"/>
      <c r="B1492" s="44"/>
      <c r="C1492" s="44"/>
      <c r="D1492" s="85"/>
      <c r="E1492" s="44"/>
      <c r="F1492" s="44"/>
      <c r="G1492" s="44"/>
      <c r="H1492" s="44"/>
      <c r="I1492" s="45"/>
      <c r="J1492" s="45"/>
      <c r="K1492" s="45"/>
    </row>
    <row r="1493" spans="1:11" ht="17.100000000000001" customHeight="1">
      <c r="A1493" s="43"/>
      <c r="B1493" s="44"/>
      <c r="C1493" s="44"/>
      <c r="D1493" s="85"/>
      <c r="E1493" s="44"/>
      <c r="F1493" s="44"/>
      <c r="G1493" s="44"/>
      <c r="H1493" s="44"/>
      <c r="I1493" s="45"/>
      <c r="J1493" s="45"/>
      <c r="K1493" s="45"/>
    </row>
    <row r="1494" spans="1:11" ht="17.100000000000001" customHeight="1">
      <c r="A1494" s="43"/>
      <c r="B1494" s="44"/>
      <c r="C1494" s="44"/>
      <c r="D1494" s="85"/>
      <c r="E1494" s="44"/>
      <c r="F1494" s="44"/>
      <c r="G1494" s="44"/>
      <c r="H1494" s="44"/>
      <c r="I1494" s="45"/>
      <c r="J1494" s="45"/>
      <c r="K1494" s="45"/>
    </row>
    <row r="1495" spans="1:11" ht="17.100000000000001" customHeight="1">
      <c r="A1495" s="43"/>
      <c r="B1495" s="44"/>
      <c r="C1495" s="44"/>
      <c r="D1495" s="85"/>
      <c r="E1495" s="44"/>
      <c r="F1495" s="44"/>
      <c r="G1495" s="44"/>
      <c r="H1495" s="44"/>
      <c r="I1495" s="45"/>
      <c r="J1495" s="45"/>
      <c r="K1495" s="45"/>
    </row>
    <row r="1496" spans="1:11" ht="17.100000000000001" customHeight="1">
      <c r="A1496" s="43"/>
      <c r="B1496" s="44"/>
      <c r="C1496" s="44"/>
      <c r="D1496" s="85"/>
      <c r="E1496" s="44"/>
      <c r="F1496" s="44"/>
      <c r="G1496" s="44"/>
      <c r="H1496" s="44"/>
      <c r="I1496" s="45"/>
      <c r="J1496" s="45"/>
      <c r="K1496" s="45"/>
    </row>
    <row r="1497" spans="1:11" ht="17.100000000000001" customHeight="1">
      <c r="A1497" s="43"/>
      <c r="B1497" s="44"/>
      <c r="C1497" s="44"/>
      <c r="D1497" s="85"/>
      <c r="E1497" s="44"/>
      <c r="F1497" s="44"/>
      <c r="G1497" s="44"/>
      <c r="H1497" s="44"/>
      <c r="I1497" s="45"/>
      <c r="J1497" s="45"/>
      <c r="K1497" s="45"/>
    </row>
    <row r="1498" spans="1:11" ht="17.100000000000001" customHeight="1">
      <c r="A1498" s="43"/>
      <c r="B1498" s="44"/>
      <c r="C1498" s="44"/>
      <c r="D1498" s="85"/>
      <c r="E1498" s="44"/>
      <c r="F1498" s="44"/>
      <c r="G1498" s="44"/>
      <c r="H1498" s="44"/>
      <c r="I1498" s="45"/>
      <c r="J1498" s="45"/>
      <c r="K1498" s="45"/>
    </row>
    <row r="1499" spans="1:11" ht="17.100000000000001" customHeight="1">
      <c r="A1499" s="43"/>
      <c r="B1499" s="44"/>
      <c r="C1499" s="44"/>
      <c r="D1499" s="85"/>
      <c r="E1499" s="44"/>
      <c r="F1499" s="44"/>
      <c r="G1499" s="44"/>
      <c r="H1499" s="44"/>
      <c r="I1499" s="45"/>
      <c r="J1499" s="45"/>
      <c r="K1499" s="45"/>
    </row>
    <row r="1500" spans="1:11" ht="17.100000000000001" customHeight="1">
      <c r="A1500" s="43"/>
      <c r="B1500" s="44"/>
      <c r="C1500" s="44"/>
      <c r="D1500" s="85"/>
      <c r="E1500" s="44"/>
      <c r="F1500" s="44"/>
      <c r="G1500" s="44"/>
      <c r="H1500" s="44"/>
      <c r="I1500" s="45"/>
      <c r="J1500" s="45"/>
      <c r="K1500" s="45"/>
    </row>
    <row r="1501" spans="1:11" ht="17.100000000000001" customHeight="1">
      <c r="A1501" s="43"/>
      <c r="B1501" s="44"/>
      <c r="C1501" s="44"/>
      <c r="D1501" s="85"/>
      <c r="E1501" s="44"/>
      <c r="F1501" s="44"/>
      <c r="G1501" s="44"/>
      <c r="H1501" s="44"/>
      <c r="I1501" s="45"/>
      <c r="J1501" s="45"/>
      <c r="K1501" s="45"/>
    </row>
    <row r="1502" spans="1:11" ht="17.100000000000001" customHeight="1">
      <c r="A1502" s="43"/>
      <c r="B1502" s="44"/>
      <c r="C1502" s="44"/>
      <c r="D1502" s="85"/>
      <c r="E1502" s="44"/>
      <c r="F1502" s="44"/>
      <c r="G1502" s="44"/>
      <c r="H1502" s="44"/>
      <c r="I1502" s="45"/>
      <c r="J1502" s="45"/>
      <c r="K1502" s="45"/>
    </row>
    <row r="1503" spans="1:11" ht="17.100000000000001" customHeight="1">
      <c r="A1503" s="43"/>
      <c r="B1503" s="44"/>
      <c r="C1503" s="44"/>
      <c r="D1503" s="85"/>
      <c r="E1503" s="44"/>
      <c r="F1503" s="44"/>
      <c r="G1503" s="44"/>
      <c r="H1503" s="44"/>
      <c r="I1503" s="45"/>
      <c r="J1503" s="45"/>
      <c r="K1503" s="45"/>
    </row>
    <row r="1504" spans="1:11" ht="17.100000000000001" customHeight="1">
      <c r="A1504" s="43"/>
      <c r="B1504" s="44"/>
      <c r="C1504" s="44"/>
      <c r="D1504" s="85"/>
      <c r="E1504" s="44"/>
      <c r="F1504" s="44"/>
      <c r="G1504" s="44"/>
      <c r="H1504" s="44"/>
      <c r="I1504" s="45"/>
      <c r="J1504" s="45"/>
      <c r="K1504" s="45"/>
    </row>
    <row r="1505" spans="1:11" ht="17.100000000000001" customHeight="1">
      <c r="A1505" s="43"/>
      <c r="B1505" s="44"/>
      <c r="C1505" s="44"/>
      <c r="D1505" s="85"/>
      <c r="E1505" s="44"/>
      <c r="F1505" s="44"/>
      <c r="G1505" s="44"/>
      <c r="H1505" s="44"/>
      <c r="I1505" s="45"/>
      <c r="J1505" s="45"/>
      <c r="K1505" s="45"/>
    </row>
    <row r="1506" spans="1:11" ht="17.100000000000001" customHeight="1">
      <c r="A1506" s="43"/>
      <c r="B1506" s="44"/>
      <c r="C1506" s="44"/>
      <c r="D1506" s="85"/>
      <c r="E1506" s="44"/>
      <c r="F1506" s="44"/>
      <c r="G1506" s="44"/>
      <c r="H1506" s="44"/>
      <c r="I1506" s="45"/>
      <c r="J1506" s="45"/>
      <c r="K1506" s="45"/>
    </row>
    <row r="1507" spans="1:11" ht="17.100000000000001" customHeight="1">
      <c r="A1507" s="43"/>
      <c r="B1507" s="44"/>
      <c r="C1507" s="44"/>
      <c r="D1507" s="85"/>
      <c r="E1507" s="44"/>
      <c r="F1507" s="44"/>
      <c r="G1507" s="44"/>
      <c r="H1507" s="44"/>
      <c r="I1507" s="45"/>
      <c r="J1507" s="45"/>
      <c r="K1507" s="45"/>
    </row>
    <row r="1508" spans="1:11" ht="17.100000000000001" customHeight="1">
      <c r="A1508" s="43"/>
      <c r="B1508" s="44"/>
      <c r="C1508" s="44"/>
      <c r="D1508" s="85"/>
      <c r="E1508" s="44"/>
      <c r="F1508" s="44"/>
      <c r="G1508" s="44"/>
      <c r="H1508" s="44"/>
      <c r="I1508" s="45"/>
      <c r="J1508" s="45"/>
      <c r="K1508" s="45"/>
    </row>
    <row r="1509" spans="1:11" ht="17.100000000000001" customHeight="1">
      <c r="A1509" s="43"/>
      <c r="B1509" s="44"/>
      <c r="C1509" s="44"/>
      <c r="D1509" s="85"/>
      <c r="E1509" s="44"/>
      <c r="F1509" s="44"/>
      <c r="G1509" s="44"/>
      <c r="H1509" s="44"/>
      <c r="I1509" s="45"/>
      <c r="J1509" s="45"/>
      <c r="K1509" s="45"/>
    </row>
    <row r="1510" spans="1:11" ht="17.100000000000001" customHeight="1">
      <c r="A1510" s="43"/>
      <c r="B1510" s="44"/>
      <c r="C1510" s="44"/>
      <c r="D1510" s="85"/>
      <c r="E1510" s="44"/>
      <c r="F1510" s="44"/>
      <c r="G1510" s="44"/>
      <c r="H1510" s="44"/>
      <c r="I1510" s="45"/>
      <c r="J1510" s="45"/>
      <c r="K1510" s="45"/>
    </row>
    <row r="1511" spans="1:11" ht="17.100000000000001" customHeight="1">
      <c r="A1511" s="43"/>
      <c r="B1511" s="44"/>
      <c r="C1511" s="44"/>
      <c r="D1511" s="85"/>
      <c r="E1511" s="44"/>
      <c r="F1511" s="44"/>
      <c r="G1511" s="44"/>
      <c r="H1511" s="44"/>
      <c r="I1511" s="45"/>
      <c r="J1511" s="45"/>
      <c r="K1511" s="45"/>
    </row>
    <row r="1512" spans="1:11" ht="17.100000000000001" customHeight="1">
      <c r="A1512" s="43"/>
      <c r="B1512" s="44"/>
      <c r="C1512" s="44"/>
      <c r="D1512" s="85"/>
      <c r="E1512" s="44"/>
      <c r="F1512" s="44"/>
      <c r="G1512" s="44"/>
      <c r="H1512" s="44"/>
      <c r="I1512" s="45"/>
      <c r="J1512" s="45"/>
      <c r="K1512" s="45"/>
    </row>
    <row r="1513" spans="1:11" ht="17.100000000000001" customHeight="1">
      <c r="A1513" s="43"/>
      <c r="B1513" s="44"/>
      <c r="C1513" s="44"/>
      <c r="D1513" s="85"/>
      <c r="E1513" s="44"/>
      <c r="F1513" s="44"/>
      <c r="G1513" s="44"/>
      <c r="H1513" s="44"/>
      <c r="I1513" s="45"/>
      <c r="J1513" s="45"/>
      <c r="K1513" s="45"/>
    </row>
    <row r="1514" spans="1:11" ht="17.100000000000001" customHeight="1">
      <c r="A1514" s="43"/>
      <c r="B1514" s="44"/>
      <c r="C1514" s="44"/>
      <c r="D1514" s="85"/>
      <c r="E1514" s="44"/>
      <c r="F1514" s="44"/>
      <c r="G1514" s="44"/>
      <c r="H1514" s="44"/>
      <c r="I1514" s="45"/>
      <c r="J1514" s="45"/>
      <c r="K1514" s="45"/>
    </row>
    <row r="1515" spans="1:11" ht="17.100000000000001" customHeight="1">
      <c r="A1515" s="43"/>
      <c r="B1515" s="44"/>
      <c r="C1515" s="44"/>
      <c r="D1515" s="85"/>
      <c r="E1515" s="44"/>
      <c r="F1515" s="44"/>
      <c r="G1515" s="44"/>
      <c r="H1515" s="44"/>
      <c r="I1515" s="45"/>
      <c r="J1515" s="45"/>
      <c r="K1515" s="45"/>
    </row>
    <row r="1516" spans="1:11" ht="17.100000000000001" customHeight="1">
      <c r="A1516" s="43"/>
      <c r="B1516" s="44"/>
      <c r="C1516" s="44"/>
      <c r="D1516" s="85"/>
      <c r="E1516" s="44"/>
      <c r="F1516" s="44"/>
      <c r="G1516" s="44"/>
      <c r="H1516" s="44"/>
      <c r="I1516" s="45"/>
      <c r="J1516" s="45"/>
      <c r="K1516" s="45"/>
    </row>
    <row r="1517" spans="1:11" ht="17.100000000000001" customHeight="1">
      <c r="A1517" s="43"/>
      <c r="B1517" s="44"/>
      <c r="C1517" s="44"/>
      <c r="D1517" s="85"/>
      <c r="E1517" s="44"/>
      <c r="F1517" s="44"/>
      <c r="G1517" s="44"/>
      <c r="H1517" s="44"/>
      <c r="I1517" s="45"/>
      <c r="J1517" s="45"/>
      <c r="K1517" s="45"/>
    </row>
    <row r="1518" spans="1:11" ht="17.100000000000001" customHeight="1">
      <c r="A1518" s="43"/>
      <c r="B1518" s="44"/>
      <c r="C1518" s="44"/>
      <c r="D1518" s="85"/>
      <c r="E1518" s="44"/>
      <c r="F1518" s="44"/>
      <c r="G1518" s="44"/>
      <c r="H1518" s="44"/>
      <c r="I1518" s="45"/>
      <c r="J1518" s="45"/>
      <c r="K1518" s="45"/>
    </row>
    <row r="1519" spans="1:11" ht="17.100000000000001" customHeight="1">
      <c r="A1519" s="43"/>
      <c r="B1519" s="44"/>
      <c r="C1519" s="44"/>
      <c r="D1519" s="85"/>
      <c r="E1519" s="44"/>
      <c r="F1519" s="44"/>
      <c r="G1519" s="44"/>
      <c r="H1519" s="44"/>
      <c r="I1519" s="45"/>
      <c r="J1519" s="45"/>
      <c r="K1519" s="45"/>
    </row>
    <row r="1520" spans="1:11" ht="17.100000000000001" customHeight="1">
      <c r="A1520" s="43"/>
      <c r="B1520" s="44"/>
      <c r="C1520" s="44"/>
      <c r="D1520" s="85"/>
      <c r="E1520" s="44"/>
      <c r="F1520" s="44"/>
      <c r="G1520" s="44"/>
      <c r="H1520" s="44"/>
      <c r="I1520" s="45"/>
      <c r="J1520" s="45"/>
      <c r="K1520" s="45"/>
    </row>
    <row r="1521" spans="1:11" ht="17.100000000000001" customHeight="1">
      <c r="A1521" s="43"/>
      <c r="B1521" s="44"/>
      <c r="C1521" s="44"/>
      <c r="D1521" s="85"/>
      <c r="E1521" s="44"/>
      <c r="F1521" s="44"/>
      <c r="G1521" s="44"/>
      <c r="H1521" s="44"/>
      <c r="I1521" s="45"/>
      <c r="J1521" s="45"/>
      <c r="K1521" s="45"/>
    </row>
    <row r="1522" spans="1:11" ht="17.100000000000001" customHeight="1">
      <c r="A1522" s="43"/>
      <c r="B1522" s="44"/>
      <c r="C1522" s="44"/>
      <c r="D1522" s="85"/>
      <c r="E1522" s="44"/>
      <c r="F1522" s="44"/>
      <c r="G1522" s="44"/>
      <c r="H1522" s="44"/>
      <c r="I1522" s="45"/>
      <c r="J1522" s="45"/>
      <c r="K1522" s="45"/>
    </row>
    <row r="1523" spans="1:11" ht="17.100000000000001" customHeight="1">
      <c r="A1523" s="43"/>
      <c r="B1523" s="44"/>
      <c r="C1523" s="44"/>
      <c r="D1523" s="85"/>
      <c r="E1523" s="44"/>
      <c r="F1523" s="44"/>
      <c r="G1523" s="44"/>
      <c r="H1523" s="44"/>
      <c r="I1523" s="45"/>
      <c r="J1523" s="45"/>
      <c r="K1523" s="45"/>
    </row>
    <row r="1524" spans="1:11" ht="17.100000000000001" customHeight="1">
      <c r="A1524" s="43"/>
      <c r="B1524" s="44"/>
      <c r="C1524" s="44"/>
      <c r="D1524" s="85"/>
      <c r="E1524" s="44"/>
      <c r="F1524" s="44"/>
      <c r="G1524" s="44"/>
      <c r="H1524" s="44"/>
      <c r="I1524" s="45"/>
      <c r="J1524" s="45"/>
      <c r="K1524" s="45"/>
    </row>
    <row r="1525" spans="1:11" ht="17.100000000000001" customHeight="1">
      <c r="A1525" s="43"/>
      <c r="B1525" s="44"/>
      <c r="C1525" s="44"/>
      <c r="D1525" s="85"/>
      <c r="E1525" s="44"/>
      <c r="F1525" s="44"/>
      <c r="G1525" s="44"/>
      <c r="H1525" s="44"/>
      <c r="I1525" s="45"/>
      <c r="J1525" s="45"/>
      <c r="K1525" s="45"/>
    </row>
    <row r="1526" spans="1:11" ht="17.100000000000001" customHeight="1">
      <c r="A1526" s="43"/>
      <c r="B1526" s="44"/>
      <c r="C1526" s="44"/>
      <c r="D1526" s="85"/>
      <c r="E1526" s="44"/>
      <c r="F1526" s="44"/>
      <c r="G1526" s="44"/>
      <c r="H1526" s="44"/>
      <c r="I1526" s="45"/>
      <c r="J1526" s="45"/>
      <c r="K1526" s="45"/>
    </row>
    <row r="1527" spans="1:11" ht="17.100000000000001" customHeight="1">
      <c r="A1527" s="43"/>
      <c r="B1527" s="44"/>
      <c r="C1527" s="44"/>
      <c r="D1527" s="85"/>
      <c r="E1527" s="44"/>
      <c r="F1527" s="44"/>
      <c r="G1527" s="44"/>
      <c r="H1527" s="44"/>
      <c r="I1527" s="45"/>
      <c r="J1527" s="45"/>
      <c r="K1527" s="45"/>
    </row>
    <row r="1528" spans="1:11" ht="17.100000000000001" customHeight="1">
      <c r="A1528" s="43"/>
      <c r="B1528" s="44"/>
      <c r="C1528" s="44"/>
      <c r="D1528" s="85"/>
      <c r="E1528" s="44"/>
      <c r="F1528" s="44"/>
      <c r="G1528" s="44"/>
      <c r="H1528" s="44"/>
      <c r="I1528" s="45"/>
      <c r="J1528" s="45"/>
      <c r="K1528" s="45"/>
    </row>
    <row r="1529" spans="1:11" ht="17.100000000000001" customHeight="1">
      <c r="A1529" s="43"/>
      <c r="B1529" s="44"/>
      <c r="C1529" s="44"/>
      <c r="D1529" s="85"/>
      <c r="E1529" s="44"/>
      <c r="F1529" s="44"/>
      <c r="G1529" s="44"/>
      <c r="H1529" s="44"/>
      <c r="I1529" s="45"/>
      <c r="J1529" s="45"/>
      <c r="K1529" s="45"/>
    </row>
    <row r="1530" spans="1:11" ht="17.100000000000001" customHeight="1">
      <c r="A1530" s="43"/>
      <c r="B1530" s="44"/>
      <c r="C1530" s="44"/>
      <c r="D1530" s="85"/>
      <c r="E1530" s="44"/>
      <c r="F1530" s="44"/>
      <c r="G1530" s="44"/>
      <c r="H1530" s="44"/>
      <c r="I1530" s="45"/>
      <c r="J1530" s="45"/>
      <c r="K1530" s="45"/>
    </row>
    <row r="1531" spans="1:11" ht="17.100000000000001" customHeight="1">
      <c r="A1531" s="43"/>
      <c r="B1531" s="44"/>
      <c r="C1531" s="44"/>
      <c r="D1531" s="85"/>
      <c r="E1531" s="44"/>
      <c r="F1531" s="44"/>
      <c r="G1531" s="44"/>
      <c r="H1531" s="44"/>
      <c r="I1531" s="45"/>
      <c r="J1531" s="45"/>
      <c r="K1531" s="45"/>
    </row>
    <row r="1532" spans="1:11" ht="17.100000000000001" customHeight="1">
      <c r="A1532" s="43"/>
      <c r="B1532" s="44"/>
      <c r="C1532" s="44"/>
      <c r="D1532" s="85"/>
      <c r="E1532" s="44"/>
      <c r="F1532" s="44"/>
      <c r="G1532" s="44"/>
      <c r="H1532" s="44"/>
      <c r="I1532" s="45"/>
      <c r="J1532" s="45"/>
      <c r="K1532" s="45"/>
    </row>
    <row r="1533" spans="1:11" ht="17.100000000000001" customHeight="1">
      <c r="A1533" s="43"/>
      <c r="B1533" s="44"/>
      <c r="C1533" s="44"/>
      <c r="D1533" s="85"/>
      <c r="E1533" s="44"/>
      <c r="F1533" s="44"/>
      <c r="G1533" s="44"/>
      <c r="H1533" s="44"/>
      <c r="I1533" s="45"/>
      <c r="J1533" s="45"/>
      <c r="K1533" s="45"/>
    </row>
    <row r="1534" spans="1:11" ht="17.100000000000001" customHeight="1">
      <c r="A1534" s="43"/>
      <c r="B1534" s="44"/>
      <c r="C1534" s="44"/>
      <c r="D1534" s="85"/>
      <c r="E1534" s="44"/>
      <c r="F1534" s="44"/>
      <c r="G1534" s="44"/>
      <c r="H1534" s="44"/>
      <c r="I1534" s="45"/>
      <c r="J1534" s="45"/>
      <c r="K1534" s="45"/>
    </row>
    <row r="1535" spans="1:11" ht="17.100000000000001" customHeight="1">
      <c r="A1535" s="43"/>
      <c r="B1535" s="44"/>
      <c r="C1535" s="44"/>
      <c r="D1535" s="85"/>
      <c r="E1535" s="44"/>
      <c r="F1535" s="44"/>
      <c r="G1535" s="44"/>
      <c r="H1535" s="44"/>
      <c r="I1535" s="45"/>
      <c r="J1535" s="45"/>
      <c r="K1535" s="45"/>
    </row>
    <row r="1536" spans="1:11" ht="17.100000000000001" customHeight="1">
      <c r="A1536" s="43"/>
      <c r="B1536" s="44"/>
      <c r="C1536" s="44"/>
      <c r="D1536" s="85"/>
      <c r="E1536" s="44"/>
      <c r="F1536" s="44"/>
      <c r="G1536" s="44"/>
      <c r="H1536" s="44"/>
      <c r="I1536" s="45"/>
      <c r="J1536" s="45"/>
      <c r="K1536" s="45"/>
    </row>
    <row r="1537" spans="1:11" ht="17.100000000000001" customHeight="1">
      <c r="A1537" s="43"/>
      <c r="B1537" s="44"/>
      <c r="C1537" s="44"/>
      <c r="D1537" s="85"/>
      <c r="E1537" s="44"/>
      <c r="F1537" s="44"/>
      <c r="G1537" s="44"/>
      <c r="H1537" s="44"/>
      <c r="I1537" s="45"/>
      <c r="J1537" s="45"/>
      <c r="K1537" s="45"/>
    </row>
    <row r="1538" spans="1:11" ht="17.100000000000001" customHeight="1">
      <c r="A1538" s="43"/>
      <c r="B1538" s="44"/>
      <c r="C1538" s="44"/>
      <c r="D1538" s="85"/>
      <c r="E1538" s="44"/>
      <c r="F1538" s="44"/>
      <c r="G1538" s="44"/>
      <c r="H1538" s="44"/>
      <c r="I1538" s="45"/>
      <c r="J1538" s="45"/>
      <c r="K1538" s="45"/>
    </row>
    <row r="1539" spans="1:11" ht="17.100000000000001" customHeight="1">
      <c r="A1539" s="43"/>
      <c r="B1539" s="44"/>
      <c r="C1539" s="44"/>
      <c r="D1539" s="85"/>
      <c r="E1539" s="44"/>
      <c r="F1539" s="44"/>
      <c r="G1539" s="44"/>
      <c r="H1539" s="44"/>
      <c r="I1539" s="45"/>
      <c r="J1539" s="45"/>
      <c r="K1539" s="45"/>
    </row>
    <row r="1540" spans="1:11" ht="17.100000000000001" customHeight="1">
      <c r="A1540" s="43"/>
      <c r="B1540" s="44"/>
      <c r="C1540" s="44"/>
      <c r="D1540" s="85"/>
      <c r="E1540" s="44"/>
      <c r="F1540" s="44"/>
      <c r="G1540" s="44"/>
      <c r="H1540" s="44"/>
      <c r="I1540" s="45"/>
      <c r="J1540" s="45"/>
      <c r="K1540" s="45"/>
    </row>
    <row r="1541" spans="1:11" ht="17.100000000000001" customHeight="1">
      <c r="A1541" s="43"/>
      <c r="B1541" s="44"/>
      <c r="C1541" s="44"/>
      <c r="D1541" s="85"/>
      <c r="E1541" s="44"/>
      <c r="F1541" s="44"/>
      <c r="G1541" s="44"/>
      <c r="H1541" s="44"/>
      <c r="I1541" s="45"/>
      <c r="J1541" s="45"/>
      <c r="K1541" s="45"/>
    </row>
    <row r="1542" spans="1:11" ht="17.100000000000001" customHeight="1">
      <c r="A1542" s="43"/>
      <c r="B1542" s="44"/>
      <c r="C1542" s="44"/>
      <c r="D1542" s="85"/>
      <c r="E1542" s="44"/>
      <c r="F1542" s="44"/>
      <c r="G1542" s="44"/>
      <c r="H1542" s="44"/>
      <c r="I1542" s="45"/>
      <c r="J1542" s="45"/>
      <c r="K1542" s="45"/>
    </row>
    <row r="1543" spans="1:11" ht="17.100000000000001" customHeight="1">
      <c r="A1543" s="43"/>
      <c r="B1543" s="44"/>
      <c r="C1543" s="44"/>
      <c r="D1543" s="85"/>
      <c r="E1543" s="44"/>
      <c r="F1543" s="44"/>
      <c r="G1543" s="44"/>
      <c r="H1543" s="44"/>
      <c r="I1543" s="45"/>
      <c r="J1543" s="45"/>
      <c r="K1543" s="45"/>
    </row>
    <row r="1544" spans="1:11" ht="17.100000000000001" customHeight="1">
      <c r="A1544" s="43"/>
      <c r="B1544" s="44"/>
      <c r="C1544" s="44"/>
      <c r="D1544" s="85"/>
      <c r="E1544" s="44"/>
      <c r="F1544" s="44"/>
      <c r="G1544" s="44"/>
      <c r="H1544" s="44"/>
      <c r="I1544" s="45"/>
      <c r="J1544" s="45"/>
      <c r="K1544" s="45"/>
    </row>
    <row r="1545" spans="1:11" ht="17.100000000000001" customHeight="1">
      <c r="A1545" s="43"/>
      <c r="B1545" s="44"/>
      <c r="C1545" s="44"/>
      <c r="D1545" s="85"/>
      <c r="E1545" s="44"/>
      <c r="F1545" s="44"/>
      <c r="G1545" s="44"/>
      <c r="H1545" s="44"/>
      <c r="I1545" s="45"/>
      <c r="J1545" s="45"/>
      <c r="K1545" s="45"/>
    </row>
    <row r="1546" spans="1:11" ht="17.100000000000001" customHeight="1">
      <c r="A1546" s="43"/>
      <c r="B1546" s="44"/>
      <c r="C1546" s="44"/>
      <c r="D1546" s="85"/>
      <c r="E1546" s="44"/>
      <c r="F1546" s="44"/>
      <c r="G1546" s="44"/>
      <c r="H1546" s="44"/>
      <c r="I1546" s="45"/>
      <c r="J1546" s="45"/>
      <c r="K1546" s="45"/>
    </row>
    <row r="1547" spans="1:11" ht="17.100000000000001" customHeight="1">
      <c r="A1547" s="43"/>
      <c r="B1547" s="44"/>
      <c r="C1547" s="44"/>
      <c r="D1547" s="85"/>
      <c r="E1547" s="44"/>
      <c r="F1547" s="44"/>
      <c r="G1547" s="44"/>
      <c r="H1547" s="44"/>
      <c r="I1547" s="45"/>
      <c r="J1547" s="45"/>
      <c r="K1547" s="45"/>
    </row>
    <row r="1548" spans="1:11" ht="17.100000000000001" customHeight="1">
      <c r="A1548" s="43"/>
      <c r="B1548" s="44"/>
      <c r="C1548" s="44"/>
      <c r="D1548" s="85"/>
      <c r="E1548" s="44"/>
      <c r="F1548" s="44"/>
      <c r="G1548" s="44"/>
      <c r="H1548" s="44"/>
      <c r="I1548" s="45"/>
      <c r="J1548" s="45"/>
      <c r="K1548" s="45"/>
    </row>
    <row r="1549" spans="1:11" ht="17.100000000000001" customHeight="1">
      <c r="A1549" s="43"/>
      <c r="B1549" s="44"/>
      <c r="C1549" s="44"/>
      <c r="D1549" s="85"/>
      <c r="E1549" s="44"/>
      <c r="F1549" s="44"/>
      <c r="G1549" s="44"/>
      <c r="H1549" s="44"/>
      <c r="I1549" s="45"/>
      <c r="J1549" s="45"/>
      <c r="K1549" s="45"/>
    </row>
    <row r="1550" spans="1:11" ht="17.100000000000001" customHeight="1">
      <c r="A1550" s="43"/>
      <c r="B1550" s="44"/>
      <c r="C1550" s="44"/>
      <c r="D1550" s="85"/>
      <c r="E1550" s="44"/>
      <c r="F1550" s="44"/>
      <c r="G1550" s="44"/>
      <c r="H1550" s="44"/>
      <c r="I1550" s="45"/>
      <c r="J1550" s="45"/>
      <c r="K1550" s="45"/>
    </row>
    <row r="1551" spans="1:11" ht="17.100000000000001" customHeight="1">
      <c r="A1551" s="43"/>
      <c r="B1551" s="44"/>
      <c r="C1551" s="44"/>
      <c r="D1551" s="85"/>
      <c r="E1551" s="44"/>
      <c r="F1551" s="44"/>
      <c r="G1551" s="44"/>
      <c r="H1551" s="44"/>
      <c r="I1551" s="45"/>
      <c r="J1551" s="45"/>
      <c r="K1551" s="45"/>
    </row>
    <row r="1552" spans="1:11" ht="17.100000000000001" customHeight="1">
      <c r="A1552" s="43"/>
      <c r="B1552" s="44"/>
      <c r="C1552" s="44"/>
      <c r="D1552" s="85"/>
      <c r="E1552" s="44"/>
      <c r="F1552" s="44"/>
      <c r="G1552" s="44"/>
      <c r="H1552" s="44"/>
      <c r="I1552" s="45"/>
      <c r="J1552" s="45"/>
      <c r="K1552" s="45"/>
    </row>
    <row r="1553" spans="1:11" ht="17.100000000000001" customHeight="1">
      <c r="A1553" s="43"/>
      <c r="B1553" s="44"/>
      <c r="C1553" s="44"/>
      <c r="D1553" s="85"/>
      <c r="E1553" s="44"/>
      <c r="F1553" s="44"/>
      <c r="G1553" s="44"/>
      <c r="H1553" s="44"/>
      <c r="I1553" s="45"/>
      <c r="J1553" s="45"/>
      <c r="K1553" s="45"/>
    </row>
    <row r="1554" spans="1:11" ht="17.100000000000001" customHeight="1">
      <c r="A1554" s="43"/>
      <c r="B1554" s="44"/>
      <c r="C1554" s="44"/>
      <c r="D1554" s="85"/>
      <c r="E1554" s="44"/>
      <c r="F1554" s="44"/>
      <c r="G1554" s="44"/>
      <c r="H1554" s="44"/>
      <c r="I1554" s="45"/>
      <c r="J1554" s="45"/>
      <c r="K1554" s="45"/>
    </row>
    <row r="1555" spans="1:11" ht="17.100000000000001" customHeight="1">
      <c r="A1555" s="43"/>
      <c r="B1555" s="44"/>
      <c r="C1555" s="44"/>
      <c r="D1555" s="85"/>
      <c r="E1555" s="44"/>
      <c r="F1555" s="44"/>
      <c r="G1555" s="44"/>
      <c r="H1555" s="44"/>
      <c r="I1555" s="45"/>
      <c r="J1555" s="45"/>
      <c r="K1555" s="45"/>
    </row>
    <row r="1556" spans="1:11" ht="17.100000000000001" customHeight="1">
      <c r="A1556" s="43"/>
      <c r="B1556" s="44"/>
      <c r="C1556" s="44"/>
      <c r="D1556" s="85"/>
      <c r="E1556" s="44"/>
      <c r="F1556" s="44"/>
      <c r="G1556" s="44"/>
      <c r="H1556" s="44"/>
      <c r="I1556" s="45"/>
      <c r="J1556" s="45"/>
      <c r="K1556" s="45"/>
    </row>
    <row r="1557" spans="1:11" ht="17.100000000000001" customHeight="1">
      <c r="A1557" s="43"/>
      <c r="B1557" s="44"/>
      <c r="C1557" s="44"/>
      <c r="D1557" s="85"/>
      <c r="E1557" s="44"/>
      <c r="F1557" s="44"/>
      <c r="G1557" s="44"/>
      <c r="H1557" s="44"/>
      <c r="I1557" s="45"/>
      <c r="J1557" s="45"/>
      <c r="K1557" s="45"/>
    </row>
    <row r="1558" spans="1:11" ht="17.100000000000001" customHeight="1">
      <c r="A1558" s="43"/>
      <c r="B1558" s="44"/>
      <c r="C1558" s="44"/>
      <c r="D1558" s="85"/>
      <c r="E1558" s="44"/>
      <c r="F1558" s="44"/>
      <c r="G1558" s="44"/>
      <c r="H1558" s="44"/>
      <c r="I1558" s="45"/>
      <c r="J1558" s="45"/>
      <c r="K1558" s="45"/>
    </row>
    <row r="1559" spans="1:11" ht="17.100000000000001" customHeight="1">
      <c r="A1559" s="43"/>
      <c r="B1559" s="44"/>
      <c r="C1559" s="44"/>
      <c r="D1559" s="85"/>
      <c r="E1559" s="44"/>
      <c r="F1559" s="44"/>
      <c r="G1559" s="44"/>
      <c r="H1559" s="44"/>
      <c r="I1559" s="45"/>
      <c r="J1559" s="45"/>
      <c r="K1559" s="45"/>
    </row>
    <row r="1560" spans="1:11" ht="17.100000000000001" customHeight="1">
      <c r="A1560" s="43"/>
      <c r="B1560" s="44"/>
      <c r="C1560" s="44"/>
      <c r="D1560" s="85"/>
      <c r="E1560" s="44"/>
      <c r="F1560" s="44"/>
      <c r="G1560" s="44"/>
      <c r="H1560" s="44"/>
      <c r="I1560" s="45"/>
      <c r="J1560" s="45"/>
      <c r="K1560" s="45"/>
    </row>
    <row r="1561" spans="1:11" ht="17.100000000000001" customHeight="1">
      <c r="A1561" s="43"/>
      <c r="B1561" s="44"/>
      <c r="C1561" s="44"/>
      <c r="D1561" s="85"/>
      <c r="E1561" s="44"/>
      <c r="F1561" s="44"/>
      <c r="G1561" s="44"/>
      <c r="H1561" s="44"/>
      <c r="I1561" s="45"/>
      <c r="J1561" s="45"/>
      <c r="K1561" s="45"/>
    </row>
    <row r="1562" spans="1:11" ht="17.100000000000001" customHeight="1">
      <c r="A1562" s="43"/>
      <c r="B1562" s="44"/>
      <c r="C1562" s="44"/>
      <c r="D1562" s="85"/>
      <c r="E1562" s="44"/>
      <c r="F1562" s="44"/>
      <c r="G1562" s="44"/>
      <c r="H1562" s="44"/>
      <c r="I1562" s="45"/>
      <c r="J1562" s="45"/>
      <c r="K1562" s="45"/>
    </row>
    <row r="1563" spans="1:11" ht="17.100000000000001" customHeight="1">
      <c r="A1563" s="43"/>
      <c r="B1563" s="44"/>
      <c r="C1563" s="44"/>
      <c r="D1563" s="85"/>
      <c r="E1563" s="44"/>
      <c r="F1563" s="44"/>
      <c r="G1563" s="44"/>
      <c r="H1563" s="44"/>
      <c r="I1563" s="45"/>
      <c r="J1563" s="45"/>
      <c r="K1563" s="45"/>
    </row>
    <row r="1564" spans="1:11" ht="17.100000000000001" customHeight="1">
      <c r="A1564" s="43"/>
      <c r="B1564" s="44"/>
      <c r="C1564" s="44"/>
      <c r="D1564" s="85"/>
      <c r="E1564" s="44"/>
      <c r="F1564" s="44"/>
      <c r="G1564" s="44"/>
      <c r="H1564" s="44"/>
      <c r="I1564" s="45"/>
      <c r="J1564" s="45"/>
      <c r="K1564" s="45"/>
    </row>
    <row r="1565" spans="1:11" ht="17.100000000000001" customHeight="1">
      <c r="A1565" s="43"/>
      <c r="B1565" s="44"/>
      <c r="C1565" s="44"/>
      <c r="D1565" s="85"/>
      <c r="E1565" s="44"/>
      <c r="F1565" s="44"/>
      <c r="G1565" s="44"/>
      <c r="H1565" s="44"/>
      <c r="I1565" s="45"/>
      <c r="J1565" s="45"/>
      <c r="K1565" s="45"/>
    </row>
    <row r="1566" spans="1:11" ht="17.100000000000001" customHeight="1">
      <c r="A1566" s="43"/>
      <c r="B1566" s="44"/>
      <c r="C1566" s="44"/>
      <c r="D1566" s="85"/>
      <c r="E1566" s="44"/>
      <c r="F1566" s="44"/>
      <c r="G1566" s="44"/>
      <c r="H1566" s="44"/>
      <c r="I1566" s="45"/>
      <c r="J1566" s="45"/>
      <c r="K1566" s="45"/>
    </row>
    <row r="1567" spans="1:11" ht="17.100000000000001" customHeight="1">
      <c r="A1567" s="43"/>
      <c r="B1567" s="44"/>
      <c r="C1567" s="44"/>
      <c r="D1567" s="85"/>
      <c r="E1567" s="44"/>
      <c r="F1567" s="44"/>
      <c r="G1567" s="44"/>
      <c r="H1567" s="44"/>
      <c r="I1567" s="45"/>
      <c r="J1567" s="45"/>
      <c r="K1567" s="45"/>
    </row>
    <row r="1568" spans="1:11" ht="17.100000000000001" customHeight="1">
      <c r="A1568" s="43"/>
      <c r="B1568" s="44"/>
      <c r="C1568" s="44"/>
      <c r="D1568" s="85"/>
      <c r="E1568" s="44"/>
      <c r="F1568" s="44"/>
      <c r="G1568" s="44"/>
      <c r="H1568" s="44"/>
      <c r="I1568" s="45"/>
      <c r="J1568" s="45"/>
      <c r="K1568" s="45"/>
    </row>
    <row r="1569" spans="1:11" ht="17.100000000000001" customHeight="1">
      <c r="A1569" s="43"/>
      <c r="B1569" s="44"/>
      <c r="C1569" s="44"/>
      <c r="D1569" s="85"/>
      <c r="E1569" s="44"/>
      <c r="F1569" s="44"/>
      <c r="G1569" s="44"/>
      <c r="H1569" s="44"/>
      <c r="I1569" s="45"/>
      <c r="J1569" s="45"/>
      <c r="K1569" s="45"/>
    </row>
    <row r="1570" spans="1:11" ht="17.100000000000001" customHeight="1">
      <c r="A1570" s="43"/>
      <c r="B1570" s="44"/>
      <c r="C1570" s="44"/>
      <c r="D1570" s="85"/>
      <c r="E1570" s="44"/>
      <c r="F1570" s="44"/>
      <c r="G1570" s="44"/>
      <c r="H1570" s="44"/>
      <c r="I1570" s="45"/>
      <c r="J1570" s="45"/>
      <c r="K1570" s="45"/>
    </row>
    <row r="1571" spans="1:11" ht="17.100000000000001" customHeight="1">
      <c r="A1571" s="43"/>
      <c r="B1571" s="44"/>
      <c r="C1571" s="44"/>
      <c r="D1571" s="85"/>
      <c r="E1571" s="44"/>
      <c r="F1571" s="44"/>
      <c r="G1571" s="44"/>
      <c r="H1571" s="44"/>
      <c r="I1571" s="45"/>
      <c r="J1571" s="45"/>
      <c r="K1571" s="45"/>
    </row>
    <row r="1572" spans="1:11" ht="17.100000000000001" customHeight="1">
      <c r="A1572" s="43"/>
      <c r="B1572" s="44"/>
      <c r="C1572" s="44"/>
      <c r="D1572" s="85"/>
      <c r="E1572" s="44"/>
      <c r="F1572" s="44"/>
      <c r="G1572" s="44"/>
      <c r="H1572" s="44"/>
      <c r="I1572" s="45"/>
      <c r="J1572" s="45"/>
      <c r="K1572" s="45"/>
    </row>
    <row r="1573" spans="1:11" ht="17.100000000000001" customHeight="1">
      <c r="A1573" s="43"/>
      <c r="B1573" s="44"/>
      <c r="C1573" s="44"/>
      <c r="D1573" s="85"/>
      <c r="E1573" s="44"/>
      <c r="F1573" s="44"/>
      <c r="G1573" s="44"/>
      <c r="H1573" s="44"/>
      <c r="I1573" s="45"/>
      <c r="J1573" s="45"/>
      <c r="K1573" s="45"/>
    </row>
    <row r="1574" spans="1:11" ht="17.100000000000001" customHeight="1">
      <c r="A1574" s="43"/>
      <c r="B1574" s="44"/>
      <c r="C1574" s="44"/>
      <c r="D1574" s="85"/>
      <c r="E1574" s="44"/>
      <c r="F1574" s="44"/>
      <c r="G1574" s="44"/>
      <c r="H1574" s="44"/>
      <c r="I1574" s="45"/>
      <c r="J1574" s="45"/>
      <c r="K1574" s="45"/>
    </row>
    <row r="1575" spans="1:11" ht="17.100000000000001" customHeight="1">
      <c r="A1575" s="43"/>
      <c r="B1575" s="44"/>
      <c r="C1575" s="44"/>
      <c r="D1575" s="85"/>
      <c r="E1575" s="44"/>
      <c r="F1575" s="44"/>
      <c r="G1575" s="44"/>
      <c r="H1575" s="44"/>
      <c r="I1575" s="45"/>
      <c r="J1575" s="45"/>
      <c r="K1575" s="45"/>
    </row>
    <row r="1576" spans="1:11" ht="17.100000000000001" customHeight="1">
      <c r="A1576" s="43"/>
      <c r="B1576" s="44"/>
      <c r="C1576" s="44"/>
      <c r="D1576" s="85"/>
      <c r="E1576" s="44"/>
      <c r="F1576" s="44"/>
      <c r="G1576" s="44"/>
      <c r="H1576" s="44"/>
      <c r="I1576" s="45"/>
      <c r="J1576" s="45"/>
      <c r="K1576" s="45"/>
    </row>
    <row r="1577" spans="1:11" ht="17.100000000000001" customHeight="1">
      <c r="A1577" s="43"/>
      <c r="B1577" s="44"/>
      <c r="C1577" s="44"/>
      <c r="D1577" s="85"/>
      <c r="E1577" s="44"/>
      <c r="F1577" s="44"/>
      <c r="G1577" s="44"/>
      <c r="H1577" s="44"/>
      <c r="I1577" s="45"/>
      <c r="J1577" s="45"/>
      <c r="K1577" s="45"/>
    </row>
    <row r="1578" spans="1:11" ht="17.100000000000001" customHeight="1">
      <c r="A1578" s="43"/>
      <c r="B1578" s="44"/>
      <c r="C1578" s="44"/>
      <c r="D1578" s="85"/>
      <c r="E1578" s="44"/>
      <c r="F1578" s="44"/>
      <c r="G1578" s="44"/>
      <c r="H1578" s="44"/>
      <c r="I1578" s="45"/>
      <c r="J1578" s="45"/>
      <c r="K1578" s="45"/>
    </row>
    <row r="1579" spans="1:11" ht="17.100000000000001" customHeight="1">
      <c r="A1579" s="43"/>
      <c r="B1579" s="44"/>
      <c r="C1579" s="44"/>
      <c r="D1579" s="85"/>
      <c r="E1579" s="44"/>
      <c r="F1579" s="44"/>
      <c r="G1579" s="44"/>
      <c r="H1579" s="44"/>
      <c r="I1579" s="45"/>
      <c r="J1579" s="45"/>
      <c r="K1579" s="45"/>
    </row>
    <row r="1580" spans="1:11" ht="17.100000000000001" customHeight="1">
      <c r="A1580" s="43"/>
      <c r="B1580" s="44"/>
      <c r="C1580" s="44"/>
      <c r="D1580" s="85"/>
      <c r="E1580" s="44"/>
      <c r="F1580" s="44"/>
      <c r="G1580" s="44"/>
      <c r="H1580" s="44"/>
      <c r="I1580" s="45"/>
      <c r="J1580" s="45"/>
      <c r="K1580" s="45"/>
    </row>
    <row r="1581" spans="1:11" ht="17.100000000000001" customHeight="1">
      <c r="A1581" s="43"/>
      <c r="B1581" s="44"/>
      <c r="C1581" s="44"/>
      <c r="D1581" s="85"/>
      <c r="E1581" s="44"/>
      <c r="F1581" s="44"/>
      <c r="G1581" s="44"/>
      <c r="H1581" s="44"/>
      <c r="I1581" s="45"/>
      <c r="J1581" s="45"/>
      <c r="K1581" s="45"/>
    </row>
    <row r="1582" spans="1:11" ht="17.100000000000001" customHeight="1">
      <c r="A1582" s="43"/>
      <c r="B1582" s="44"/>
      <c r="C1582" s="44"/>
      <c r="D1582" s="85"/>
      <c r="E1582" s="44"/>
      <c r="F1582" s="44"/>
      <c r="G1582" s="44"/>
      <c r="H1582" s="44"/>
      <c r="I1582" s="45"/>
      <c r="J1582" s="45"/>
      <c r="K1582" s="45"/>
    </row>
    <row r="1583" spans="1:11" ht="17.100000000000001" customHeight="1">
      <c r="A1583" s="43"/>
      <c r="B1583" s="44"/>
      <c r="C1583" s="44"/>
      <c r="D1583" s="85"/>
      <c r="E1583" s="44"/>
      <c r="F1583" s="44"/>
      <c r="G1583" s="44"/>
      <c r="H1583" s="44"/>
      <c r="I1583" s="45"/>
      <c r="J1583" s="45"/>
      <c r="K1583" s="45"/>
    </row>
    <row r="1584" spans="1:11" ht="17.100000000000001" customHeight="1">
      <c r="A1584" s="43"/>
      <c r="B1584" s="44"/>
      <c r="C1584" s="44"/>
      <c r="D1584" s="85"/>
      <c r="E1584" s="44"/>
      <c r="F1584" s="44"/>
      <c r="G1584" s="44"/>
      <c r="H1584" s="44"/>
      <c r="I1584" s="45"/>
      <c r="J1584" s="45"/>
      <c r="K1584" s="45"/>
    </row>
    <row r="1585" spans="1:11" ht="17.100000000000001" customHeight="1">
      <c r="A1585" s="43"/>
      <c r="B1585" s="44"/>
      <c r="C1585" s="44"/>
      <c r="D1585" s="85"/>
      <c r="E1585" s="44"/>
      <c r="F1585" s="44"/>
      <c r="G1585" s="44"/>
      <c r="H1585" s="44"/>
      <c r="I1585" s="45"/>
      <c r="J1585" s="45"/>
      <c r="K1585" s="45"/>
    </row>
    <row r="1586" spans="1:11" ht="17.100000000000001" customHeight="1">
      <c r="A1586" s="43"/>
      <c r="B1586" s="44"/>
      <c r="C1586" s="44"/>
      <c r="D1586" s="85"/>
      <c r="E1586" s="44"/>
      <c r="F1586" s="44"/>
      <c r="G1586" s="44"/>
      <c r="H1586" s="44"/>
      <c r="I1586" s="45"/>
      <c r="J1586" s="45"/>
      <c r="K1586" s="45"/>
    </row>
    <row r="1587" spans="1:11" ht="17.100000000000001" customHeight="1">
      <c r="A1587" s="43"/>
      <c r="B1587" s="44"/>
      <c r="C1587" s="44"/>
      <c r="D1587" s="85"/>
      <c r="E1587" s="44"/>
      <c r="F1587" s="44"/>
      <c r="G1587" s="44"/>
      <c r="H1587" s="44"/>
      <c r="I1587" s="45"/>
      <c r="J1587" s="45"/>
      <c r="K1587" s="45"/>
    </row>
    <row r="1588" spans="1:11" ht="17.100000000000001" customHeight="1">
      <c r="A1588" s="43"/>
      <c r="B1588" s="44"/>
      <c r="C1588" s="44"/>
      <c r="D1588" s="85"/>
      <c r="E1588" s="44"/>
      <c r="F1588" s="44"/>
      <c r="G1588" s="44"/>
      <c r="H1588" s="44"/>
      <c r="I1588" s="45"/>
      <c r="J1588" s="45"/>
      <c r="K1588" s="45"/>
    </row>
    <row r="1589" spans="1:11" ht="17.100000000000001" customHeight="1">
      <c r="A1589" s="43"/>
      <c r="B1589" s="44"/>
      <c r="C1589" s="44"/>
      <c r="D1589" s="85"/>
      <c r="E1589" s="44"/>
      <c r="F1589" s="44"/>
      <c r="G1589" s="44"/>
      <c r="H1589" s="44"/>
      <c r="I1589" s="45"/>
      <c r="J1589" s="45"/>
      <c r="K1589" s="45"/>
    </row>
    <row r="1590" spans="1:11" ht="17.100000000000001" customHeight="1">
      <c r="A1590" s="43"/>
      <c r="B1590" s="44"/>
      <c r="C1590" s="44"/>
      <c r="D1590" s="85"/>
      <c r="E1590" s="44"/>
      <c r="F1590" s="44"/>
      <c r="G1590" s="44"/>
      <c r="H1590" s="44"/>
      <c r="I1590" s="45"/>
      <c r="J1590" s="45"/>
      <c r="K1590" s="45"/>
    </row>
    <row r="1591" spans="1:11" ht="17.100000000000001" customHeight="1">
      <c r="A1591" s="43"/>
      <c r="B1591" s="44"/>
      <c r="C1591" s="44"/>
      <c r="D1591" s="85"/>
      <c r="E1591" s="44"/>
      <c r="F1591" s="44"/>
      <c r="G1591" s="44"/>
      <c r="H1591" s="44"/>
      <c r="I1591" s="45"/>
      <c r="J1591" s="45"/>
      <c r="K1591" s="45"/>
    </row>
    <row r="1592" spans="1:11" ht="17.100000000000001" customHeight="1">
      <c r="A1592" s="43"/>
      <c r="B1592" s="44"/>
      <c r="C1592" s="44"/>
      <c r="D1592" s="85"/>
      <c r="E1592" s="44"/>
      <c r="F1592" s="44"/>
      <c r="G1592" s="44"/>
      <c r="H1592" s="44"/>
      <c r="I1592" s="45"/>
      <c r="J1592" s="45"/>
      <c r="K1592" s="45"/>
    </row>
    <row r="1593" spans="1:11" ht="17.100000000000001" customHeight="1">
      <c r="A1593" s="43"/>
      <c r="B1593" s="44"/>
      <c r="C1593" s="44"/>
      <c r="D1593" s="85"/>
      <c r="E1593" s="44"/>
      <c r="F1593" s="44"/>
      <c r="G1593" s="44"/>
      <c r="H1593" s="44"/>
      <c r="I1593" s="45"/>
      <c r="J1593" s="45"/>
      <c r="K1593" s="45"/>
    </row>
    <row r="1594" spans="1:11" ht="17.100000000000001" customHeight="1">
      <c r="A1594" s="43"/>
      <c r="B1594" s="44"/>
      <c r="C1594" s="44"/>
      <c r="D1594" s="85"/>
      <c r="E1594" s="44"/>
      <c r="F1594" s="44"/>
      <c r="G1594" s="44"/>
      <c r="H1594" s="44"/>
      <c r="I1594" s="45"/>
      <c r="J1594" s="45"/>
      <c r="K1594" s="45"/>
    </row>
    <row r="1595" spans="1:11" ht="17.100000000000001" customHeight="1">
      <c r="A1595" s="43"/>
      <c r="B1595" s="44"/>
      <c r="C1595" s="44"/>
      <c r="D1595" s="85"/>
      <c r="E1595" s="44"/>
      <c r="F1595" s="44"/>
      <c r="G1595" s="44"/>
      <c r="H1595" s="44"/>
      <c r="I1595" s="45"/>
      <c r="J1595" s="45"/>
      <c r="K1595" s="45"/>
    </row>
    <row r="1596" spans="1:11" ht="17.100000000000001" customHeight="1">
      <c r="A1596" s="43"/>
      <c r="B1596" s="44"/>
      <c r="C1596" s="44"/>
      <c r="D1596" s="85"/>
      <c r="E1596" s="44"/>
      <c r="F1596" s="44"/>
      <c r="G1596" s="44"/>
      <c r="H1596" s="44"/>
      <c r="I1596" s="45"/>
      <c r="J1596" s="45"/>
      <c r="K1596" s="45"/>
    </row>
    <row r="1597" spans="1:11" ht="17.100000000000001" customHeight="1">
      <c r="A1597" s="43"/>
      <c r="B1597" s="44"/>
      <c r="C1597" s="44"/>
      <c r="D1597" s="85"/>
      <c r="E1597" s="44"/>
      <c r="F1597" s="44"/>
      <c r="G1597" s="44"/>
      <c r="H1597" s="44"/>
      <c r="I1597" s="45"/>
      <c r="J1597" s="45"/>
      <c r="K1597" s="45"/>
    </row>
    <row r="1598" spans="1:11" ht="17.100000000000001" customHeight="1">
      <c r="A1598" s="43"/>
      <c r="B1598" s="44"/>
      <c r="C1598" s="44"/>
      <c r="D1598" s="85"/>
      <c r="E1598" s="44"/>
      <c r="F1598" s="44"/>
      <c r="G1598" s="44"/>
      <c r="H1598" s="44"/>
      <c r="I1598" s="45"/>
      <c r="J1598" s="45"/>
      <c r="K1598" s="45"/>
    </row>
    <row r="1599" spans="1:11" ht="17.100000000000001" customHeight="1">
      <c r="A1599" s="43"/>
      <c r="B1599" s="44"/>
      <c r="C1599" s="44"/>
      <c r="D1599" s="85"/>
      <c r="E1599" s="44"/>
      <c r="F1599" s="44"/>
      <c r="G1599" s="44"/>
      <c r="H1599" s="44"/>
      <c r="I1599" s="45"/>
      <c r="J1599" s="45"/>
      <c r="K1599" s="45"/>
    </row>
    <row r="1600" spans="1:11" ht="17.100000000000001" customHeight="1">
      <c r="A1600" s="43"/>
      <c r="B1600" s="44"/>
      <c r="C1600" s="44"/>
      <c r="D1600" s="85"/>
      <c r="E1600" s="44"/>
      <c r="F1600" s="44"/>
      <c r="G1600" s="44"/>
      <c r="H1600" s="44"/>
      <c r="I1600" s="45"/>
      <c r="J1600" s="45"/>
      <c r="K1600" s="45"/>
    </row>
    <row r="1601" spans="1:11" ht="17.100000000000001" customHeight="1">
      <c r="A1601" s="43"/>
      <c r="B1601" s="44"/>
      <c r="C1601" s="44"/>
      <c r="D1601" s="85"/>
      <c r="E1601" s="44"/>
      <c r="F1601" s="44"/>
      <c r="G1601" s="44"/>
      <c r="H1601" s="44"/>
      <c r="I1601" s="45"/>
      <c r="J1601" s="45"/>
      <c r="K1601" s="45"/>
    </row>
    <row r="1602" spans="1:11" ht="17.100000000000001" customHeight="1">
      <c r="A1602" s="43"/>
      <c r="B1602" s="44"/>
      <c r="C1602" s="44"/>
      <c r="D1602" s="85"/>
      <c r="E1602" s="44"/>
      <c r="F1602" s="44"/>
      <c r="G1602" s="44"/>
      <c r="H1602" s="44"/>
      <c r="I1602" s="45"/>
      <c r="J1602" s="45"/>
      <c r="K1602" s="45"/>
    </row>
    <row r="1603" spans="1:11" ht="17.100000000000001" customHeight="1">
      <c r="A1603" s="43"/>
      <c r="B1603" s="44"/>
      <c r="C1603" s="44"/>
      <c r="D1603" s="85"/>
      <c r="E1603" s="44"/>
      <c r="F1603" s="44"/>
      <c r="G1603" s="44"/>
      <c r="H1603" s="44"/>
      <c r="I1603" s="45"/>
      <c r="J1603" s="45"/>
      <c r="K1603" s="45"/>
    </row>
    <row r="1604" spans="1:11" ht="17.100000000000001" customHeight="1">
      <c r="A1604" s="43"/>
      <c r="B1604" s="44"/>
      <c r="C1604" s="44"/>
      <c r="D1604" s="85"/>
      <c r="E1604" s="44"/>
      <c r="F1604" s="44"/>
      <c r="G1604" s="44"/>
      <c r="H1604" s="44"/>
      <c r="I1604" s="45"/>
      <c r="J1604" s="45"/>
      <c r="K1604" s="45"/>
    </row>
    <row r="1605" spans="1:11" ht="17.100000000000001" customHeight="1">
      <c r="A1605" s="43"/>
      <c r="B1605" s="44"/>
      <c r="C1605" s="44"/>
      <c r="D1605" s="85"/>
      <c r="E1605" s="44"/>
      <c r="F1605" s="44"/>
      <c r="G1605" s="44"/>
      <c r="H1605" s="44"/>
      <c r="I1605" s="45"/>
      <c r="J1605" s="45"/>
      <c r="K1605" s="45"/>
    </row>
    <row r="1606" spans="1:11" ht="17.100000000000001" customHeight="1">
      <c r="A1606" s="43"/>
      <c r="B1606" s="44"/>
      <c r="C1606" s="44"/>
      <c r="D1606" s="85"/>
      <c r="E1606" s="44"/>
      <c r="F1606" s="44"/>
      <c r="G1606" s="44"/>
      <c r="H1606" s="44"/>
      <c r="I1606" s="45"/>
      <c r="J1606" s="45"/>
      <c r="K1606" s="45"/>
    </row>
    <row r="1607" spans="1:11" ht="17.100000000000001" customHeight="1">
      <c r="A1607" s="43"/>
      <c r="B1607" s="44"/>
      <c r="C1607" s="44"/>
      <c r="D1607" s="85"/>
      <c r="E1607" s="44"/>
      <c r="F1607" s="44"/>
      <c r="G1607" s="44"/>
      <c r="H1607" s="44"/>
      <c r="I1607" s="45"/>
      <c r="J1607" s="45"/>
      <c r="K1607" s="45"/>
    </row>
    <row r="1608" spans="1:11" ht="17.100000000000001" customHeight="1">
      <c r="A1608" s="43"/>
      <c r="B1608" s="44"/>
      <c r="C1608" s="44"/>
      <c r="D1608" s="85"/>
      <c r="E1608" s="44"/>
      <c r="F1608" s="44"/>
      <c r="G1608" s="44"/>
      <c r="H1608" s="44"/>
      <c r="I1608" s="45"/>
      <c r="J1608" s="45"/>
      <c r="K1608" s="45"/>
    </row>
    <row r="1609" spans="1:11" ht="17.100000000000001" customHeight="1">
      <c r="A1609" s="43"/>
      <c r="B1609" s="44"/>
      <c r="C1609" s="44"/>
      <c r="D1609" s="85"/>
      <c r="E1609" s="44"/>
      <c r="F1609" s="44"/>
      <c r="G1609" s="44"/>
      <c r="H1609" s="44"/>
      <c r="I1609" s="45"/>
      <c r="J1609" s="45"/>
      <c r="K1609" s="45"/>
    </row>
    <row r="1610" spans="1:11" ht="17.100000000000001" customHeight="1">
      <c r="A1610" s="43"/>
      <c r="B1610" s="44"/>
      <c r="C1610" s="44"/>
      <c r="D1610" s="85"/>
      <c r="E1610" s="44"/>
      <c r="F1610" s="44"/>
      <c r="G1610" s="44"/>
      <c r="H1610" s="44"/>
      <c r="I1610" s="45"/>
      <c r="J1610" s="45"/>
      <c r="K1610" s="45"/>
    </row>
    <row r="1611" spans="1:11" ht="17.100000000000001" customHeight="1">
      <c r="A1611" s="43"/>
      <c r="B1611" s="44"/>
      <c r="C1611" s="44"/>
      <c r="D1611" s="85"/>
      <c r="E1611" s="44"/>
      <c r="F1611" s="44"/>
      <c r="G1611" s="44"/>
      <c r="H1611" s="44"/>
      <c r="I1611" s="45"/>
      <c r="J1611" s="45"/>
      <c r="K1611" s="45"/>
    </row>
    <row r="1612" spans="1:11" ht="17.100000000000001" customHeight="1">
      <c r="A1612" s="43"/>
      <c r="B1612" s="44"/>
      <c r="C1612" s="44"/>
      <c r="D1612" s="85"/>
      <c r="E1612" s="44"/>
      <c r="F1612" s="44"/>
      <c r="G1612" s="44"/>
      <c r="H1612" s="44"/>
      <c r="I1612" s="45"/>
      <c r="J1612" s="45"/>
      <c r="K1612" s="45"/>
    </row>
    <row r="1613" spans="1:11" ht="17.100000000000001" customHeight="1">
      <c r="A1613" s="43"/>
      <c r="B1613" s="44"/>
      <c r="C1613" s="44"/>
      <c r="D1613" s="85"/>
      <c r="E1613" s="44"/>
      <c r="F1613" s="44"/>
      <c r="G1613" s="44"/>
      <c r="H1613" s="44"/>
      <c r="I1613" s="45"/>
      <c r="J1613" s="45"/>
      <c r="K1613" s="45"/>
    </row>
    <row r="1614" spans="1:11" ht="17.100000000000001" customHeight="1">
      <c r="A1614" s="43"/>
      <c r="B1614" s="44"/>
      <c r="C1614" s="44"/>
      <c r="D1614" s="85"/>
      <c r="E1614" s="44"/>
      <c r="F1614" s="44"/>
      <c r="G1614" s="44"/>
      <c r="H1614" s="44"/>
      <c r="I1614" s="45"/>
      <c r="J1614" s="45"/>
      <c r="K1614" s="45"/>
    </row>
    <row r="1615" spans="1:11" ht="17.100000000000001" customHeight="1">
      <c r="A1615" s="43"/>
      <c r="B1615" s="44"/>
      <c r="C1615" s="44"/>
      <c r="D1615" s="85"/>
      <c r="E1615" s="44"/>
      <c r="F1615" s="44"/>
      <c r="G1615" s="44"/>
      <c r="H1615" s="44"/>
      <c r="I1615" s="45"/>
      <c r="J1615" s="45"/>
      <c r="K1615" s="45"/>
    </row>
    <row r="1616" spans="1:11" ht="17.100000000000001" customHeight="1">
      <c r="A1616" s="43"/>
      <c r="B1616" s="44"/>
      <c r="C1616" s="44"/>
      <c r="D1616" s="85"/>
      <c r="E1616" s="44"/>
      <c r="F1616" s="44"/>
      <c r="G1616" s="44"/>
      <c r="H1616" s="44"/>
      <c r="I1616" s="45"/>
      <c r="J1616" s="45"/>
      <c r="K1616" s="45"/>
    </row>
    <row r="1617" spans="1:11" ht="17.100000000000001" customHeight="1">
      <c r="A1617" s="43"/>
      <c r="B1617" s="44"/>
      <c r="C1617" s="44"/>
      <c r="D1617" s="85"/>
      <c r="E1617" s="44"/>
      <c r="F1617" s="44"/>
      <c r="G1617" s="44"/>
      <c r="H1617" s="44"/>
      <c r="I1617" s="45"/>
      <c r="J1617" s="45"/>
      <c r="K1617" s="45"/>
    </row>
    <row r="1618" spans="1:11" ht="17.100000000000001" customHeight="1">
      <c r="A1618" s="43"/>
      <c r="B1618" s="44"/>
      <c r="C1618" s="44"/>
      <c r="D1618" s="85"/>
      <c r="E1618" s="44"/>
      <c r="F1618" s="44"/>
      <c r="G1618" s="44"/>
      <c r="H1618" s="44"/>
      <c r="I1618" s="45"/>
      <c r="J1618" s="45"/>
      <c r="K1618" s="45"/>
    </row>
    <row r="1619" spans="1:11" ht="17.100000000000001" customHeight="1">
      <c r="A1619" s="43"/>
      <c r="B1619" s="44"/>
      <c r="C1619" s="44"/>
      <c r="D1619" s="85"/>
      <c r="E1619" s="44"/>
      <c r="F1619" s="44"/>
      <c r="G1619" s="44"/>
      <c r="H1619" s="44"/>
      <c r="I1619" s="45"/>
      <c r="J1619" s="45"/>
      <c r="K1619" s="45"/>
    </row>
    <row r="1620" spans="1:11" ht="17.100000000000001" customHeight="1">
      <c r="A1620" s="43"/>
      <c r="B1620" s="44"/>
      <c r="C1620" s="44"/>
      <c r="D1620" s="85"/>
      <c r="E1620" s="44"/>
      <c r="F1620" s="44"/>
      <c r="G1620" s="44"/>
      <c r="H1620" s="44"/>
      <c r="I1620" s="45"/>
      <c r="J1620" s="45"/>
      <c r="K1620" s="45"/>
    </row>
    <row r="1621" spans="1:11" ht="17.100000000000001" customHeight="1">
      <c r="A1621" s="43"/>
      <c r="B1621" s="44"/>
      <c r="C1621" s="44"/>
      <c r="D1621" s="85"/>
      <c r="E1621" s="44"/>
      <c r="F1621" s="44"/>
      <c r="G1621" s="44"/>
      <c r="H1621" s="44"/>
      <c r="I1621" s="45"/>
      <c r="J1621" s="45"/>
      <c r="K1621" s="45"/>
    </row>
    <row r="1622" spans="1:11" ht="17.100000000000001" customHeight="1">
      <c r="A1622" s="43"/>
      <c r="B1622" s="44"/>
      <c r="C1622" s="44"/>
      <c r="D1622" s="85"/>
      <c r="E1622" s="44"/>
      <c r="F1622" s="44"/>
      <c r="G1622" s="44"/>
      <c r="H1622" s="44"/>
      <c r="I1622" s="45"/>
      <c r="J1622" s="45"/>
      <c r="K1622" s="45"/>
    </row>
    <row r="1623" spans="1:11" ht="17.100000000000001" customHeight="1">
      <c r="A1623" s="43"/>
      <c r="B1623" s="44"/>
      <c r="C1623" s="44"/>
      <c r="D1623" s="85"/>
      <c r="E1623" s="44"/>
      <c r="F1623" s="44"/>
      <c r="G1623" s="44"/>
      <c r="H1623" s="44"/>
      <c r="I1623" s="45"/>
      <c r="J1623" s="45"/>
      <c r="K1623" s="45"/>
    </row>
    <row r="1624" spans="1:11" ht="17.100000000000001" customHeight="1">
      <c r="A1624" s="43"/>
      <c r="B1624" s="44"/>
      <c r="C1624" s="44"/>
      <c r="D1624" s="85"/>
      <c r="E1624" s="44"/>
      <c r="F1624" s="44"/>
      <c r="G1624" s="44"/>
      <c r="H1624" s="44"/>
      <c r="I1624" s="45"/>
      <c r="J1624" s="45"/>
      <c r="K1624" s="45"/>
    </row>
    <row r="1625" spans="1:11" ht="17.100000000000001" customHeight="1">
      <c r="A1625" s="43"/>
      <c r="B1625" s="44"/>
      <c r="C1625" s="44"/>
      <c r="D1625" s="85"/>
      <c r="E1625" s="44"/>
      <c r="F1625" s="44"/>
      <c r="G1625" s="44"/>
      <c r="H1625" s="44"/>
      <c r="I1625" s="45"/>
      <c r="J1625" s="45"/>
      <c r="K1625" s="45"/>
    </row>
    <row r="1626" spans="1:11" ht="17.100000000000001" customHeight="1">
      <c r="A1626" s="43"/>
      <c r="B1626" s="44"/>
      <c r="C1626" s="44"/>
      <c r="D1626" s="85"/>
      <c r="E1626" s="44"/>
      <c r="F1626" s="44"/>
      <c r="G1626" s="44"/>
      <c r="H1626" s="44"/>
      <c r="I1626" s="45"/>
      <c r="J1626" s="45"/>
      <c r="K1626" s="45"/>
    </row>
    <row r="1627" spans="1:11" ht="17.100000000000001" customHeight="1">
      <c r="A1627" s="43"/>
      <c r="B1627" s="44"/>
      <c r="C1627" s="44"/>
      <c r="D1627" s="85"/>
      <c r="E1627" s="44"/>
      <c r="F1627" s="44"/>
      <c r="G1627" s="44"/>
      <c r="H1627" s="44"/>
      <c r="I1627" s="45"/>
      <c r="J1627" s="45"/>
      <c r="K1627" s="45"/>
    </row>
    <row r="1628" spans="1:11" ht="17.100000000000001" customHeight="1">
      <c r="A1628" s="43"/>
      <c r="B1628" s="44"/>
      <c r="C1628" s="44"/>
      <c r="D1628" s="85"/>
      <c r="E1628" s="44"/>
      <c r="F1628" s="44"/>
      <c r="G1628" s="44"/>
      <c r="H1628" s="44"/>
      <c r="I1628" s="45"/>
      <c r="J1628" s="45"/>
      <c r="K1628" s="45"/>
    </row>
    <row r="1629" spans="1:11" ht="17.100000000000001" customHeight="1">
      <c r="A1629" s="43"/>
      <c r="B1629" s="44"/>
      <c r="C1629" s="44"/>
      <c r="D1629" s="85"/>
      <c r="E1629" s="44"/>
      <c r="F1629" s="44"/>
      <c r="G1629" s="44"/>
      <c r="H1629" s="44"/>
      <c r="I1629" s="45"/>
      <c r="J1629" s="45"/>
      <c r="K1629" s="45"/>
    </row>
    <row r="1630" spans="1:11" ht="17.100000000000001" customHeight="1">
      <c r="A1630" s="43"/>
      <c r="B1630" s="44"/>
      <c r="C1630" s="44"/>
      <c r="D1630" s="85"/>
      <c r="E1630" s="44"/>
      <c r="F1630" s="44"/>
      <c r="G1630" s="44"/>
      <c r="H1630" s="44"/>
      <c r="I1630" s="45"/>
      <c r="J1630" s="45"/>
      <c r="K1630" s="45"/>
    </row>
    <row r="1631" spans="1:11" ht="17.100000000000001" customHeight="1">
      <c r="A1631" s="43"/>
      <c r="B1631" s="44"/>
      <c r="C1631" s="44"/>
      <c r="D1631" s="85"/>
      <c r="E1631" s="44"/>
      <c r="F1631" s="44"/>
      <c r="G1631" s="44"/>
      <c r="H1631" s="44"/>
      <c r="I1631" s="45"/>
      <c r="J1631" s="45"/>
      <c r="K1631" s="45"/>
    </row>
    <row r="1632" spans="1:11" ht="17.100000000000001" customHeight="1">
      <c r="A1632" s="43"/>
      <c r="B1632" s="44"/>
      <c r="C1632" s="44"/>
      <c r="D1632" s="85"/>
      <c r="E1632" s="44"/>
      <c r="F1632" s="44"/>
      <c r="G1632" s="44"/>
      <c r="H1632" s="44"/>
      <c r="I1632" s="45"/>
      <c r="J1632" s="45"/>
      <c r="K1632" s="45"/>
    </row>
    <row r="1633" spans="1:11" ht="17.100000000000001" customHeight="1">
      <c r="A1633" s="43"/>
      <c r="B1633" s="44"/>
      <c r="C1633" s="44"/>
      <c r="D1633" s="85"/>
      <c r="E1633" s="44"/>
      <c r="F1633" s="44"/>
      <c r="G1633" s="44"/>
      <c r="H1633" s="44"/>
      <c r="I1633" s="45"/>
      <c r="J1633" s="45"/>
      <c r="K1633" s="45"/>
    </row>
    <row r="1634" spans="1:11" ht="17.100000000000001" customHeight="1">
      <c r="A1634" s="43"/>
      <c r="B1634" s="44"/>
      <c r="C1634" s="44"/>
      <c r="D1634" s="85"/>
      <c r="E1634" s="44"/>
      <c r="F1634" s="44"/>
      <c r="G1634" s="44"/>
      <c r="H1634" s="44"/>
      <c r="I1634" s="45"/>
      <c r="J1634" s="45"/>
      <c r="K1634" s="45"/>
    </row>
    <row r="1635" spans="1:11" ht="17.100000000000001" customHeight="1">
      <c r="A1635" s="43"/>
      <c r="B1635" s="44"/>
      <c r="C1635" s="44"/>
      <c r="D1635" s="85"/>
      <c r="E1635" s="44"/>
      <c r="F1635" s="44"/>
      <c r="G1635" s="44"/>
      <c r="H1635" s="44"/>
      <c r="I1635" s="45"/>
      <c r="J1635" s="45"/>
      <c r="K1635" s="45"/>
    </row>
    <row r="1636" spans="1:11" ht="17.100000000000001" customHeight="1">
      <c r="A1636" s="43"/>
      <c r="B1636" s="44"/>
      <c r="C1636" s="44"/>
      <c r="D1636" s="85"/>
      <c r="E1636" s="44"/>
      <c r="F1636" s="44"/>
      <c r="G1636" s="44"/>
      <c r="H1636" s="44"/>
      <c r="I1636" s="45"/>
      <c r="J1636" s="45"/>
      <c r="K1636" s="45"/>
    </row>
    <row r="1637" spans="1:11" ht="17.100000000000001" customHeight="1">
      <c r="A1637" s="43"/>
      <c r="B1637" s="44"/>
      <c r="C1637" s="44"/>
      <c r="D1637" s="85"/>
      <c r="E1637" s="44"/>
      <c r="F1637" s="44"/>
      <c r="G1637" s="44"/>
      <c r="H1637" s="44"/>
      <c r="I1637" s="45"/>
      <c r="J1637" s="45"/>
      <c r="K1637" s="45"/>
    </row>
    <row r="1638" spans="1:11" ht="17.100000000000001" customHeight="1">
      <c r="A1638" s="43"/>
      <c r="B1638" s="44"/>
      <c r="C1638" s="44"/>
      <c r="D1638" s="85"/>
      <c r="E1638" s="44"/>
      <c r="F1638" s="44"/>
      <c r="G1638" s="44"/>
      <c r="H1638" s="44"/>
      <c r="I1638" s="45"/>
      <c r="J1638" s="45"/>
      <c r="K1638" s="45"/>
    </row>
    <row r="1639" spans="1:11" ht="17.100000000000001" customHeight="1">
      <c r="A1639" s="43"/>
      <c r="B1639" s="44"/>
      <c r="C1639" s="44"/>
      <c r="D1639" s="85"/>
      <c r="E1639" s="44"/>
      <c r="F1639" s="44"/>
      <c r="G1639" s="44"/>
      <c r="H1639" s="44"/>
      <c r="I1639" s="45"/>
      <c r="J1639" s="45"/>
      <c r="K1639" s="45"/>
    </row>
    <row r="1640" spans="1:11" ht="17.100000000000001" customHeight="1">
      <c r="A1640" s="43"/>
      <c r="B1640" s="44"/>
      <c r="C1640" s="44"/>
      <c r="D1640" s="85"/>
      <c r="E1640" s="44"/>
      <c r="F1640" s="44"/>
      <c r="G1640" s="44"/>
      <c r="H1640" s="44"/>
      <c r="I1640" s="45"/>
      <c r="J1640" s="45"/>
      <c r="K1640" s="45"/>
    </row>
    <row r="1641" spans="1:11" ht="17.100000000000001" customHeight="1">
      <c r="A1641" s="43"/>
      <c r="B1641" s="44"/>
      <c r="C1641" s="44"/>
      <c r="D1641" s="85"/>
      <c r="E1641" s="44"/>
      <c r="F1641" s="44"/>
      <c r="G1641" s="44"/>
      <c r="H1641" s="44"/>
      <c r="I1641" s="45"/>
      <c r="J1641" s="45"/>
      <c r="K1641" s="45"/>
    </row>
    <row r="1642" spans="1:11">
      <c r="A1642" s="43"/>
      <c r="B1642" s="44"/>
      <c r="C1642" s="44"/>
      <c r="D1642" s="85"/>
      <c r="E1642" s="44"/>
      <c r="F1642" s="44"/>
      <c r="G1642" s="44"/>
      <c r="H1642" s="44"/>
      <c r="I1642" s="45"/>
      <c r="J1642" s="45"/>
      <c r="K1642" s="45"/>
    </row>
    <row r="1643" spans="1:11">
      <c r="A1643" s="43"/>
      <c r="B1643" s="44"/>
      <c r="C1643" s="44"/>
      <c r="D1643" s="85"/>
      <c r="E1643" s="44"/>
      <c r="F1643" s="44"/>
      <c r="G1643" s="44"/>
      <c r="H1643" s="44"/>
      <c r="I1643" s="45"/>
      <c r="J1643" s="45"/>
      <c r="K1643" s="45"/>
    </row>
    <row r="1644" spans="1:11">
      <c r="A1644" s="43"/>
      <c r="B1644" s="44"/>
      <c r="C1644" s="44"/>
      <c r="D1644" s="85"/>
      <c r="E1644" s="44"/>
      <c r="F1644" s="44"/>
      <c r="G1644" s="44"/>
      <c r="H1644" s="44"/>
      <c r="I1644" s="45"/>
      <c r="J1644" s="45"/>
      <c r="K1644" s="45"/>
    </row>
    <row r="1645" spans="1:11">
      <c r="A1645" s="43"/>
      <c r="B1645" s="44"/>
      <c r="C1645" s="44"/>
      <c r="D1645" s="85"/>
      <c r="E1645" s="44"/>
      <c r="F1645" s="44"/>
      <c r="G1645" s="44"/>
      <c r="H1645" s="44"/>
      <c r="I1645" s="45"/>
      <c r="J1645" s="45"/>
      <c r="K1645" s="45"/>
    </row>
    <row r="1646" spans="1:11">
      <c r="A1646" s="43"/>
      <c r="B1646" s="44"/>
      <c r="C1646" s="44"/>
      <c r="D1646" s="85"/>
      <c r="E1646" s="44"/>
      <c r="F1646" s="44"/>
      <c r="G1646" s="44"/>
      <c r="H1646" s="44"/>
      <c r="I1646" s="45"/>
      <c r="J1646" s="45"/>
      <c r="K1646" s="45"/>
    </row>
    <row r="1647" spans="1:11">
      <c r="A1647" s="43"/>
      <c r="B1647" s="44"/>
      <c r="C1647" s="44"/>
      <c r="D1647" s="85"/>
      <c r="E1647" s="44"/>
      <c r="F1647" s="44"/>
      <c r="G1647" s="44"/>
      <c r="H1647" s="44"/>
      <c r="I1647" s="45"/>
      <c r="J1647" s="45"/>
      <c r="K1647" s="45"/>
    </row>
    <row r="1648" spans="1:11">
      <c r="A1648" s="43"/>
      <c r="B1648" s="44"/>
      <c r="C1648" s="44"/>
      <c r="D1648" s="85"/>
      <c r="E1648" s="44"/>
      <c r="F1648" s="44"/>
      <c r="G1648" s="44"/>
      <c r="H1648" s="44"/>
      <c r="I1648" s="45"/>
      <c r="J1648" s="45"/>
      <c r="K1648" s="45"/>
    </row>
    <row r="1649" spans="1:11">
      <c r="A1649" s="43"/>
      <c r="B1649" s="44"/>
      <c r="C1649" s="44"/>
      <c r="D1649" s="85"/>
      <c r="E1649" s="44"/>
      <c r="F1649" s="44"/>
      <c r="G1649" s="44"/>
      <c r="H1649" s="44"/>
      <c r="I1649" s="45"/>
      <c r="J1649" s="45"/>
      <c r="K1649" s="45"/>
    </row>
    <row r="1650" spans="1:11">
      <c r="A1650" s="43"/>
      <c r="B1650" s="44"/>
      <c r="C1650" s="44"/>
      <c r="D1650" s="85"/>
      <c r="E1650" s="44"/>
      <c r="F1650" s="44"/>
      <c r="G1650" s="44"/>
      <c r="H1650" s="44"/>
      <c r="I1650" s="45"/>
      <c r="J1650" s="45"/>
      <c r="K1650" s="45"/>
    </row>
    <row r="1651" spans="1:11">
      <c r="A1651" s="43"/>
      <c r="B1651" s="44"/>
      <c r="C1651" s="44"/>
      <c r="D1651" s="85"/>
      <c r="E1651" s="44"/>
      <c r="F1651" s="44"/>
      <c r="G1651" s="44"/>
      <c r="H1651" s="44"/>
      <c r="I1651" s="45"/>
      <c r="J1651" s="45"/>
      <c r="K1651" s="45"/>
    </row>
    <row r="1652" spans="1:11">
      <c r="A1652" s="43"/>
      <c r="B1652" s="44"/>
      <c r="C1652" s="44"/>
      <c r="D1652" s="85"/>
      <c r="E1652" s="44"/>
      <c r="F1652" s="44"/>
      <c r="G1652" s="44"/>
      <c r="H1652" s="44"/>
      <c r="I1652" s="45"/>
      <c r="J1652" s="45"/>
      <c r="K1652" s="45"/>
    </row>
    <row r="1653" spans="1:11">
      <c r="A1653" s="43"/>
      <c r="B1653" s="44"/>
      <c r="C1653" s="44"/>
      <c r="D1653" s="85"/>
      <c r="E1653" s="44"/>
      <c r="F1653" s="44"/>
      <c r="G1653" s="44"/>
      <c r="H1653" s="44"/>
      <c r="I1653" s="45"/>
      <c r="J1653" s="45"/>
      <c r="K1653" s="45"/>
    </row>
    <row r="1654" spans="1:11">
      <c r="A1654" s="43"/>
      <c r="B1654" s="44"/>
      <c r="C1654" s="44"/>
      <c r="D1654" s="85"/>
      <c r="E1654" s="44"/>
      <c r="F1654" s="44"/>
      <c r="G1654" s="44"/>
      <c r="H1654" s="44"/>
      <c r="I1654" s="45"/>
      <c r="J1654" s="45"/>
      <c r="K1654" s="45"/>
    </row>
    <row r="1655" spans="1:11">
      <c r="A1655" s="43"/>
      <c r="B1655" s="44"/>
      <c r="C1655" s="44"/>
      <c r="D1655" s="85"/>
      <c r="E1655" s="44"/>
      <c r="F1655" s="44"/>
      <c r="G1655" s="44"/>
      <c r="H1655" s="44"/>
      <c r="I1655" s="45"/>
      <c r="J1655" s="45"/>
      <c r="K1655" s="45"/>
    </row>
    <row r="1656" spans="1:11">
      <c r="A1656" s="43"/>
      <c r="B1656" s="44"/>
      <c r="C1656" s="44"/>
      <c r="D1656" s="85"/>
      <c r="E1656" s="44"/>
      <c r="F1656" s="44"/>
      <c r="G1656" s="44"/>
      <c r="H1656" s="44"/>
      <c r="I1656" s="45"/>
      <c r="J1656" s="45"/>
      <c r="K1656" s="45"/>
    </row>
    <row r="1657" spans="1:11">
      <c r="A1657" s="43"/>
      <c r="B1657" s="44"/>
      <c r="C1657" s="44"/>
      <c r="D1657" s="85"/>
      <c r="E1657" s="44"/>
      <c r="F1657" s="44"/>
      <c r="G1657" s="44"/>
      <c r="H1657" s="44"/>
      <c r="I1657" s="45"/>
      <c r="J1657" s="45"/>
      <c r="K1657" s="45"/>
    </row>
    <row r="1658" spans="1:11">
      <c r="A1658" s="43"/>
      <c r="B1658" s="44"/>
      <c r="C1658" s="44"/>
      <c r="D1658" s="85"/>
      <c r="E1658" s="44"/>
      <c r="F1658" s="44"/>
      <c r="G1658" s="44"/>
      <c r="H1658" s="44"/>
      <c r="I1658" s="45"/>
      <c r="J1658" s="45"/>
      <c r="K1658" s="45"/>
    </row>
    <row r="1659" spans="1:11">
      <c r="A1659" s="43"/>
      <c r="B1659" s="44"/>
      <c r="C1659" s="44"/>
      <c r="D1659" s="85"/>
      <c r="E1659" s="44"/>
      <c r="F1659" s="44"/>
      <c r="G1659" s="44"/>
      <c r="H1659" s="44"/>
      <c r="I1659" s="45"/>
      <c r="J1659" s="45"/>
      <c r="K1659" s="45"/>
    </row>
    <row r="1660" spans="1:11">
      <c r="A1660" s="43"/>
      <c r="B1660" s="44"/>
      <c r="C1660" s="44"/>
      <c r="D1660" s="85"/>
      <c r="E1660" s="44"/>
      <c r="F1660" s="44"/>
      <c r="G1660" s="44"/>
      <c r="H1660" s="44"/>
      <c r="I1660" s="45"/>
      <c r="J1660" s="45"/>
      <c r="K1660" s="45"/>
    </row>
    <row r="1661" spans="1:11">
      <c r="A1661" s="43"/>
      <c r="B1661" s="44"/>
      <c r="C1661" s="44"/>
      <c r="D1661" s="85"/>
      <c r="E1661" s="44"/>
      <c r="F1661" s="44"/>
      <c r="G1661" s="44"/>
      <c r="H1661" s="44"/>
      <c r="I1661" s="45"/>
      <c r="J1661" s="45"/>
      <c r="K1661" s="45"/>
    </row>
    <row r="1662" spans="1:11">
      <c r="A1662" s="43"/>
      <c r="B1662" s="44"/>
      <c r="C1662" s="44"/>
      <c r="D1662" s="85"/>
      <c r="E1662" s="44"/>
      <c r="F1662" s="44"/>
      <c r="G1662" s="44"/>
      <c r="H1662" s="44"/>
      <c r="I1662" s="45"/>
      <c r="J1662" s="45"/>
      <c r="K1662" s="45"/>
    </row>
    <row r="1663" spans="1:11">
      <c r="A1663" s="43"/>
      <c r="B1663" s="44"/>
      <c r="C1663" s="44"/>
      <c r="D1663" s="85"/>
      <c r="E1663" s="44"/>
      <c r="F1663" s="44"/>
      <c r="G1663" s="44"/>
      <c r="H1663" s="44"/>
      <c r="I1663" s="45"/>
      <c r="J1663" s="45"/>
      <c r="K1663" s="45"/>
    </row>
    <row r="1664" spans="1:11">
      <c r="A1664" s="43"/>
      <c r="B1664" s="44"/>
      <c r="C1664" s="44"/>
      <c r="D1664" s="85"/>
      <c r="E1664" s="44"/>
      <c r="F1664" s="44"/>
      <c r="G1664" s="44"/>
      <c r="H1664" s="44"/>
      <c r="I1664" s="45"/>
      <c r="J1664" s="45"/>
      <c r="K1664" s="45"/>
    </row>
    <row r="1665" spans="1:11">
      <c r="A1665" s="43"/>
      <c r="B1665" s="44"/>
      <c r="C1665" s="44"/>
      <c r="D1665" s="85"/>
      <c r="E1665" s="44"/>
      <c r="F1665" s="44"/>
      <c r="G1665" s="44"/>
      <c r="H1665" s="44"/>
      <c r="I1665" s="45"/>
      <c r="J1665" s="45"/>
      <c r="K1665" s="45"/>
    </row>
    <row r="1666" spans="1:11">
      <c r="A1666" s="43"/>
      <c r="B1666" s="44"/>
      <c r="C1666" s="44"/>
      <c r="D1666" s="85"/>
      <c r="E1666" s="44"/>
      <c r="F1666" s="44"/>
      <c r="G1666" s="44"/>
      <c r="H1666" s="44"/>
      <c r="I1666" s="45"/>
      <c r="J1666" s="45"/>
      <c r="K1666" s="45"/>
    </row>
    <row r="1667" spans="1:11">
      <c r="A1667" s="43"/>
      <c r="B1667" s="44"/>
      <c r="C1667" s="44"/>
      <c r="D1667" s="85"/>
      <c r="E1667" s="44"/>
      <c r="F1667" s="44"/>
      <c r="G1667" s="44"/>
      <c r="H1667" s="44"/>
      <c r="I1667" s="45"/>
      <c r="J1667" s="45"/>
      <c r="K1667" s="45"/>
    </row>
    <row r="1668" spans="1:11">
      <c r="A1668" s="43"/>
      <c r="B1668" s="44"/>
      <c r="C1668" s="44"/>
      <c r="D1668" s="85"/>
      <c r="E1668" s="44"/>
      <c r="F1668" s="44"/>
      <c r="G1668" s="44"/>
      <c r="H1668" s="44"/>
      <c r="I1668" s="45"/>
      <c r="J1668" s="45"/>
      <c r="K1668" s="45"/>
    </row>
    <row r="1669" spans="1:11">
      <c r="A1669" s="43"/>
      <c r="B1669" s="44"/>
      <c r="C1669" s="44"/>
      <c r="D1669" s="85"/>
      <c r="E1669" s="44"/>
      <c r="F1669" s="44"/>
      <c r="G1669" s="44"/>
      <c r="H1669" s="44"/>
      <c r="I1669" s="45"/>
      <c r="J1669" s="45"/>
      <c r="K1669" s="45"/>
    </row>
    <row r="1670" spans="1:11">
      <c r="A1670" s="43"/>
      <c r="B1670" s="44"/>
      <c r="C1670" s="44"/>
      <c r="D1670" s="85"/>
      <c r="E1670" s="44"/>
      <c r="F1670" s="44"/>
      <c r="G1670" s="44"/>
      <c r="H1670" s="44"/>
      <c r="I1670" s="45"/>
      <c r="J1670" s="45"/>
      <c r="K1670" s="45"/>
    </row>
    <row r="1671" spans="1:11">
      <c r="A1671" s="43"/>
      <c r="B1671" s="44"/>
      <c r="C1671" s="44"/>
      <c r="D1671" s="85"/>
      <c r="E1671" s="44"/>
      <c r="F1671" s="44"/>
      <c r="G1671" s="44"/>
      <c r="H1671" s="44"/>
      <c r="I1671" s="45"/>
      <c r="J1671" s="45"/>
      <c r="K1671" s="45"/>
    </row>
    <row r="1672" spans="1:11">
      <c r="A1672" s="43"/>
      <c r="B1672" s="44"/>
      <c r="C1672" s="44"/>
      <c r="D1672" s="85"/>
      <c r="E1672" s="44"/>
      <c r="F1672" s="44"/>
      <c r="G1672" s="44"/>
      <c r="H1672" s="44"/>
      <c r="I1672" s="45"/>
      <c r="J1672" s="45"/>
      <c r="K1672" s="45"/>
    </row>
    <row r="1673" spans="1:11">
      <c r="A1673" s="43"/>
      <c r="B1673" s="44"/>
      <c r="C1673" s="44"/>
      <c r="D1673" s="85"/>
      <c r="E1673" s="44"/>
      <c r="F1673" s="44"/>
      <c r="G1673" s="44"/>
      <c r="H1673" s="44"/>
      <c r="I1673" s="45"/>
      <c r="J1673" s="45"/>
      <c r="K1673" s="45"/>
    </row>
    <row r="1674" spans="1:11">
      <c r="A1674" s="43"/>
      <c r="B1674" s="44"/>
      <c r="C1674" s="44"/>
      <c r="D1674" s="85"/>
      <c r="E1674" s="44"/>
      <c r="F1674" s="44"/>
      <c r="G1674" s="44"/>
      <c r="H1674" s="44"/>
      <c r="I1674" s="45"/>
      <c r="J1674" s="45"/>
      <c r="K1674" s="45"/>
    </row>
    <row r="1675" spans="1:11">
      <c r="A1675" s="43"/>
      <c r="B1675" s="44"/>
      <c r="C1675" s="44"/>
      <c r="D1675" s="85"/>
      <c r="E1675" s="44"/>
      <c r="F1675" s="44"/>
      <c r="G1675" s="44"/>
      <c r="H1675" s="44"/>
      <c r="I1675" s="45"/>
      <c r="J1675" s="45"/>
      <c r="K1675" s="45"/>
    </row>
    <row r="1676" spans="1:11">
      <c r="A1676" s="43"/>
      <c r="B1676" s="44"/>
      <c r="C1676" s="44"/>
      <c r="D1676" s="85"/>
      <c r="E1676" s="44"/>
      <c r="F1676" s="44"/>
      <c r="G1676" s="44"/>
      <c r="H1676" s="44"/>
      <c r="I1676" s="45"/>
      <c r="J1676" s="45"/>
      <c r="K1676" s="45"/>
    </row>
    <row r="1677" spans="1:11">
      <c r="A1677" s="43"/>
      <c r="B1677" s="44"/>
      <c r="C1677" s="44"/>
      <c r="D1677" s="85"/>
      <c r="E1677" s="44"/>
      <c r="F1677" s="44"/>
      <c r="G1677" s="44"/>
      <c r="H1677" s="44"/>
      <c r="I1677" s="45"/>
      <c r="J1677" s="45"/>
      <c r="K1677" s="45"/>
    </row>
    <row r="1678" spans="1:11">
      <c r="A1678" s="43"/>
      <c r="B1678" s="44"/>
      <c r="C1678" s="44"/>
      <c r="D1678" s="85"/>
      <c r="E1678" s="44"/>
      <c r="F1678" s="44"/>
      <c r="G1678" s="44"/>
      <c r="H1678" s="44"/>
      <c r="I1678" s="45"/>
      <c r="J1678" s="45"/>
      <c r="K1678" s="45"/>
    </row>
    <row r="1679" spans="1:11">
      <c r="A1679" s="43"/>
      <c r="B1679" s="44"/>
      <c r="C1679" s="44"/>
      <c r="D1679" s="85"/>
      <c r="E1679" s="44"/>
      <c r="F1679" s="44"/>
      <c r="G1679" s="44"/>
      <c r="H1679" s="44"/>
      <c r="I1679" s="45"/>
      <c r="J1679" s="45"/>
      <c r="K1679" s="45"/>
    </row>
    <row r="1680" spans="1:11">
      <c r="A1680" s="43"/>
      <c r="B1680" s="44"/>
      <c r="C1680" s="44"/>
      <c r="D1680" s="85"/>
      <c r="E1680" s="44"/>
      <c r="F1680" s="44"/>
      <c r="G1680" s="44"/>
      <c r="H1680" s="44"/>
      <c r="I1680" s="45"/>
      <c r="J1680" s="45"/>
      <c r="K1680" s="45"/>
    </row>
    <row r="1681" spans="1:11">
      <c r="A1681" s="43"/>
      <c r="B1681" s="44"/>
      <c r="C1681" s="44"/>
      <c r="D1681" s="85"/>
      <c r="E1681" s="44"/>
      <c r="F1681" s="44"/>
      <c r="G1681" s="44"/>
      <c r="H1681" s="44"/>
      <c r="I1681" s="45"/>
      <c r="J1681" s="45"/>
      <c r="K1681" s="45"/>
    </row>
    <row r="1682" spans="1:11">
      <c r="A1682" s="43"/>
      <c r="B1682" s="44"/>
      <c r="C1682" s="44"/>
      <c r="D1682" s="85"/>
      <c r="E1682" s="44"/>
      <c r="F1682" s="44"/>
      <c r="G1682" s="44"/>
      <c r="H1682" s="44"/>
      <c r="I1682" s="45"/>
      <c r="J1682" s="45"/>
      <c r="K1682" s="45"/>
    </row>
    <row r="1683" spans="1:11">
      <c r="A1683" s="43"/>
      <c r="B1683" s="44"/>
      <c r="C1683" s="44"/>
      <c r="D1683" s="85"/>
      <c r="E1683" s="44"/>
      <c r="F1683" s="44"/>
      <c r="G1683" s="44"/>
      <c r="H1683" s="44"/>
      <c r="I1683" s="45"/>
      <c r="J1683" s="45"/>
      <c r="K1683" s="45"/>
    </row>
    <row r="1684" spans="1:11">
      <c r="A1684" s="43"/>
      <c r="B1684" s="44"/>
      <c r="C1684" s="44"/>
      <c r="D1684" s="85"/>
      <c r="E1684" s="44"/>
      <c r="F1684" s="44"/>
      <c r="G1684" s="44"/>
      <c r="H1684" s="44"/>
      <c r="I1684" s="45"/>
      <c r="J1684" s="45"/>
      <c r="K1684" s="45"/>
    </row>
    <row r="1685" spans="1:11">
      <c r="A1685" s="43"/>
      <c r="B1685" s="44"/>
      <c r="C1685" s="44"/>
      <c r="D1685" s="85"/>
      <c r="E1685" s="44"/>
      <c r="F1685" s="44"/>
      <c r="G1685" s="44"/>
      <c r="H1685" s="44"/>
      <c r="I1685" s="45"/>
      <c r="J1685" s="45"/>
      <c r="K1685" s="45"/>
    </row>
    <row r="1686" spans="1:11">
      <c r="A1686" s="43"/>
      <c r="B1686" s="44"/>
      <c r="C1686" s="44"/>
      <c r="D1686" s="85"/>
      <c r="E1686" s="44"/>
      <c r="F1686" s="44"/>
      <c r="G1686" s="44"/>
      <c r="H1686" s="44"/>
      <c r="I1686" s="45"/>
      <c r="J1686" s="45"/>
      <c r="K1686" s="45"/>
    </row>
    <row r="1687" spans="1:11">
      <c r="A1687" s="43"/>
      <c r="B1687" s="44"/>
      <c r="C1687" s="44"/>
      <c r="D1687" s="85"/>
      <c r="E1687" s="44"/>
      <c r="F1687" s="44"/>
      <c r="G1687" s="44"/>
      <c r="H1687" s="44"/>
      <c r="I1687" s="45"/>
      <c r="J1687" s="45"/>
      <c r="K1687" s="45"/>
    </row>
    <row r="1688" spans="1:11">
      <c r="A1688" s="43"/>
      <c r="B1688" s="44"/>
      <c r="C1688" s="44"/>
      <c r="D1688" s="85"/>
      <c r="E1688" s="44"/>
      <c r="F1688" s="44"/>
      <c r="G1688" s="44"/>
      <c r="H1688" s="44"/>
      <c r="I1688" s="45"/>
      <c r="J1688" s="45"/>
      <c r="K1688" s="45"/>
    </row>
    <row r="1689" spans="1:11">
      <c r="A1689" s="43"/>
      <c r="B1689" s="44"/>
      <c r="C1689" s="44"/>
      <c r="D1689" s="85"/>
      <c r="E1689" s="44"/>
      <c r="F1689" s="44"/>
      <c r="G1689" s="44"/>
      <c r="H1689" s="44"/>
      <c r="I1689" s="45"/>
      <c r="J1689" s="45"/>
      <c r="K1689" s="45"/>
    </row>
    <row r="1690" spans="1:11">
      <c r="A1690" s="43"/>
      <c r="B1690" s="44"/>
      <c r="C1690" s="44"/>
      <c r="D1690" s="85"/>
      <c r="E1690" s="44"/>
      <c r="F1690" s="44"/>
      <c r="G1690" s="44"/>
      <c r="H1690" s="44"/>
      <c r="I1690" s="45"/>
      <c r="J1690" s="45"/>
      <c r="K1690" s="45"/>
    </row>
    <row r="1691" spans="1:11">
      <c r="A1691" s="43"/>
      <c r="B1691" s="44"/>
      <c r="C1691" s="44"/>
      <c r="D1691" s="85"/>
      <c r="E1691" s="44"/>
      <c r="F1691" s="44"/>
      <c r="G1691" s="44"/>
      <c r="H1691" s="44"/>
      <c r="I1691" s="45"/>
      <c r="J1691" s="45"/>
      <c r="K1691" s="45"/>
    </row>
    <row r="1692" spans="1:11">
      <c r="A1692" s="43"/>
      <c r="B1692" s="44"/>
      <c r="C1692" s="44"/>
      <c r="D1692" s="85"/>
      <c r="E1692" s="44"/>
      <c r="F1692" s="44"/>
      <c r="G1692" s="44"/>
      <c r="H1692" s="44"/>
      <c r="I1692" s="45"/>
      <c r="J1692" s="45"/>
      <c r="K1692" s="45"/>
    </row>
    <row r="1693" spans="1:11">
      <c r="A1693" s="43"/>
      <c r="B1693" s="44"/>
      <c r="C1693" s="44"/>
      <c r="D1693" s="85"/>
      <c r="E1693" s="44"/>
      <c r="F1693" s="44"/>
      <c r="G1693" s="44"/>
      <c r="H1693" s="44"/>
      <c r="I1693" s="45"/>
      <c r="J1693" s="45"/>
      <c r="K1693" s="45"/>
    </row>
    <row r="1694" spans="1:11">
      <c r="A1694" s="43"/>
      <c r="B1694" s="44"/>
      <c r="C1694" s="44"/>
      <c r="D1694" s="85"/>
      <c r="E1694" s="44"/>
      <c r="F1694" s="44"/>
      <c r="G1694" s="44"/>
      <c r="H1694" s="44"/>
      <c r="I1694" s="45"/>
      <c r="J1694" s="45"/>
      <c r="K1694" s="45"/>
    </row>
    <row r="1695" spans="1:11">
      <c r="A1695" s="43"/>
      <c r="B1695" s="44"/>
      <c r="C1695" s="44"/>
      <c r="D1695" s="85"/>
      <c r="E1695" s="44"/>
      <c r="F1695" s="44"/>
      <c r="G1695" s="44"/>
      <c r="H1695" s="44"/>
      <c r="I1695" s="45"/>
      <c r="J1695" s="45"/>
      <c r="K1695" s="45"/>
    </row>
    <row r="1696" spans="1:11">
      <c r="A1696" s="43"/>
      <c r="B1696" s="44"/>
      <c r="C1696" s="44"/>
      <c r="D1696" s="85"/>
      <c r="E1696" s="44"/>
      <c r="F1696" s="44"/>
      <c r="G1696" s="44"/>
      <c r="H1696" s="44"/>
      <c r="I1696" s="45"/>
      <c r="J1696" s="45"/>
      <c r="K1696" s="45"/>
    </row>
    <row r="1697" spans="1:11">
      <c r="A1697" s="43"/>
      <c r="B1697" s="44"/>
      <c r="C1697" s="44"/>
      <c r="D1697" s="85"/>
      <c r="E1697" s="44"/>
      <c r="F1697" s="44"/>
      <c r="G1697" s="44"/>
      <c r="H1697" s="44"/>
      <c r="I1697" s="45"/>
      <c r="J1697" s="45"/>
      <c r="K1697" s="45"/>
    </row>
    <row r="1698" spans="1:11">
      <c r="A1698" s="43"/>
      <c r="B1698" s="44"/>
      <c r="C1698" s="44"/>
      <c r="D1698" s="85"/>
      <c r="E1698" s="44"/>
      <c r="F1698" s="44"/>
      <c r="G1698" s="44"/>
      <c r="H1698" s="44"/>
      <c r="I1698" s="45"/>
      <c r="J1698" s="45"/>
      <c r="K1698" s="45"/>
    </row>
    <row r="1699" spans="1:11">
      <c r="A1699" s="43"/>
      <c r="B1699" s="44"/>
      <c r="C1699" s="44"/>
      <c r="D1699" s="85"/>
      <c r="E1699" s="44"/>
      <c r="F1699" s="44"/>
      <c r="G1699" s="44"/>
      <c r="H1699" s="44"/>
      <c r="I1699" s="45"/>
      <c r="J1699" s="45"/>
      <c r="K1699" s="45"/>
    </row>
    <row r="1700" spans="1:11">
      <c r="A1700" s="43"/>
      <c r="B1700" s="44"/>
      <c r="C1700" s="44"/>
      <c r="D1700" s="85"/>
      <c r="E1700" s="44"/>
      <c r="F1700" s="44"/>
      <c r="G1700" s="44"/>
      <c r="H1700" s="44"/>
      <c r="I1700" s="45"/>
      <c r="J1700" s="45"/>
      <c r="K1700" s="45"/>
    </row>
    <row r="1701" spans="1:11">
      <c r="A1701" s="43"/>
      <c r="B1701" s="44"/>
      <c r="C1701" s="44"/>
      <c r="D1701" s="85"/>
      <c r="E1701" s="44"/>
      <c r="F1701" s="44"/>
      <c r="G1701" s="44"/>
      <c r="H1701" s="44"/>
      <c r="I1701" s="45"/>
      <c r="J1701" s="45"/>
      <c r="K1701" s="45"/>
    </row>
    <row r="1702" spans="1:11">
      <c r="A1702" s="43"/>
      <c r="B1702" s="44"/>
      <c r="C1702" s="44"/>
      <c r="D1702" s="85"/>
      <c r="E1702" s="44"/>
      <c r="F1702" s="44"/>
      <c r="G1702" s="44"/>
      <c r="H1702" s="44"/>
      <c r="I1702" s="45"/>
      <c r="J1702" s="45"/>
      <c r="K1702" s="45"/>
    </row>
    <row r="1703" spans="1:11">
      <c r="A1703" s="43"/>
      <c r="B1703" s="44"/>
      <c r="C1703" s="44"/>
      <c r="D1703" s="85"/>
      <c r="E1703" s="44"/>
      <c r="F1703" s="44"/>
      <c r="G1703" s="44"/>
      <c r="H1703" s="44"/>
      <c r="I1703" s="45"/>
      <c r="J1703" s="45"/>
      <c r="K1703" s="45"/>
    </row>
    <row r="1704" spans="1:11">
      <c r="A1704" s="43"/>
      <c r="B1704" s="44"/>
      <c r="C1704" s="44"/>
      <c r="D1704" s="85"/>
      <c r="E1704" s="44"/>
      <c r="F1704" s="44"/>
      <c r="G1704" s="44"/>
      <c r="H1704" s="44"/>
      <c r="I1704" s="45"/>
      <c r="J1704" s="45"/>
      <c r="K1704" s="45"/>
    </row>
    <row r="1705" spans="1:11">
      <c r="A1705" s="43"/>
      <c r="B1705" s="44"/>
      <c r="C1705" s="44"/>
      <c r="D1705" s="85"/>
      <c r="E1705" s="44"/>
      <c r="F1705" s="44"/>
      <c r="G1705" s="44"/>
      <c r="H1705" s="44"/>
      <c r="I1705" s="45"/>
      <c r="J1705" s="45"/>
      <c r="K1705" s="45"/>
    </row>
    <row r="1706" spans="1:11">
      <c r="A1706" s="43"/>
      <c r="B1706" s="44"/>
      <c r="C1706" s="44"/>
      <c r="D1706" s="85"/>
      <c r="E1706" s="44"/>
      <c r="F1706" s="44"/>
      <c r="G1706" s="44"/>
      <c r="H1706" s="44"/>
      <c r="I1706" s="45"/>
      <c r="J1706" s="45"/>
      <c r="K1706" s="45"/>
    </row>
    <row r="1707" spans="1:11">
      <c r="A1707" s="43"/>
      <c r="B1707" s="44"/>
      <c r="C1707" s="44"/>
      <c r="D1707" s="85"/>
      <c r="E1707" s="44"/>
      <c r="F1707" s="44"/>
      <c r="G1707" s="44"/>
      <c r="H1707" s="44"/>
      <c r="I1707" s="45"/>
      <c r="J1707" s="45"/>
      <c r="K1707" s="45"/>
    </row>
    <row r="1708" spans="1:11">
      <c r="A1708" s="43"/>
      <c r="B1708" s="44"/>
      <c r="C1708" s="44"/>
      <c r="D1708" s="85"/>
      <c r="E1708" s="44"/>
      <c r="F1708" s="44"/>
      <c r="G1708" s="44"/>
      <c r="H1708" s="44"/>
      <c r="I1708" s="45"/>
      <c r="J1708" s="45"/>
      <c r="K1708" s="45"/>
    </row>
    <row r="1709" spans="1:11">
      <c r="A1709" s="43"/>
      <c r="B1709" s="44"/>
      <c r="C1709" s="44"/>
      <c r="D1709" s="85"/>
      <c r="E1709" s="44"/>
      <c r="F1709" s="44"/>
      <c r="G1709" s="44"/>
      <c r="H1709" s="44"/>
      <c r="I1709" s="45"/>
      <c r="J1709" s="45"/>
      <c r="K1709" s="45"/>
    </row>
    <row r="1710" spans="1:11">
      <c r="A1710" s="43"/>
      <c r="B1710" s="44"/>
      <c r="C1710" s="44"/>
      <c r="D1710" s="85"/>
      <c r="E1710" s="44"/>
      <c r="F1710" s="44"/>
      <c r="G1710" s="44"/>
      <c r="H1710" s="44"/>
      <c r="I1710" s="45"/>
      <c r="J1710" s="45"/>
      <c r="K1710" s="45"/>
    </row>
    <row r="1711" spans="1:11">
      <c r="A1711" s="43"/>
      <c r="B1711" s="44"/>
      <c r="C1711" s="44"/>
      <c r="D1711" s="85"/>
      <c r="E1711" s="44"/>
      <c r="F1711" s="44"/>
      <c r="G1711" s="44"/>
      <c r="H1711" s="44"/>
      <c r="I1711" s="45"/>
      <c r="J1711" s="45"/>
      <c r="K1711" s="45"/>
    </row>
    <row r="1712" spans="1:11">
      <c r="A1712" s="43"/>
      <c r="B1712" s="44"/>
      <c r="C1712" s="44"/>
      <c r="D1712" s="85"/>
      <c r="E1712" s="44"/>
      <c r="F1712" s="44"/>
      <c r="G1712" s="44"/>
      <c r="H1712" s="44"/>
      <c r="I1712" s="45"/>
      <c r="J1712" s="45"/>
      <c r="K1712" s="45"/>
    </row>
    <row r="1713" spans="1:11">
      <c r="A1713" s="43"/>
      <c r="B1713" s="44"/>
      <c r="C1713" s="44"/>
      <c r="D1713" s="85"/>
      <c r="E1713" s="44"/>
      <c r="F1713" s="44"/>
      <c r="G1713" s="44"/>
      <c r="H1713" s="44"/>
      <c r="I1713" s="45"/>
      <c r="J1713" s="45"/>
      <c r="K1713" s="45"/>
    </row>
    <row r="1714" spans="1:11">
      <c r="A1714" s="43"/>
      <c r="B1714" s="44"/>
      <c r="C1714" s="44"/>
      <c r="D1714" s="85"/>
      <c r="E1714" s="44"/>
      <c r="F1714" s="44"/>
      <c r="G1714" s="44"/>
      <c r="H1714" s="44"/>
      <c r="I1714" s="45"/>
      <c r="J1714" s="45"/>
      <c r="K1714" s="45"/>
    </row>
    <row r="1715" spans="1:11">
      <c r="A1715" s="43"/>
      <c r="B1715" s="44"/>
      <c r="C1715" s="44"/>
      <c r="D1715" s="85"/>
      <c r="E1715" s="44"/>
      <c r="F1715" s="44"/>
      <c r="G1715" s="44"/>
      <c r="H1715" s="44"/>
      <c r="I1715" s="45"/>
      <c r="J1715" s="45"/>
      <c r="K1715" s="45"/>
    </row>
    <row r="1716" spans="1:11">
      <c r="A1716" s="43"/>
      <c r="B1716" s="44"/>
      <c r="C1716" s="44"/>
      <c r="D1716" s="85"/>
      <c r="E1716" s="44"/>
      <c r="F1716" s="44"/>
      <c r="G1716" s="44"/>
      <c r="H1716" s="44"/>
      <c r="I1716" s="45"/>
      <c r="J1716" s="45"/>
      <c r="K1716" s="45"/>
    </row>
    <row r="1717" spans="1:11">
      <c r="A1717" s="43"/>
      <c r="B1717" s="44"/>
      <c r="C1717" s="44"/>
      <c r="D1717" s="85"/>
      <c r="E1717" s="44"/>
      <c r="F1717" s="44"/>
      <c r="G1717" s="44"/>
      <c r="H1717" s="44"/>
      <c r="I1717" s="45"/>
      <c r="J1717" s="45"/>
      <c r="K1717" s="45"/>
    </row>
    <row r="1718" spans="1:11">
      <c r="A1718" s="43"/>
      <c r="B1718" s="44"/>
      <c r="C1718" s="44"/>
      <c r="D1718" s="85"/>
      <c r="E1718" s="44"/>
      <c r="F1718" s="44"/>
      <c r="G1718" s="44"/>
      <c r="H1718" s="44"/>
      <c r="I1718" s="45"/>
      <c r="J1718" s="45"/>
      <c r="K1718" s="45"/>
    </row>
    <row r="1719" spans="1:11">
      <c r="A1719" s="43"/>
      <c r="B1719" s="44"/>
      <c r="C1719" s="44"/>
      <c r="D1719" s="85"/>
      <c r="E1719" s="44"/>
      <c r="F1719" s="44"/>
      <c r="G1719" s="44"/>
      <c r="H1719" s="44"/>
      <c r="I1719" s="45"/>
      <c r="J1719" s="45"/>
      <c r="K1719" s="45"/>
    </row>
    <row r="1720" spans="1:11">
      <c r="A1720" s="43"/>
      <c r="B1720" s="44"/>
      <c r="C1720" s="44"/>
      <c r="D1720" s="85"/>
      <c r="E1720" s="44"/>
      <c r="F1720" s="44"/>
      <c r="G1720" s="44"/>
      <c r="H1720" s="44"/>
      <c r="I1720" s="45"/>
      <c r="J1720" s="45"/>
      <c r="K1720" s="45"/>
    </row>
    <row r="1721" spans="1:11">
      <c r="A1721" s="43"/>
      <c r="B1721" s="44"/>
      <c r="C1721" s="44"/>
      <c r="D1721" s="85"/>
      <c r="E1721" s="44"/>
      <c r="F1721" s="44"/>
      <c r="G1721" s="44"/>
      <c r="H1721" s="44"/>
      <c r="I1721" s="45"/>
      <c r="J1721" s="45"/>
      <c r="K1721" s="45"/>
    </row>
    <row r="1722" spans="1:11">
      <c r="A1722" s="43"/>
      <c r="B1722" s="44"/>
      <c r="C1722" s="44"/>
      <c r="D1722" s="85"/>
      <c r="E1722" s="44"/>
      <c r="F1722" s="44"/>
      <c r="G1722" s="44"/>
      <c r="H1722" s="44"/>
      <c r="I1722" s="45"/>
      <c r="J1722" s="45"/>
      <c r="K1722" s="45"/>
    </row>
    <row r="1723" spans="1:11">
      <c r="A1723" s="43"/>
      <c r="B1723" s="44"/>
      <c r="C1723" s="44"/>
      <c r="D1723" s="85"/>
      <c r="E1723" s="44"/>
      <c r="F1723" s="44"/>
      <c r="G1723" s="44"/>
      <c r="H1723" s="44"/>
      <c r="I1723" s="45"/>
      <c r="J1723" s="45"/>
      <c r="K1723" s="45"/>
    </row>
    <row r="1724" spans="1:11">
      <c r="A1724" s="43"/>
      <c r="B1724" s="44"/>
      <c r="C1724" s="44"/>
      <c r="D1724" s="85"/>
      <c r="E1724" s="44"/>
      <c r="F1724" s="44"/>
      <c r="G1724" s="44"/>
      <c r="H1724" s="44"/>
      <c r="I1724" s="45"/>
      <c r="J1724" s="45"/>
      <c r="K1724" s="45"/>
    </row>
    <row r="1725" spans="1:11">
      <c r="A1725" s="43"/>
      <c r="B1725" s="44"/>
      <c r="C1725" s="44"/>
      <c r="D1725" s="85"/>
      <c r="E1725" s="44"/>
      <c r="F1725" s="44"/>
      <c r="G1725" s="44"/>
      <c r="H1725" s="44"/>
      <c r="I1725" s="45"/>
      <c r="J1725" s="45"/>
      <c r="K1725" s="45"/>
    </row>
    <row r="1726" spans="1:11">
      <c r="A1726" s="43"/>
      <c r="B1726" s="44"/>
      <c r="C1726" s="44"/>
      <c r="D1726" s="85"/>
      <c r="E1726" s="44"/>
      <c r="F1726" s="44"/>
      <c r="G1726" s="44"/>
      <c r="H1726" s="44"/>
      <c r="I1726" s="45"/>
      <c r="J1726" s="45"/>
      <c r="K1726" s="45"/>
    </row>
    <row r="1727" spans="1:11">
      <c r="A1727" s="43"/>
      <c r="B1727" s="44"/>
      <c r="C1727" s="44"/>
      <c r="D1727" s="85"/>
      <c r="E1727" s="44"/>
      <c r="F1727" s="44"/>
      <c r="G1727" s="44"/>
      <c r="H1727" s="44"/>
      <c r="I1727" s="45"/>
      <c r="J1727" s="45"/>
      <c r="K1727" s="45"/>
    </row>
    <row r="1728" spans="1:11">
      <c r="A1728" s="43"/>
      <c r="B1728" s="44"/>
      <c r="C1728" s="44"/>
      <c r="D1728" s="85"/>
      <c r="E1728" s="44"/>
      <c r="F1728" s="44"/>
      <c r="G1728" s="44"/>
      <c r="H1728" s="44"/>
      <c r="I1728" s="45"/>
      <c r="J1728" s="45"/>
      <c r="K1728" s="45"/>
    </row>
    <row r="1729" spans="1:11">
      <c r="A1729" s="43"/>
      <c r="B1729" s="44"/>
      <c r="C1729" s="44"/>
      <c r="D1729" s="85"/>
      <c r="E1729" s="44"/>
      <c r="F1729" s="44"/>
      <c r="G1729" s="44"/>
      <c r="H1729" s="44"/>
      <c r="I1729" s="45"/>
      <c r="J1729" s="45"/>
      <c r="K1729" s="45"/>
    </row>
    <row r="1730" spans="1:11">
      <c r="A1730" s="43"/>
      <c r="B1730" s="44"/>
      <c r="C1730" s="44"/>
      <c r="D1730" s="85"/>
      <c r="E1730" s="44"/>
      <c r="F1730" s="44"/>
      <c r="G1730" s="44"/>
      <c r="H1730" s="44"/>
      <c r="I1730" s="45"/>
      <c r="J1730" s="45"/>
      <c r="K1730" s="45"/>
    </row>
    <row r="1731" spans="1:11">
      <c r="A1731" s="43"/>
      <c r="B1731" s="44"/>
      <c r="C1731" s="44"/>
      <c r="D1731" s="85"/>
      <c r="E1731" s="44"/>
      <c r="F1731" s="44"/>
      <c r="G1731" s="44"/>
      <c r="H1731" s="44"/>
      <c r="I1731" s="45"/>
      <c r="J1731" s="45"/>
      <c r="K1731" s="45"/>
    </row>
    <row r="1732" spans="1:11">
      <c r="A1732" s="43"/>
      <c r="B1732" s="44"/>
      <c r="C1732" s="44"/>
      <c r="D1732" s="85"/>
      <c r="E1732" s="44"/>
      <c r="F1732" s="44"/>
      <c r="G1732" s="44"/>
      <c r="H1732" s="44"/>
      <c r="I1732" s="45"/>
      <c r="J1732" s="45"/>
      <c r="K1732" s="45"/>
    </row>
    <row r="1733" spans="1:11">
      <c r="A1733" s="43"/>
      <c r="B1733" s="44"/>
      <c r="C1733" s="44"/>
      <c r="D1733" s="85"/>
      <c r="E1733" s="44"/>
      <c r="F1733" s="44"/>
      <c r="G1733" s="44"/>
      <c r="H1733" s="44"/>
      <c r="I1733" s="45"/>
      <c r="J1733" s="45"/>
      <c r="K1733" s="45"/>
    </row>
    <row r="1734" spans="1:11">
      <c r="A1734" s="43"/>
      <c r="B1734" s="44"/>
      <c r="C1734" s="44"/>
      <c r="D1734" s="85"/>
      <c r="E1734" s="44"/>
      <c r="F1734" s="44"/>
      <c r="G1734" s="44"/>
      <c r="H1734" s="44"/>
      <c r="I1734" s="45"/>
      <c r="J1734" s="45"/>
      <c r="K1734" s="45"/>
    </row>
    <row r="1735" spans="1:11">
      <c r="A1735" s="43"/>
      <c r="B1735" s="44"/>
      <c r="C1735" s="44"/>
      <c r="D1735" s="85"/>
      <c r="E1735" s="44"/>
      <c r="F1735" s="44"/>
      <c r="G1735" s="44"/>
      <c r="H1735" s="44"/>
      <c r="I1735" s="45"/>
      <c r="J1735" s="45"/>
      <c r="K1735" s="45"/>
    </row>
    <row r="1736" spans="1:11">
      <c r="A1736" s="43"/>
      <c r="B1736" s="44"/>
      <c r="C1736" s="44"/>
      <c r="D1736" s="85"/>
      <c r="E1736" s="44"/>
      <c r="F1736" s="44"/>
      <c r="G1736" s="44"/>
      <c r="H1736" s="44"/>
      <c r="I1736" s="45"/>
      <c r="J1736" s="45"/>
      <c r="K1736" s="45"/>
    </row>
    <row r="1737" spans="1:11">
      <c r="A1737" s="43"/>
      <c r="B1737" s="44"/>
      <c r="C1737" s="44"/>
      <c r="D1737" s="85"/>
      <c r="E1737" s="44"/>
      <c r="F1737" s="44"/>
      <c r="G1737" s="44"/>
      <c r="H1737" s="44"/>
      <c r="I1737" s="45"/>
      <c r="J1737" s="45"/>
      <c r="K1737" s="45"/>
    </row>
    <row r="1738" spans="1:11">
      <c r="A1738" s="43"/>
      <c r="B1738" s="44"/>
      <c r="C1738" s="44"/>
      <c r="D1738" s="85"/>
      <c r="E1738" s="44"/>
      <c r="F1738" s="44"/>
      <c r="G1738" s="44"/>
      <c r="H1738" s="44"/>
      <c r="I1738" s="45"/>
      <c r="J1738" s="45"/>
      <c r="K1738" s="45"/>
    </row>
    <row r="1739" spans="1:11">
      <c r="A1739" s="43"/>
      <c r="B1739" s="44"/>
      <c r="C1739" s="44"/>
      <c r="D1739" s="85"/>
      <c r="E1739" s="44"/>
      <c r="F1739" s="44"/>
      <c r="G1739" s="44"/>
      <c r="H1739" s="44"/>
      <c r="I1739" s="45"/>
      <c r="J1739" s="45"/>
      <c r="K1739" s="45"/>
    </row>
    <row r="1740" spans="1:11">
      <c r="A1740" s="43"/>
      <c r="B1740" s="44"/>
      <c r="C1740" s="44"/>
      <c r="D1740" s="85"/>
      <c r="E1740" s="44"/>
      <c r="F1740" s="44"/>
      <c r="G1740" s="44"/>
      <c r="H1740" s="44"/>
      <c r="I1740" s="45"/>
      <c r="J1740" s="45"/>
      <c r="K1740" s="45"/>
    </row>
    <row r="1741" spans="1:11">
      <c r="A1741" s="43"/>
      <c r="B1741" s="44"/>
      <c r="C1741" s="44"/>
      <c r="D1741" s="85"/>
      <c r="E1741" s="44"/>
      <c r="F1741" s="44"/>
      <c r="G1741" s="44"/>
      <c r="H1741" s="44"/>
      <c r="I1741" s="45"/>
      <c r="J1741" s="45"/>
      <c r="K1741" s="45"/>
    </row>
    <row r="1742" spans="1:11">
      <c r="A1742" s="43"/>
      <c r="B1742" s="44"/>
      <c r="C1742" s="44"/>
      <c r="D1742" s="85"/>
      <c r="E1742" s="44"/>
      <c r="F1742" s="44"/>
      <c r="G1742" s="44"/>
      <c r="H1742" s="44"/>
      <c r="I1742" s="45"/>
      <c r="J1742" s="45"/>
      <c r="K1742" s="45"/>
    </row>
    <row r="1743" spans="1:11">
      <c r="A1743" s="43"/>
      <c r="B1743" s="44"/>
      <c r="C1743" s="44"/>
      <c r="D1743" s="85"/>
      <c r="E1743" s="44"/>
      <c r="F1743" s="44"/>
      <c r="G1743" s="44"/>
      <c r="H1743" s="44"/>
      <c r="I1743" s="45"/>
      <c r="J1743" s="45"/>
      <c r="K1743" s="45"/>
    </row>
    <row r="1744" spans="1:11">
      <c r="A1744" s="43"/>
      <c r="B1744" s="44"/>
      <c r="C1744" s="44"/>
      <c r="D1744" s="85"/>
      <c r="E1744" s="44"/>
      <c r="F1744" s="44"/>
      <c r="G1744" s="44"/>
      <c r="H1744" s="44"/>
      <c r="I1744" s="45"/>
      <c r="J1744" s="45"/>
      <c r="K1744" s="45"/>
    </row>
    <row r="1745" spans="1:11">
      <c r="A1745" s="43"/>
      <c r="B1745" s="44"/>
      <c r="C1745" s="44"/>
      <c r="D1745" s="85"/>
      <c r="E1745" s="44"/>
      <c r="F1745" s="44"/>
      <c r="G1745" s="44"/>
      <c r="H1745" s="44"/>
      <c r="I1745" s="45"/>
      <c r="J1745" s="45"/>
      <c r="K1745" s="45"/>
    </row>
    <row r="1746" spans="1:11">
      <c r="A1746" s="43"/>
      <c r="B1746" s="44"/>
      <c r="C1746" s="44"/>
      <c r="D1746" s="85"/>
      <c r="E1746" s="44"/>
      <c r="F1746" s="44"/>
      <c r="G1746" s="44"/>
      <c r="H1746" s="44"/>
      <c r="I1746" s="45"/>
      <c r="J1746" s="45"/>
      <c r="K1746" s="45"/>
    </row>
    <row r="1747" spans="1:11">
      <c r="A1747" s="43"/>
      <c r="B1747" s="44"/>
      <c r="C1747" s="44"/>
      <c r="D1747" s="85"/>
      <c r="E1747" s="44"/>
      <c r="F1747" s="44"/>
      <c r="G1747" s="44"/>
      <c r="H1747" s="44"/>
      <c r="I1747" s="45"/>
      <c r="J1747" s="45"/>
      <c r="K1747" s="45"/>
    </row>
    <row r="1748" spans="1:11">
      <c r="A1748" s="43"/>
      <c r="B1748" s="44"/>
      <c r="C1748" s="44"/>
      <c r="D1748" s="85"/>
      <c r="E1748" s="44"/>
      <c r="F1748" s="44"/>
      <c r="G1748" s="44"/>
      <c r="H1748" s="44"/>
      <c r="I1748" s="45"/>
      <c r="J1748" s="45"/>
      <c r="K1748" s="45"/>
    </row>
    <row r="1749" spans="1:11">
      <c r="A1749" s="43"/>
      <c r="B1749" s="44"/>
      <c r="C1749" s="44"/>
      <c r="D1749" s="85"/>
      <c r="E1749" s="44"/>
      <c r="F1749" s="44"/>
      <c r="G1749" s="44"/>
      <c r="H1749" s="44"/>
      <c r="I1749" s="45"/>
      <c r="J1749" s="45"/>
      <c r="K1749" s="45"/>
    </row>
    <row r="1750" spans="1:11">
      <c r="A1750" s="43"/>
      <c r="B1750" s="44"/>
      <c r="C1750" s="44"/>
      <c r="D1750" s="85"/>
      <c r="E1750" s="44"/>
      <c r="F1750" s="44"/>
      <c r="G1750" s="44"/>
      <c r="H1750" s="44"/>
      <c r="I1750" s="45"/>
      <c r="J1750" s="45"/>
      <c r="K1750" s="45"/>
    </row>
    <row r="1751" spans="1:11">
      <c r="A1751" s="43"/>
      <c r="B1751" s="44"/>
      <c r="C1751" s="44"/>
      <c r="D1751" s="85"/>
      <c r="E1751" s="44"/>
      <c r="F1751" s="44"/>
      <c r="G1751" s="44"/>
      <c r="H1751" s="44"/>
      <c r="I1751" s="45"/>
      <c r="J1751" s="45"/>
      <c r="K1751" s="45"/>
    </row>
    <row r="1752" spans="1:11">
      <c r="A1752" s="43"/>
      <c r="B1752" s="44"/>
      <c r="C1752" s="44"/>
      <c r="D1752" s="85"/>
      <c r="E1752" s="44"/>
      <c r="F1752" s="44"/>
      <c r="G1752" s="44"/>
      <c r="H1752" s="44"/>
      <c r="I1752" s="45"/>
      <c r="J1752" s="45"/>
      <c r="K1752" s="45"/>
    </row>
    <row r="1753" spans="1:11">
      <c r="A1753" s="43"/>
      <c r="B1753" s="44"/>
      <c r="C1753" s="44"/>
      <c r="D1753" s="85"/>
      <c r="E1753" s="44"/>
      <c r="F1753" s="44"/>
      <c r="G1753" s="44"/>
      <c r="H1753" s="44"/>
      <c r="I1753" s="45"/>
      <c r="J1753" s="45"/>
      <c r="K1753" s="45"/>
    </row>
    <row r="1754" spans="1:11">
      <c r="A1754" s="43"/>
      <c r="B1754" s="44"/>
      <c r="C1754" s="44"/>
      <c r="D1754" s="85"/>
      <c r="E1754" s="44"/>
      <c r="F1754" s="44"/>
      <c r="G1754" s="44"/>
      <c r="H1754" s="44"/>
      <c r="I1754" s="45"/>
      <c r="J1754" s="45"/>
      <c r="K1754" s="45"/>
    </row>
    <row r="1755" spans="1:11">
      <c r="A1755" s="43"/>
      <c r="B1755" s="44"/>
      <c r="C1755" s="44"/>
      <c r="D1755" s="85"/>
      <c r="E1755" s="44"/>
      <c r="F1755" s="44"/>
      <c r="G1755" s="44"/>
      <c r="H1755" s="44"/>
      <c r="I1755" s="45"/>
      <c r="J1755" s="45"/>
      <c r="K1755" s="45"/>
    </row>
    <row r="1756" spans="1:11">
      <c r="A1756" s="43"/>
      <c r="B1756" s="44"/>
      <c r="C1756" s="44"/>
      <c r="D1756" s="85"/>
      <c r="E1756" s="44"/>
      <c r="F1756" s="44"/>
      <c r="G1756" s="44"/>
      <c r="H1756" s="44"/>
      <c r="I1756" s="45"/>
      <c r="J1756" s="45"/>
      <c r="K1756" s="45"/>
    </row>
    <row r="1757" spans="1:11">
      <c r="A1757" s="43"/>
      <c r="B1757" s="44"/>
      <c r="C1757" s="44"/>
      <c r="D1757" s="85"/>
      <c r="E1757" s="44"/>
      <c r="F1757" s="44"/>
      <c r="G1757" s="44"/>
      <c r="H1757" s="44"/>
      <c r="I1757" s="45"/>
      <c r="J1757" s="45"/>
      <c r="K1757" s="45"/>
    </row>
    <row r="1758" spans="1:11">
      <c r="A1758" s="43"/>
      <c r="B1758" s="44"/>
      <c r="C1758" s="44"/>
      <c r="D1758" s="85"/>
      <c r="E1758" s="44"/>
      <c r="F1758" s="44"/>
      <c r="G1758" s="44"/>
      <c r="H1758" s="44"/>
      <c r="I1758" s="45"/>
      <c r="J1758" s="45"/>
      <c r="K1758" s="45"/>
    </row>
    <row r="1759" spans="1:11">
      <c r="A1759" s="43"/>
      <c r="B1759" s="44"/>
      <c r="C1759" s="44"/>
      <c r="D1759" s="85"/>
      <c r="E1759" s="44"/>
      <c r="F1759" s="44"/>
      <c r="G1759" s="44"/>
      <c r="H1759" s="44"/>
      <c r="I1759" s="45"/>
      <c r="J1759" s="45"/>
      <c r="K1759" s="45"/>
    </row>
    <row r="1760" spans="1:11">
      <c r="A1760" s="43"/>
      <c r="B1760" s="44"/>
      <c r="C1760" s="44"/>
      <c r="D1760" s="85"/>
      <c r="E1760" s="44"/>
      <c r="F1760" s="44"/>
      <c r="G1760" s="44"/>
      <c r="H1760" s="44"/>
      <c r="I1760" s="45"/>
      <c r="J1760" s="45"/>
      <c r="K1760" s="45"/>
    </row>
    <row r="1761" spans="1:11">
      <c r="A1761" s="43"/>
      <c r="B1761" s="44"/>
      <c r="C1761" s="44"/>
      <c r="D1761" s="85"/>
      <c r="E1761" s="44"/>
      <c r="F1761" s="44"/>
      <c r="G1761" s="44"/>
      <c r="H1761" s="44"/>
      <c r="I1761" s="45"/>
      <c r="J1761" s="45"/>
      <c r="K1761" s="45"/>
    </row>
    <row r="1762" spans="1:11">
      <c r="A1762" s="43"/>
      <c r="B1762" s="44"/>
      <c r="C1762" s="44"/>
      <c r="D1762" s="85"/>
      <c r="E1762" s="44"/>
      <c r="F1762" s="44"/>
      <c r="G1762" s="44"/>
      <c r="H1762" s="44"/>
      <c r="I1762" s="45"/>
      <c r="J1762" s="45"/>
      <c r="K1762" s="45"/>
    </row>
    <row r="1763" spans="1:11">
      <c r="A1763" s="43"/>
      <c r="B1763" s="44"/>
      <c r="C1763" s="44"/>
      <c r="D1763" s="85"/>
      <c r="E1763" s="44"/>
      <c r="F1763" s="44"/>
      <c r="G1763" s="44"/>
      <c r="H1763" s="44"/>
      <c r="I1763" s="45"/>
      <c r="J1763" s="45"/>
      <c r="K1763" s="45"/>
    </row>
    <row r="1764" spans="1:11">
      <c r="A1764" s="43"/>
      <c r="B1764" s="44"/>
      <c r="C1764" s="44"/>
      <c r="D1764" s="85"/>
      <c r="E1764" s="44"/>
      <c r="F1764" s="44"/>
      <c r="G1764" s="44"/>
      <c r="H1764" s="44"/>
      <c r="I1764" s="45"/>
      <c r="J1764" s="45"/>
      <c r="K1764" s="45"/>
    </row>
    <row r="1765" spans="1:11">
      <c r="A1765" s="43"/>
      <c r="B1765" s="44"/>
      <c r="C1765" s="44"/>
      <c r="D1765" s="85"/>
      <c r="E1765" s="44"/>
      <c r="F1765" s="44"/>
      <c r="G1765" s="44"/>
      <c r="H1765" s="44"/>
      <c r="I1765" s="45"/>
      <c r="J1765" s="45"/>
      <c r="K1765" s="45"/>
    </row>
    <row r="1766" spans="1:11">
      <c r="A1766" s="43"/>
      <c r="B1766" s="44"/>
      <c r="C1766" s="44"/>
      <c r="D1766" s="85"/>
      <c r="E1766" s="44"/>
      <c r="F1766" s="44"/>
      <c r="G1766" s="44"/>
      <c r="H1766" s="44"/>
      <c r="I1766" s="45"/>
      <c r="J1766" s="45"/>
      <c r="K1766" s="45"/>
    </row>
    <row r="1767" spans="1:11">
      <c r="A1767" s="43"/>
      <c r="B1767" s="44"/>
      <c r="C1767" s="44"/>
      <c r="D1767" s="85"/>
      <c r="E1767" s="44"/>
      <c r="F1767" s="44"/>
      <c r="G1767" s="44"/>
      <c r="H1767" s="44"/>
      <c r="I1767" s="45"/>
      <c r="J1767" s="45"/>
      <c r="K1767" s="45"/>
    </row>
    <row r="1768" spans="1:11">
      <c r="A1768" s="43"/>
      <c r="B1768" s="44"/>
      <c r="C1768" s="44"/>
      <c r="D1768" s="85"/>
      <c r="E1768" s="44"/>
      <c r="F1768" s="44"/>
      <c r="G1768" s="44"/>
      <c r="H1768" s="44"/>
      <c r="I1768" s="45"/>
      <c r="J1768" s="45"/>
      <c r="K1768" s="45"/>
    </row>
    <row r="1769" spans="1:11">
      <c r="A1769" s="43"/>
      <c r="B1769" s="44"/>
      <c r="C1769" s="44"/>
      <c r="D1769" s="85"/>
      <c r="E1769" s="44"/>
      <c r="F1769" s="44"/>
      <c r="G1769" s="44"/>
      <c r="H1769" s="44"/>
      <c r="I1769" s="45"/>
      <c r="J1769" s="45"/>
      <c r="K1769" s="45"/>
    </row>
    <row r="1770" spans="1:11">
      <c r="A1770" s="43"/>
      <c r="B1770" s="44"/>
      <c r="C1770" s="44"/>
      <c r="D1770" s="85"/>
      <c r="E1770" s="44"/>
      <c r="F1770" s="44"/>
      <c r="G1770" s="44"/>
      <c r="H1770" s="44"/>
      <c r="I1770" s="45"/>
      <c r="J1770" s="45"/>
      <c r="K1770" s="45"/>
    </row>
    <row r="1771" spans="1:11">
      <c r="A1771" s="43"/>
      <c r="B1771" s="44"/>
      <c r="C1771" s="44"/>
      <c r="D1771" s="85"/>
      <c r="E1771" s="44"/>
      <c r="F1771" s="44"/>
      <c r="G1771" s="44"/>
      <c r="H1771" s="44"/>
      <c r="I1771" s="45"/>
      <c r="J1771" s="45"/>
      <c r="K1771" s="45"/>
    </row>
    <row r="1772" spans="1:11">
      <c r="A1772" s="43"/>
      <c r="B1772" s="44"/>
      <c r="C1772" s="44"/>
      <c r="D1772" s="85"/>
      <c r="E1772" s="44"/>
      <c r="F1772" s="44"/>
      <c r="G1772" s="44"/>
      <c r="H1772" s="44"/>
      <c r="I1772" s="45"/>
      <c r="J1772" s="45"/>
      <c r="K1772" s="45"/>
    </row>
    <row r="1773" spans="1:11">
      <c r="A1773" s="43"/>
      <c r="B1773" s="44"/>
      <c r="C1773" s="44"/>
      <c r="D1773" s="85"/>
      <c r="E1773" s="44"/>
      <c r="F1773" s="44"/>
      <c r="G1773" s="44"/>
      <c r="H1773" s="44"/>
      <c r="I1773" s="45"/>
      <c r="J1773" s="45"/>
      <c r="K1773" s="45"/>
    </row>
    <row r="1774" spans="1:11">
      <c r="A1774" s="43"/>
      <c r="B1774" s="44"/>
      <c r="C1774" s="44"/>
      <c r="D1774" s="85"/>
      <c r="E1774" s="44"/>
      <c r="F1774" s="44"/>
      <c r="G1774" s="44"/>
      <c r="H1774" s="44"/>
      <c r="I1774" s="45"/>
      <c r="J1774" s="45"/>
      <c r="K1774" s="45"/>
    </row>
    <row r="1775" spans="1:11">
      <c r="A1775" s="43"/>
      <c r="B1775" s="44"/>
      <c r="C1775" s="44"/>
      <c r="D1775" s="85"/>
      <c r="E1775" s="44"/>
      <c r="F1775" s="44"/>
      <c r="G1775" s="44"/>
      <c r="H1775" s="44"/>
      <c r="I1775" s="45"/>
      <c r="J1775" s="45"/>
      <c r="K1775" s="45"/>
    </row>
    <row r="1776" spans="1:11">
      <c r="A1776" s="43"/>
      <c r="B1776" s="44"/>
      <c r="C1776" s="44"/>
      <c r="D1776" s="85"/>
      <c r="E1776" s="44"/>
      <c r="F1776" s="44"/>
      <c r="G1776" s="44"/>
      <c r="H1776" s="44"/>
      <c r="I1776" s="45"/>
      <c r="J1776" s="45"/>
      <c r="K1776" s="45"/>
    </row>
    <row r="1777" spans="1:11">
      <c r="A1777" s="43"/>
      <c r="B1777" s="44"/>
      <c r="C1777" s="44"/>
      <c r="D1777" s="85"/>
      <c r="E1777" s="44"/>
      <c r="F1777" s="44"/>
      <c r="G1777" s="44"/>
      <c r="H1777" s="44"/>
      <c r="I1777" s="45"/>
      <c r="J1777" s="45"/>
      <c r="K1777" s="45"/>
    </row>
    <row r="1778" spans="1:11">
      <c r="A1778" s="43"/>
      <c r="B1778" s="44"/>
      <c r="C1778" s="44"/>
      <c r="D1778" s="85"/>
      <c r="E1778" s="44"/>
      <c r="F1778" s="44"/>
      <c r="G1778" s="44"/>
      <c r="H1778" s="44"/>
      <c r="I1778" s="45"/>
      <c r="J1778" s="45"/>
      <c r="K1778" s="45"/>
    </row>
    <row r="1779" spans="1:11">
      <c r="A1779" s="43"/>
      <c r="B1779" s="44"/>
      <c r="C1779" s="44"/>
      <c r="D1779" s="85"/>
      <c r="E1779" s="44"/>
      <c r="F1779" s="44"/>
      <c r="G1779" s="44"/>
      <c r="H1779" s="44"/>
      <c r="I1779" s="45"/>
      <c r="J1779" s="45"/>
      <c r="K1779" s="45"/>
    </row>
    <row r="1780" spans="1:11">
      <c r="A1780" s="43"/>
      <c r="B1780" s="44"/>
      <c r="C1780" s="44"/>
      <c r="D1780" s="85"/>
      <c r="E1780" s="44"/>
      <c r="F1780" s="44"/>
      <c r="G1780" s="44"/>
      <c r="H1780" s="44"/>
      <c r="I1780" s="45"/>
      <c r="J1780" s="45"/>
      <c r="K1780" s="45"/>
    </row>
    <row r="1781" spans="1:11">
      <c r="A1781" s="43"/>
      <c r="B1781" s="44"/>
      <c r="C1781" s="44"/>
      <c r="D1781" s="85"/>
      <c r="E1781" s="44"/>
      <c r="F1781" s="44"/>
      <c r="G1781" s="44"/>
      <c r="H1781" s="44"/>
      <c r="I1781" s="45"/>
      <c r="J1781" s="45"/>
      <c r="K1781" s="45"/>
    </row>
    <row r="1782" spans="1:11">
      <c r="A1782" s="43"/>
      <c r="B1782" s="44"/>
      <c r="C1782" s="44"/>
      <c r="D1782" s="85"/>
      <c r="E1782" s="44"/>
      <c r="F1782" s="44"/>
      <c r="G1782" s="44"/>
      <c r="H1782" s="44"/>
      <c r="I1782" s="45"/>
      <c r="J1782" s="45"/>
      <c r="K1782" s="45"/>
    </row>
    <row r="1783" spans="1:11">
      <c r="A1783" s="43"/>
      <c r="B1783" s="44"/>
      <c r="C1783" s="44"/>
      <c r="D1783" s="85"/>
      <c r="E1783" s="44"/>
      <c r="F1783" s="44"/>
      <c r="G1783" s="44"/>
      <c r="H1783" s="44"/>
      <c r="I1783" s="45"/>
      <c r="J1783" s="45"/>
      <c r="K1783" s="45"/>
    </row>
    <row r="1784" spans="1:11">
      <c r="A1784" s="43"/>
      <c r="B1784" s="44"/>
      <c r="C1784" s="44"/>
      <c r="D1784" s="85"/>
      <c r="E1784" s="44"/>
      <c r="F1784" s="44"/>
      <c r="G1784" s="44"/>
      <c r="H1784" s="44"/>
      <c r="I1784" s="45"/>
      <c r="J1784" s="45"/>
      <c r="K1784" s="45"/>
    </row>
    <row r="1785" spans="1:11">
      <c r="A1785" s="43"/>
      <c r="B1785" s="44"/>
      <c r="C1785" s="44"/>
      <c r="D1785" s="85"/>
      <c r="E1785" s="44"/>
      <c r="F1785" s="44"/>
      <c r="G1785" s="44"/>
      <c r="H1785" s="44"/>
      <c r="I1785" s="45"/>
      <c r="J1785" s="45"/>
      <c r="K1785" s="45"/>
    </row>
    <row r="1786" spans="1:11">
      <c r="A1786" s="43"/>
      <c r="B1786" s="44"/>
      <c r="C1786" s="44"/>
      <c r="D1786" s="85"/>
      <c r="E1786" s="44"/>
      <c r="F1786" s="44"/>
      <c r="G1786" s="44"/>
      <c r="H1786" s="44"/>
      <c r="I1786" s="45"/>
      <c r="J1786" s="45"/>
      <c r="K1786" s="45"/>
    </row>
    <row r="1787" spans="1:11">
      <c r="A1787" s="43"/>
      <c r="B1787" s="44"/>
      <c r="C1787" s="44"/>
      <c r="D1787" s="85"/>
      <c r="E1787" s="44"/>
      <c r="F1787" s="44"/>
      <c r="G1787" s="44"/>
      <c r="H1787" s="44"/>
      <c r="I1787" s="45"/>
      <c r="J1787" s="45"/>
      <c r="K1787" s="45"/>
    </row>
    <row r="1788" spans="1:11">
      <c r="A1788" s="43"/>
      <c r="B1788" s="44"/>
      <c r="C1788" s="44"/>
      <c r="D1788" s="85"/>
      <c r="E1788" s="44"/>
      <c r="F1788" s="44"/>
      <c r="G1788" s="44"/>
      <c r="H1788" s="44"/>
      <c r="I1788" s="45"/>
      <c r="J1788" s="45"/>
      <c r="K1788" s="45"/>
    </row>
    <row r="1789" spans="1:11">
      <c r="A1789" s="43"/>
      <c r="B1789" s="44"/>
      <c r="C1789" s="44"/>
      <c r="D1789" s="85"/>
      <c r="E1789" s="44"/>
      <c r="F1789" s="44"/>
      <c r="G1789" s="44"/>
      <c r="H1789" s="44"/>
      <c r="I1789" s="45"/>
      <c r="J1789" s="45"/>
      <c r="K1789" s="45"/>
    </row>
    <row r="1790" spans="1:11">
      <c r="A1790" s="43"/>
      <c r="B1790" s="44"/>
      <c r="C1790" s="44"/>
      <c r="D1790" s="85"/>
      <c r="E1790" s="44"/>
      <c r="F1790" s="44"/>
      <c r="G1790" s="44"/>
      <c r="H1790" s="44"/>
      <c r="I1790" s="45"/>
      <c r="J1790" s="45"/>
      <c r="K1790" s="45"/>
    </row>
    <row r="1791" spans="1:11">
      <c r="A1791" s="43"/>
      <c r="B1791" s="44"/>
      <c r="C1791" s="44"/>
      <c r="D1791" s="85"/>
      <c r="E1791" s="44"/>
      <c r="F1791" s="44"/>
      <c r="G1791" s="44"/>
      <c r="H1791" s="44"/>
      <c r="I1791" s="45"/>
      <c r="J1791" s="45"/>
      <c r="K1791" s="45"/>
    </row>
    <row r="1792" spans="1:11">
      <c r="A1792" s="43"/>
      <c r="B1792" s="44"/>
      <c r="C1792" s="44"/>
      <c r="D1792" s="85"/>
      <c r="E1792" s="44"/>
      <c r="F1792" s="44"/>
      <c r="G1792" s="44"/>
      <c r="H1792" s="44"/>
      <c r="I1792" s="45"/>
      <c r="J1792" s="45"/>
      <c r="K1792" s="45"/>
    </row>
    <row r="1793" spans="1:11">
      <c r="A1793" s="43"/>
      <c r="B1793" s="44"/>
      <c r="C1793" s="44"/>
      <c r="D1793" s="85"/>
      <c r="E1793" s="44"/>
      <c r="F1793" s="44"/>
      <c r="G1793" s="44"/>
      <c r="H1793" s="44"/>
      <c r="I1793" s="45"/>
      <c r="J1793" s="45"/>
      <c r="K1793" s="45"/>
    </row>
    <row r="1794" spans="1:11">
      <c r="A1794" s="43"/>
      <c r="B1794" s="44"/>
      <c r="C1794" s="44"/>
      <c r="D1794" s="85"/>
      <c r="E1794" s="44"/>
      <c r="F1794" s="44"/>
      <c r="G1794" s="44"/>
      <c r="H1794" s="44"/>
      <c r="I1794" s="45"/>
      <c r="J1794" s="45"/>
      <c r="K1794" s="45"/>
    </row>
    <row r="1795" spans="1:11">
      <c r="A1795" s="43"/>
      <c r="B1795" s="44"/>
      <c r="C1795" s="44"/>
      <c r="D1795" s="85"/>
      <c r="E1795" s="44"/>
      <c r="F1795" s="44"/>
      <c r="G1795" s="44"/>
      <c r="H1795" s="44"/>
      <c r="I1795" s="45"/>
      <c r="J1795" s="45"/>
      <c r="K1795" s="45"/>
    </row>
    <row r="1796" spans="1:11">
      <c r="A1796" s="43"/>
      <c r="B1796" s="44"/>
      <c r="C1796" s="44"/>
      <c r="D1796" s="85"/>
      <c r="E1796" s="44"/>
      <c r="F1796" s="44"/>
      <c r="G1796" s="44"/>
      <c r="H1796" s="44"/>
      <c r="I1796" s="45"/>
      <c r="J1796" s="45"/>
      <c r="K1796" s="45"/>
    </row>
    <row r="1797" spans="1:11">
      <c r="A1797" s="43"/>
      <c r="B1797" s="44"/>
      <c r="C1797" s="44"/>
      <c r="D1797" s="85"/>
      <c r="E1797" s="44"/>
      <c r="F1797" s="44"/>
      <c r="G1797" s="44"/>
      <c r="H1797" s="44"/>
      <c r="I1797" s="45"/>
      <c r="J1797" s="45"/>
      <c r="K1797" s="45"/>
    </row>
    <row r="1798" spans="1:11">
      <c r="A1798" s="43"/>
      <c r="B1798" s="44"/>
      <c r="C1798" s="44"/>
      <c r="D1798" s="85"/>
      <c r="E1798" s="44"/>
      <c r="F1798" s="44"/>
      <c r="G1798" s="44"/>
      <c r="H1798" s="44"/>
      <c r="I1798" s="45"/>
      <c r="J1798" s="45"/>
      <c r="K1798" s="45"/>
    </row>
    <row r="1799" spans="1:11">
      <c r="A1799" s="43"/>
      <c r="B1799" s="44"/>
      <c r="C1799" s="44"/>
      <c r="D1799" s="85"/>
      <c r="E1799" s="44"/>
      <c r="F1799" s="44"/>
      <c r="G1799" s="44"/>
      <c r="H1799" s="44"/>
      <c r="I1799" s="45"/>
      <c r="J1799" s="45"/>
      <c r="K1799" s="45"/>
    </row>
    <row r="1800" spans="1:11">
      <c r="A1800" s="43"/>
      <c r="B1800" s="44"/>
      <c r="C1800" s="44"/>
      <c r="D1800" s="85"/>
      <c r="E1800" s="44"/>
      <c r="F1800" s="44"/>
      <c r="G1800" s="44"/>
      <c r="H1800" s="44"/>
      <c r="I1800" s="45"/>
      <c r="J1800" s="45"/>
      <c r="K1800" s="45"/>
    </row>
    <row r="1801" spans="1:11">
      <c r="A1801" s="43"/>
      <c r="B1801" s="44"/>
      <c r="C1801" s="44"/>
      <c r="D1801" s="85"/>
      <c r="E1801" s="44"/>
      <c r="F1801" s="44"/>
      <c r="G1801" s="44"/>
      <c r="H1801" s="44"/>
      <c r="I1801" s="45"/>
      <c r="J1801" s="45"/>
      <c r="K1801" s="45"/>
    </row>
    <row r="1802" spans="1:11">
      <c r="A1802" s="43"/>
      <c r="B1802" s="44"/>
      <c r="C1802" s="44"/>
      <c r="D1802" s="85"/>
      <c r="E1802" s="44"/>
      <c r="F1802" s="44"/>
      <c r="G1802" s="44"/>
      <c r="H1802" s="44"/>
      <c r="I1802" s="45"/>
      <c r="J1802" s="45"/>
      <c r="K1802" s="45"/>
    </row>
    <row r="1803" spans="1:11">
      <c r="A1803" s="43"/>
      <c r="B1803" s="44"/>
      <c r="C1803" s="44"/>
      <c r="D1803" s="85"/>
      <c r="E1803" s="44"/>
      <c r="F1803" s="44"/>
      <c r="G1803" s="44"/>
      <c r="H1803" s="44"/>
      <c r="I1803" s="45"/>
      <c r="J1803" s="45"/>
      <c r="K1803" s="45"/>
    </row>
    <row r="1804" spans="1:11">
      <c r="A1804" s="43"/>
      <c r="B1804" s="44"/>
      <c r="C1804" s="44"/>
      <c r="D1804" s="85"/>
      <c r="E1804" s="44"/>
      <c r="F1804" s="44"/>
      <c r="G1804" s="44"/>
      <c r="H1804" s="44"/>
      <c r="I1804" s="45"/>
      <c r="J1804" s="45"/>
      <c r="K1804" s="45"/>
    </row>
    <row r="1805" spans="1:11">
      <c r="A1805" s="43"/>
      <c r="B1805" s="44"/>
      <c r="C1805" s="44"/>
      <c r="D1805" s="85"/>
      <c r="E1805" s="44"/>
      <c r="F1805" s="44"/>
      <c r="G1805" s="44"/>
      <c r="H1805" s="44"/>
      <c r="I1805" s="45"/>
      <c r="J1805" s="45"/>
      <c r="K1805" s="45"/>
    </row>
    <row r="1806" spans="1:11">
      <c r="A1806" s="43"/>
      <c r="B1806" s="44"/>
      <c r="C1806" s="44"/>
      <c r="D1806" s="85"/>
      <c r="E1806" s="44"/>
      <c r="F1806" s="44"/>
      <c r="G1806" s="44"/>
      <c r="H1806" s="44"/>
      <c r="I1806" s="45"/>
      <c r="J1806" s="45"/>
      <c r="K1806" s="45"/>
    </row>
    <row r="1807" spans="1:11">
      <c r="A1807" s="43"/>
      <c r="B1807" s="44"/>
      <c r="C1807" s="44"/>
      <c r="D1807" s="85"/>
      <c r="E1807" s="44"/>
      <c r="F1807" s="44"/>
      <c r="G1807" s="44"/>
      <c r="H1807" s="44"/>
      <c r="I1807" s="45"/>
      <c r="J1807" s="45"/>
      <c r="K1807" s="45"/>
    </row>
    <row r="1808" spans="1:11">
      <c r="A1808" s="43"/>
      <c r="B1808" s="44"/>
      <c r="C1808" s="44"/>
      <c r="D1808" s="85"/>
      <c r="E1808" s="44"/>
      <c r="F1808" s="44"/>
      <c r="G1808" s="44"/>
      <c r="H1808" s="44"/>
      <c r="I1808" s="45"/>
      <c r="J1808" s="45"/>
      <c r="K1808" s="45"/>
    </row>
    <row r="1809" spans="1:11">
      <c r="A1809" s="43"/>
      <c r="B1809" s="44"/>
      <c r="C1809" s="44"/>
      <c r="D1809" s="85"/>
      <c r="E1809" s="44"/>
      <c r="F1809" s="44"/>
      <c r="G1809" s="44"/>
      <c r="H1809" s="44"/>
      <c r="I1809" s="45"/>
      <c r="J1809" s="45"/>
      <c r="K1809" s="45"/>
    </row>
    <row r="1810" spans="1:11">
      <c r="A1810" s="43"/>
      <c r="B1810" s="44"/>
      <c r="C1810" s="44"/>
      <c r="D1810" s="85"/>
      <c r="E1810" s="44"/>
      <c r="F1810" s="44"/>
      <c r="G1810" s="44"/>
      <c r="H1810" s="44"/>
      <c r="I1810" s="45"/>
      <c r="J1810" s="45"/>
      <c r="K1810" s="45"/>
    </row>
    <row r="1811" spans="1:11">
      <c r="A1811" s="43"/>
      <c r="B1811" s="44"/>
      <c r="C1811" s="44"/>
      <c r="D1811" s="85"/>
      <c r="E1811" s="44"/>
      <c r="F1811" s="44"/>
      <c r="G1811" s="44"/>
      <c r="H1811" s="44"/>
      <c r="I1811" s="45"/>
      <c r="J1811" s="45"/>
      <c r="K1811" s="45"/>
    </row>
    <row r="1812" spans="1:11">
      <c r="A1812" s="43"/>
      <c r="B1812" s="44"/>
      <c r="C1812" s="44"/>
      <c r="D1812" s="85"/>
      <c r="E1812" s="44"/>
      <c r="F1812" s="44"/>
      <c r="G1812" s="44"/>
      <c r="H1812" s="44"/>
      <c r="I1812" s="45"/>
      <c r="J1812" s="45"/>
      <c r="K1812" s="45"/>
    </row>
    <row r="1813" spans="1:11">
      <c r="A1813" s="43"/>
      <c r="B1813" s="44"/>
      <c r="C1813" s="44"/>
      <c r="D1813" s="85"/>
      <c r="E1813" s="44"/>
      <c r="F1813" s="44"/>
      <c r="G1813" s="44"/>
      <c r="H1813" s="44"/>
      <c r="I1813" s="45"/>
      <c r="J1813" s="45"/>
      <c r="K1813" s="45"/>
    </row>
    <row r="1814" spans="1:11">
      <c r="A1814" s="43"/>
      <c r="B1814" s="44"/>
      <c r="C1814" s="44"/>
      <c r="D1814" s="85"/>
      <c r="E1814" s="44"/>
      <c r="F1814" s="44"/>
      <c r="G1814" s="44"/>
      <c r="H1814" s="44"/>
      <c r="I1814" s="45"/>
      <c r="J1814" s="45"/>
      <c r="K1814" s="45"/>
    </row>
    <row r="1815" spans="1:11">
      <c r="A1815" s="43"/>
      <c r="B1815" s="44"/>
      <c r="C1815" s="44"/>
      <c r="D1815" s="85"/>
      <c r="E1815" s="44"/>
      <c r="F1815" s="44"/>
      <c r="G1815" s="44"/>
      <c r="H1815" s="44"/>
      <c r="I1815" s="45"/>
      <c r="J1815" s="45"/>
      <c r="K1815" s="45"/>
    </row>
    <row r="1816" spans="1:11">
      <c r="A1816" s="43"/>
      <c r="B1816" s="44"/>
      <c r="C1816" s="44"/>
      <c r="D1816" s="85"/>
      <c r="E1816" s="44"/>
      <c r="F1816" s="44"/>
      <c r="G1816" s="44"/>
      <c r="H1816" s="44"/>
      <c r="I1816" s="45"/>
      <c r="J1816" s="45"/>
      <c r="K1816" s="45"/>
    </row>
    <row r="1817" spans="1:11">
      <c r="A1817" s="43"/>
      <c r="B1817" s="44"/>
      <c r="C1817" s="44"/>
      <c r="D1817" s="85"/>
      <c r="E1817" s="44"/>
      <c r="F1817" s="44"/>
      <c r="G1817" s="44"/>
      <c r="H1817" s="44"/>
      <c r="I1817" s="45"/>
      <c r="J1817" s="45"/>
      <c r="K1817" s="45"/>
    </row>
    <row r="1818" spans="1:11">
      <c r="A1818" s="43"/>
      <c r="B1818" s="44"/>
      <c r="C1818" s="44"/>
      <c r="D1818" s="85"/>
      <c r="E1818" s="44"/>
      <c r="F1818" s="44"/>
      <c r="G1818" s="44"/>
      <c r="H1818" s="44"/>
      <c r="I1818" s="45"/>
      <c r="J1818" s="45"/>
      <c r="K1818" s="45"/>
    </row>
    <row r="1819" spans="1:11">
      <c r="A1819" s="43"/>
      <c r="B1819" s="44"/>
      <c r="C1819" s="44"/>
      <c r="D1819" s="85"/>
      <c r="E1819" s="44"/>
      <c r="F1819" s="44"/>
      <c r="G1819" s="44"/>
      <c r="H1819" s="44"/>
      <c r="I1819" s="45"/>
      <c r="J1819" s="45"/>
      <c r="K1819" s="45"/>
    </row>
    <row r="1820" spans="1:11">
      <c r="A1820" s="43"/>
      <c r="B1820" s="44"/>
      <c r="C1820" s="44"/>
      <c r="D1820" s="85"/>
      <c r="E1820" s="44"/>
      <c r="F1820" s="44"/>
      <c r="G1820" s="44"/>
      <c r="H1820" s="44"/>
      <c r="I1820" s="45"/>
      <c r="J1820" s="45"/>
      <c r="K1820" s="45"/>
    </row>
    <row r="1821" spans="1:11">
      <c r="A1821" s="43"/>
      <c r="B1821" s="44"/>
      <c r="C1821" s="44"/>
      <c r="D1821" s="44"/>
      <c r="E1821" s="44"/>
      <c r="F1821" s="44"/>
      <c r="G1821" s="44"/>
      <c r="H1821" s="44"/>
      <c r="I1821" s="45"/>
      <c r="J1821" s="45"/>
      <c r="K1821" s="45"/>
    </row>
    <row r="1822" spans="1:11">
      <c r="A1822" s="43"/>
      <c r="B1822" s="44"/>
      <c r="C1822" s="44"/>
      <c r="D1822" s="44"/>
      <c r="E1822" s="44"/>
      <c r="F1822" s="44"/>
      <c r="G1822" s="44"/>
      <c r="H1822" s="44"/>
      <c r="I1822" s="45"/>
      <c r="J1822" s="45"/>
      <c r="K1822" s="45"/>
    </row>
    <row r="1823" spans="1:11">
      <c r="A1823" s="43"/>
      <c r="B1823" s="44"/>
      <c r="C1823" s="44"/>
      <c r="D1823" s="44"/>
      <c r="E1823" s="44"/>
      <c r="F1823" s="44"/>
      <c r="G1823" s="44"/>
      <c r="H1823" s="44"/>
      <c r="I1823" s="45"/>
      <c r="J1823" s="45"/>
      <c r="K1823" s="45"/>
    </row>
    <row r="1824" spans="1:11">
      <c r="A1824" s="43"/>
      <c r="B1824" s="44"/>
      <c r="C1824" s="44"/>
      <c r="D1824" s="44"/>
      <c r="E1824" s="44"/>
      <c r="F1824" s="44"/>
      <c r="G1824" s="44"/>
      <c r="H1824" s="44"/>
      <c r="I1824" s="45"/>
      <c r="J1824" s="45"/>
      <c r="K1824" s="45"/>
    </row>
    <row r="1825" spans="1:11">
      <c r="A1825" s="43"/>
      <c r="B1825" s="44"/>
      <c r="C1825" s="44"/>
      <c r="D1825" s="44"/>
      <c r="E1825" s="44"/>
      <c r="F1825" s="44"/>
      <c r="G1825" s="44"/>
      <c r="H1825" s="44"/>
      <c r="I1825" s="45"/>
      <c r="J1825" s="45"/>
      <c r="K1825" s="45"/>
    </row>
    <row r="1826" spans="1:11">
      <c r="A1826" s="43"/>
      <c r="B1826" s="44"/>
      <c r="C1826" s="44"/>
      <c r="D1826" s="44"/>
      <c r="E1826" s="44"/>
      <c r="F1826" s="44"/>
      <c r="G1826" s="44"/>
      <c r="H1826" s="44"/>
      <c r="I1826" s="45"/>
      <c r="J1826" s="45"/>
      <c r="K1826" s="45"/>
    </row>
    <row r="1827" spans="1:11">
      <c r="A1827" s="43"/>
      <c r="B1827" s="44"/>
      <c r="C1827" s="44"/>
      <c r="D1827" s="44"/>
      <c r="E1827" s="44"/>
      <c r="F1827" s="44"/>
      <c r="G1827" s="44"/>
      <c r="H1827" s="44"/>
      <c r="I1827" s="45"/>
      <c r="J1827" s="45"/>
      <c r="K1827" s="45"/>
    </row>
    <row r="1828" spans="1:11">
      <c r="A1828" s="43"/>
      <c r="B1828" s="44"/>
      <c r="C1828" s="44"/>
      <c r="D1828" s="44"/>
      <c r="E1828" s="44"/>
      <c r="F1828" s="44"/>
      <c r="G1828" s="44"/>
      <c r="H1828" s="44"/>
      <c r="I1828" s="45"/>
      <c r="J1828" s="45"/>
      <c r="K1828" s="45"/>
    </row>
    <row r="1829" spans="1:11">
      <c r="A1829" s="43"/>
      <c r="B1829" s="44"/>
      <c r="C1829" s="44"/>
      <c r="D1829" s="44"/>
      <c r="E1829" s="44"/>
      <c r="F1829" s="44"/>
      <c r="G1829" s="44"/>
      <c r="H1829" s="44"/>
      <c r="I1829" s="45"/>
      <c r="J1829" s="45"/>
      <c r="K1829" s="45"/>
    </row>
    <row r="1830" spans="1:11">
      <c r="A1830" s="43"/>
      <c r="B1830" s="44"/>
      <c r="C1830" s="44"/>
      <c r="D1830" s="44"/>
      <c r="E1830" s="44"/>
      <c r="F1830" s="44"/>
      <c r="G1830" s="44"/>
      <c r="H1830" s="44"/>
      <c r="I1830" s="45"/>
      <c r="J1830" s="45"/>
      <c r="K1830" s="45"/>
    </row>
    <row r="1831" spans="1:11">
      <c r="A1831" s="43"/>
      <c r="B1831" s="44"/>
      <c r="C1831" s="44"/>
      <c r="D1831" s="44"/>
      <c r="E1831" s="44"/>
      <c r="F1831" s="44"/>
      <c r="G1831" s="44"/>
      <c r="H1831" s="44"/>
      <c r="I1831" s="45"/>
      <c r="J1831" s="45"/>
      <c r="K1831" s="45"/>
    </row>
    <row r="1832" spans="1:11">
      <c r="A1832" s="43"/>
      <c r="B1832" s="44"/>
      <c r="C1832" s="44"/>
      <c r="D1832" s="44"/>
      <c r="E1832" s="44"/>
      <c r="F1832" s="44"/>
      <c r="G1832" s="44"/>
      <c r="H1832" s="44"/>
      <c r="I1832" s="45"/>
      <c r="J1832" s="45"/>
      <c r="K1832" s="45"/>
    </row>
    <row r="1833" spans="1:11">
      <c r="A1833" s="43"/>
      <c r="B1833" s="44"/>
      <c r="C1833" s="44"/>
      <c r="D1833" s="44"/>
      <c r="E1833" s="44"/>
      <c r="F1833" s="44"/>
      <c r="G1833" s="44"/>
      <c r="H1833" s="44"/>
      <c r="I1833" s="45"/>
      <c r="J1833" s="45"/>
      <c r="K1833" s="45"/>
    </row>
    <row r="1834" spans="1:11">
      <c r="A1834" s="43"/>
      <c r="B1834" s="44"/>
      <c r="C1834" s="44"/>
      <c r="D1834" s="44"/>
      <c r="E1834" s="44"/>
      <c r="F1834" s="44"/>
      <c r="G1834" s="44"/>
      <c r="H1834" s="44"/>
      <c r="I1834" s="45"/>
      <c r="J1834" s="45"/>
      <c r="K1834" s="45"/>
    </row>
    <row r="1835" spans="1:11">
      <c r="A1835" s="43"/>
      <c r="B1835" s="44"/>
      <c r="C1835" s="44"/>
      <c r="D1835" s="44"/>
      <c r="E1835" s="44"/>
      <c r="F1835" s="44"/>
      <c r="G1835" s="44"/>
      <c r="H1835" s="44"/>
      <c r="I1835" s="45"/>
      <c r="J1835" s="45"/>
      <c r="K1835" s="45"/>
    </row>
    <row r="1836" spans="1:11">
      <c r="A1836" s="43"/>
      <c r="B1836" s="44"/>
      <c r="C1836" s="44"/>
      <c r="D1836" s="44"/>
      <c r="E1836" s="44"/>
      <c r="F1836" s="44"/>
      <c r="G1836" s="44"/>
      <c r="H1836" s="44"/>
      <c r="I1836" s="45"/>
      <c r="J1836" s="45"/>
      <c r="K1836" s="45"/>
    </row>
    <row r="1837" spans="1:11">
      <c r="A1837" s="43"/>
      <c r="B1837" s="44"/>
      <c r="C1837" s="44"/>
      <c r="D1837" s="44"/>
      <c r="E1837" s="44"/>
      <c r="F1837" s="44"/>
      <c r="G1837" s="44"/>
      <c r="H1837" s="44"/>
      <c r="I1837" s="45"/>
      <c r="J1837" s="45"/>
      <c r="K1837" s="45"/>
    </row>
    <row r="1838" spans="1:11">
      <c r="A1838" s="43"/>
      <c r="B1838" s="44"/>
      <c r="C1838" s="44"/>
      <c r="D1838" s="44"/>
      <c r="E1838" s="44"/>
      <c r="F1838" s="44"/>
      <c r="G1838" s="44"/>
      <c r="H1838" s="44"/>
      <c r="I1838" s="45"/>
      <c r="J1838" s="45"/>
      <c r="K1838" s="45"/>
    </row>
    <row r="1839" spans="1:11">
      <c r="A1839" s="43"/>
      <c r="B1839" s="44"/>
      <c r="C1839" s="44"/>
      <c r="D1839" s="44"/>
      <c r="E1839" s="44"/>
      <c r="F1839" s="44"/>
      <c r="G1839" s="44"/>
      <c r="H1839" s="44"/>
      <c r="I1839" s="45"/>
      <c r="J1839" s="45"/>
      <c r="K1839" s="45"/>
    </row>
    <row r="1840" spans="1:11">
      <c r="A1840" s="43"/>
      <c r="B1840" s="44"/>
      <c r="C1840" s="44"/>
      <c r="D1840" s="44"/>
      <c r="E1840" s="44"/>
      <c r="F1840" s="44"/>
      <c r="G1840" s="44"/>
      <c r="H1840" s="44"/>
      <c r="I1840" s="45"/>
      <c r="J1840" s="45"/>
      <c r="K1840" s="45"/>
    </row>
    <row r="1841" spans="1:11">
      <c r="A1841" s="43"/>
      <c r="B1841" s="44"/>
      <c r="C1841" s="44"/>
      <c r="D1841" s="44"/>
      <c r="E1841" s="44"/>
      <c r="F1841" s="44"/>
      <c r="G1841" s="44"/>
      <c r="H1841" s="44"/>
      <c r="I1841" s="45"/>
      <c r="J1841" s="45"/>
      <c r="K1841" s="45"/>
    </row>
    <row r="1842" spans="1:11">
      <c r="A1842" s="43"/>
      <c r="B1842" s="44"/>
      <c r="C1842" s="44"/>
      <c r="D1842" s="44"/>
      <c r="E1842" s="44"/>
      <c r="F1842" s="44"/>
      <c r="G1842" s="44"/>
      <c r="H1842" s="44"/>
      <c r="I1842" s="45"/>
      <c r="J1842" s="45"/>
      <c r="K1842" s="45"/>
    </row>
    <row r="1843" spans="1:11">
      <c r="A1843" s="43"/>
      <c r="B1843" s="44"/>
      <c r="C1843" s="44"/>
      <c r="D1843" s="44"/>
      <c r="E1843" s="44"/>
      <c r="F1843" s="44"/>
      <c r="G1843" s="44"/>
      <c r="H1843" s="44"/>
      <c r="I1843" s="45"/>
      <c r="J1843" s="45"/>
      <c r="K1843" s="45"/>
    </row>
    <row r="1844" spans="1:11">
      <c r="A1844" s="43"/>
      <c r="B1844" s="44"/>
      <c r="C1844" s="44"/>
      <c r="D1844" s="44"/>
      <c r="E1844" s="44"/>
      <c r="F1844" s="44"/>
      <c r="G1844" s="44"/>
      <c r="H1844" s="44"/>
      <c r="I1844" s="45"/>
      <c r="J1844" s="45"/>
      <c r="K1844" s="45"/>
    </row>
    <row r="1845" spans="1:11">
      <c r="A1845" s="43"/>
      <c r="B1845" s="44"/>
      <c r="C1845" s="44"/>
      <c r="D1845" s="44"/>
      <c r="E1845" s="44"/>
      <c r="F1845" s="44"/>
      <c r="G1845" s="44"/>
      <c r="H1845" s="44"/>
      <c r="I1845" s="45"/>
      <c r="J1845" s="45"/>
      <c r="K1845" s="45"/>
    </row>
    <row r="1846" spans="1:11">
      <c r="A1846" s="43"/>
      <c r="B1846" s="44"/>
      <c r="C1846" s="44"/>
      <c r="D1846" s="44"/>
      <c r="E1846" s="44"/>
      <c r="F1846" s="44"/>
      <c r="G1846" s="44"/>
      <c r="H1846" s="44"/>
      <c r="I1846" s="45"/>
      <c r="J1846" s="45"/>
      <c r="K1846" s="45"/>
    </row>
    <row r="1847" spans="1:11">
      <c r="A1847" s="43"/>
      <c r="B1847" s="44"/>
      <c r="C1847" s="44"/>
      <c r="D1847" s="44"/>
      <c r="E1847" s="44"/>
      <c r="F1847" s="44"/>
      <c r="G1847" s="44"/>
      <c r="H1847" s="44"/>
      <c r="I1847" s="45"/>
      <c r="J1847" s="45"/>
      <c r="K1847" s="45"/>
    </row>
    <row r="1848" spans="1:11">
      <c r="A1848" s="43"/>
      <c r="B1848" s="44"/>
      <c r="C1848" s="44"/>
      <c r="D1848" s="44"/>
      <c r="E1848" s="44"/>
      <c r="F1848" s="44"/>
      <c r="G1848" s="44"/>
      <c r="H1848" s="44"/>
      <c r="I1848" s="45"/>
      <c r="J1848" s="45"/>
      <c r="K1848" s="45"/>
    </row>
    <row r="1849" spans="1:11">
      <c r="A1849" s="43"/>
      <c r="B1849" s="44"/>
      <c r="C1849" s="44"/>
      <c r="D1849" s="44"/>
      <c r="E1849" s="44"/>
      <c r="F1849" s="44"/>
      <c r="G1849" s="44"/>
      <c r="H1849" s="44"/>
      <c r="I1849" s="45"/>
      <c r="J1849" s="45"/>
      <c r="K1849" s="45"/>
    </row>
    <row r="1850" spans="1:11">
      <c r="A1850" s="43"/>
      <c r="B1850" s="44"/>
      <c r="C1850" s="44"/>
      <c r="D1850" s="44"/>
      <c r="E1850" s="44"/>
      <c r="F1850" s="44"/>
      <c r="G1850" s="44"/>
      <c r="H1850" s="44"/>
      <c r="I1850" s="45"/>
      <c r="J1850" s="45"/>
      <c r="K1850" s="45"/>
    </row>
    <row r="1851" spans="1:11">
      <c r="A1851" s="43"/>
      <c r="B1851" s="44"/>
      <c r="C1851" s="44"/>
      <c r="D1851" s="44"/>
      <c r="E1851" s="44"/>
      <c r="F1851" s="44"/>
      <c r="G1851" s="44"/>
      <c r="H1851" s="44"/>
      <c r="I1851" s="45"/>
      <c r="J1851" s="45"/>
      <c r="K1851" s="45"/>
    </row>
    <row r="1852" spans="1:11">
      <c r="A1852" s="43"/>
      <c r="B1852" s="44"/>
      <c r="C1852" s="44"/>
      <c r="D1852" s="44"/>
      <c r="E1852" s="44"/>
      <c r="F1852" s="44"/>
      <c r="G1852" s="44"/>
      <c r="H1852" s="44"/>
      <c r="I1852" s="45"/>
      <c r="J1852" s="45"/>
      <c r="K1852" s="45"/>
    </row>
    <row r="1853" spans="1:11">
      <c r="A1853" s="43"/>
      <c r="B1853" s="44"/>
      <c r="C1853" s="44"/>
      <c r="D1853" s="44"/>
      <c r="E1853" s="44"/>
      <c r="F1853" s="44"/>
      <c r="G1853" s="44"/>
      <c r="H1853" s="44"/>
      <c r="I1853" s="45"/>
      <c r="J1853" s="45"/>
      <c r="K1853" s="45"/>
    </row>
    <row r="1854" spans="1:11">
      <c r="A1854" s="43"/>
      <c r="B1854" s="44"/>
      <c r="C1854" s="44"/>
      <c r="D1854" s="44"/>
      <c r="E1854" s="44"/>
      <c r="F1854" s="44"/>
      <c r="G1854" s="44"/>
      <c r="H1854" s="44"/>
      <c r="I1854" s="45"/>
      <c r="J1854" s="45"/>
      <c r="K1854" s="45"/>
    </row>
    <row r="1855" spans="1:11">
      <c r="A1855" s="43"/>
      <c r="B1855" s="44"/>
      <c r="C1855" s="44"/>
      <c r="D1855" s="44"/>
      <c r="E1855" s="44"/>
      <c r="F1855" s="44"/>
      <c r="G1855" s="44"/>
      <c r="H1855" s="44"/>
      <c r="I1855" s="45"/>
      <c r="J1855" s="45"/>
      <c r="K1855" s="45"/>
    </row>
    <row r="1856" spans="1:11">
      <c r="A1856" s="43"/>
      <c r="B1856" s="44"/>
      <c r="C1856" s="44"/>
      <c r="D1856" s="44"/>
      <c r="E1856" s="44"/>
      <c r="F1856" s="44"/>
      <c r="G1856" s="44"/>
      <c r="H1856" s="44"/>
      <c r="I1856" s="45"/>
      <c r="J1856" s="45"/>
      <c r="K1856" s="45"/>
    </row>
    <row r="1857" spans="1:11">
      <c r="A1857" s="43"/>
      <c r="B1857" s="44"/>
      <c r="C1857" s="44"/>
      <c r="D1857" s="44"/>
      <c r="E1857" s="44"/>
      <c r="F1857" s="44"/>
      <c r="G1857" s="44"/>
      <c r="H1857" s="44"/>
      <c r="I1857" s="45"/>
      <c r="J1857" s="45"/>
      <c r="K1857" s="45"/>
    </row>
    <row r="1858" spans="1:11">
      <c r="A1858" s="43"/>
      <c r="B1858" s="44"/>
      <c r="C1858" s="44"/>
      <c r="D1858" s="44"/>
      <c r="E1858" s="44"/>
      <c r="F1858" s="44"/>
      <c r="G1858" s="44"/>
      <c r="H1858" s="44"/>
      <c r="I1858" s="45"/>
      <c r="J1858" s="45"/>
      <c r="K1858" s="45"/>
    </row>
    <row r="1859" spans="1:11">
      <c r="A1859" s="43"/>
      <c r="B1859" s="44"/>
      <c r="C1859" s="44"/>
      <c r="D1859" s="44"/>
      <c r="E1859" s="44"/>
      <c r="F1859" s="44"/>
      <c r="G1859" s="44"/>
      <c r="H1859" s="44"/>
      <c r="I1859" s="45"/>
      <c r="J1859" s="45"/>
      <c r="K1859" s="45"/>
    </row>
    <row r="1860" spans="1:11">
      <c r="A1860" s="43"/>
      <c r="B1860" s="44"/>
      <c r="C1860" s="44"/>
      <c r="D1860" s="44"/>
      <c r="E1860" s="44"/>
      <c r="F1860" s="44"/>
      <c r="G1860" s="44"/>
      <c r="H1860" s="44"/>
      <c r="I1860" s="45"/>
      <c r="J1860" s="45"/>
      <c r="K1860" s="45"/>
    </row>
    <row r="1861" spans="1:11">
      <c r="A1861" s="43"/>
      <c r="B1861" s="44"/>
      <c r="C1861" s="44"/>
      <c r="D1861" s="44"/>
      <c r="E1861" s="44"/>
      <c r="F1861" s="44"/>
      <c r="G1861" s="44"/>
      <c r="H1861" s="44"/>
      <c r="I1861" s="45"/>
      <c r="J1861" s="45"/>
      <c r="K1861" s="45"/>
    </row>
    <row r="1862" spans="1:11">
      <c r="A1862" s="43"/>
      <c r="B1862" s="44"/>
      <c r="C1862" s="44"/>
      <c r="D1862" s="44"/>
      <c r="E1862" s="44"/>
      <c r="F1862" s="44"/>
      <c r="G1862" s="44"/>
      <c r="H1862" s="44"/>
      <c r="I1862" s="45"/>
      <c r="J1862" s="45"/>
      <c r="K1862" s="45"/>
    </row>
    <row r="1863" spans="1:11">
      <c r="A1863" s="43"/>
      <c r="B1863" s="44"/>
      <c r="C1863" s="44"/>
      <c r="D1863" s="44"/>
      <c r="E1863" s="44"/>
      <c r="F1863" s="44"/>
      <c r="G1863" s="44"/>
      <c r="H1863" s="44"/>
      <c r="I1863" s="45"/>
      <c r="J1863" s="45"/>
      <c r="K1863" s="45"/>
    </row>
    <row r="1864" spans="1:11">
      <c r="A1864" s="43"/>
      <c r="B1864" s="44"/>
      <c r="C1864" s="44"/>
      <c r="D1864" s="44"/>
      <c r="E1864" s="44"/>
      <c r="F1864" s="44"/>
      <c r="G1864" s="44"/>
      <c r="H1864" s="44"/>
      <c r="I1864" s="45"/>
      <c r="J1864" s="45"/>
      <c r="K1864" s="45"/>
    </row>
    <row r="1865" spans="1:11">
      <c r="A1865" s="43"/>
      <c r="B1865" s="44"/>
      <c r="C1865" s="44"/>
      <c r="D1865" s="44"/>
      <c r="E1865" s="44"/>
      <c r="F1865" s="44"/>
      <c r="G1865" s="44"/>
      <c r="H1865" s="44"/>
      <c r="I1865" s="45"/>
      <c r="J1865" s="45"/>
      <c r="K1865" s="45"/>
    </row>
    <row r="1866" spans="1:11">
      <c r="A1866" s="43"/>
      <c r="B1866" s="44"/>
      <c r="C1866" s="44"/>
      <c r="D1866" s="44"/>
      <c r="E1866" s="44"/>
      <c r="F1866" s="44"/>
      <c r="G1866" s="44"/>
      <c r="H1866" s="44"/>
      <c r="I1866" s="45"/>
      <c r="J1866" s="45"/>
      <c r="K1866" s="45"/>
    </row>
    <row r="1867" spans="1:11">
      <c r="A1867" s="43"/>
      <c r="B1867" s="44"/>
      <c r="C1867" s="44"/>
      <c r="D1867" s="44"/>
      <c r="E1867" s="44"/>
      <c r="F1867" s="44"/>
      <c r="G1867" s="44"/>
      <c r="H1867" s="44"/>
      <c r="I1867" s="45"/>
      <c r="J1867" s="45"/>
      <c r="K1867" s="45"/>
    </row>
    <row r="1868" spans="1:11">
      <c r="A1868" s="43"/>
      <c r="B1868" s="44"/>
      <c r="C1868" s="44"/>
      <c r="D1868" s="44"/>
      <c r="E1868" s="44"/>
      <c r="F1868" s="44"/>
      <c r="G1868" s="44"/>
      <c r="H1868" s="44"/>
      <c r="I1868" s="45"/>
      <c r="J1868" s="45"/>
      <c r="K1868" s="45"/>
    </row>
    <row r="1869" spans="1:11">
      <c r="A1869" s="43"/>
      <c r="B1869" s="44"/>
      <c r="C1869" s="44"/>
      <c r="D1869" s="44"/>
      <c r="E1869" s="44"/>
      <c r="F1869" s="44"/>
      <c r="G1869" s="44"/>
      <c r="H1869" s="44"/>
      <c r="I1869" s="45"/>
      <c r="J1869" s="45"/>
      <c r="K1869" s="45"/>
    </row>
    <row r="1870" spans="1:11">
      <c r="A1870" s="43"/>
      <c r="B1870" s="44"/>
      <c r="C1870" s="44"/>
      <c r="D1870" s="44"/>
      <c r="E1870" s="44"/>
      <c r="F1870" s="44"/>
      <c r="G1870" s="44"/>
      <c r="H1870" s="44"/>
      <c r="I1870" s="45"/>
      <c r="J1870" s="45"/>
      <c r="K1870" s="45"/>
    </row>
    <row r="1871" spans="1:11">
      <c r="A1871" s="43"/>
      <c r="B1871" s="44"/>
      <c r="C1871" s="44"/>
      <c r="D1871" s="44"/>
      <c r="E1871" s="44"/>
      <c r="F1871" s="44"/>
      <c r="G1871" s="44"/>
      <c r="H1871" s="44"/>
      <c r="I1871" s="45"/>
      <c r="J1871" s="45"/>
      <c r="K1871" s="45"/>
    </row>
    <row r="1872" spans="1:11">
      <c r="A1872" s="43"/>
      <c r="B1872" s="44"/>
      <c r="C1872" s="44"/>
      <c r="D1872" s="44"/>
      <c r="E1872" s="44"/>
      <c r="F1872" s="44"/>
      <c r="G1872" s="44"/>
      <c r="H1872" s="44"/>
      <c r="I1872" s="45"/>
      <c r="J1872" s="45"/>
      <c r="K1872" s="45"/>
    </row>
    <row r="1873" spans="1:11">
      <c r="A1873" s="43"/>
      <c r="B1873" s="44"/>
      <c r="C1873" s="44"/>
      <c r="D1873" s="44"/>
      <c r="E1873" s="44"/>
      <c r="F1873" s="44"/>
      <c r="G1873" s="44"/>
      <c r="H1873" s="44"/>
      <c r="I1873" s="45"/>
      <c r="J1873" s="45"/>
      <c r="K1873" s="45"/>
    </row>
    <row r="1874" spans="1:11">
      <c r="A1874" s="43"/>
      <c r="B1874" s="44"/>
      <c r="C1874" s="44"/>
      <c r="D1874" s="44"/>
      <c r="E1874" s="44"/>
      <c r="F1874" s="44"/>
      <c r="G1874" s="44"/>
      <c r="H1874" s="44"/>
      <c r="I1874" s="45"/>
      <c r="J1874" s="45"/>
      <c r="K1874" s="45"/>
    </row>
    <row r="1875" spans="1:11">
      <c r="A1875" s="43"/>
      <c r="B1875" s="44"/>
      <c r="C1875" s="44"/>
      <c r="D1875" s="44"/>
      <c r="E1875" s="44"/>
      <c r="F1875" s="44"/>
      <c r="G1875" s="44"/>
      <c r="H1875" s="44"/>
      <c r="I1875" s="45"/>
      <c r="J1875" s="45"/>
      <c r="K1875" s="45"/>
    </row>
    <row r="1876" spans="1:11">
      <c r="A1876" s="43"/>
      <c r="B1876" s="44"/>
      <c r="C1876" s="44"/>
      <c r="D1876" s="44"/>
      <c r="E1876" s="44"/>
      <c r="F1876" s="44"/>
      <c r="G1876" s="44"/>
      <c r="H1876" s="44"/>
      <c r="I1876" s="45"/>
      <c r="J1876" s="45"/>
      <c r="K1876" s="45"/>
    </row>
    <row r="1877" spans="1:11">
      <c r="A1877" s="43"/>
      <c r="B1877" s="44"/>
      <c r="C1877" s="44"/>
      <c r="D1877" s="44"/>
      <c r="E1877" s="44"/>
      <c r="F1877" s="44"/>
      <c r="G1877" s="44"/>
      <c r="H1877" s="44"/>
      <c r="I1877" s="45"/>
      <c r="J1877" s="45"/>
      <c r="K1877" s="45"/>
    </row>
    <row r="1878" spans="1:11">
      <c r="A1878" s="43"/>
      <c r="B1878" s="44"/>
      <c r="C1878" s="44"/>
      <c r="D1878" s="44"/>
      <c r="E1878" s="44"/>
      <c r="F1878" s="44"/>
      <c r="G1878" s="44"/>
      <c r="H1878" s="44"/>
      <c r="I1878" s="45"/>
      <c r="J1878" s="45"/>
      <c r="K1878" s="45"/>
    </row>
    <row r="1879" spans="1:11">
      <c r="A1879" s="43"/>
      <c r="B1879" s="44"/>
      <c r="C1879" s="44"/>
      <c r="D1879" s="44"/>
      <c r="E1879" s="44"/>
      <c r="F1879" s="44"/>
      <c r="G1879" s="44"/>
      <c r="H1879" s="44"/>
      <c r="I1879" s="45"/>
      <c r="J1879" s="45"/>
      <c r="K1879" s="45"/>
    </row>
    <row r="1880" spans="1:11">
      <c r="A1880" s="43"/>
      <c r="B1880" s="44"/>
      <c r="C1880" s="44"/>
      <c r="D1880" s="44"/>
      <c r="E1880" s="44"/>
      <c r="F1880" s="44"/>
      <c r="G1880" s="44"/>
      <c r="H1880" s="44"/>
      <c r="I1880" s="45"/>
      <c r="J1880" s="45"/>
      <c r="K1880" s="45"/>
    </row>
    <row r="1881" spans="1:11">
      <c r="A1881" s="43"/>
      <c r="B1881" s="44"/>
      <c r="C1881" s="44"/>
      <c r="D1881" s="44"/>
      <c r="E1881" s="44"/>
      <c r="F1881" s="44"/>
      <c r="G1881" s="44"/>
      <c r="H1881" s="44"/>
      <c r="I1881" s="45"/>
      <c r="J1881" s="45"/>
      <c r="K1881" s="45"/>
    </row>
    <row r="1882" spans="1:11">
      <c r="A1882" s="43"/>
      <c r="B1882" s="44"/>
      <c r="C1882" s="44"/>
      <c r="D1882" s="44"/>
      <c r="E1882" s="44"/>
      <c r="F1882" s="44"/>
      <c r="G1882" s="44"/>
      <c r="H1882" s="44"/>
      <c r="I1882" s="45"/>
      <c r="J1882" s="45"/>
      <c r="K1882" s="45"/>
    </row>
    <row r="1883" spans="1:11">
      <c r="A1883" s="43"/>
      <c r="B1883" s="44"/>
      <c r="C1883" s="44"/>
      <c r="D1883" s="44"/>
      <c r="E1883" s="44"/>
      <c r="F1883" s="44"/>
      <c r="G1883" s="44"/>
      <c r="H1883" s="44"/>
      <c r="I1883" s="45"/>
      <c r="J1883" s="45"/>
      <c r="K1883" s="45"/>
    </row>
    <row r="1884" spans="1:11">
      <c r="A1884" s="43"/>
      <c r="B1884" s="44"/>
      <c r="C1884" s="44"/>
      <c r="D1884" s="44"/>
      <c r="E1884" s="44"/>
      <c r="F1884" s="44"/>
      <c r="G1884" s="44"/>
      <c r="H1884" s="44"/>
      <c r="I1884" s="45"/>
      <c r="J1884" s="45"/>
      <c r="K1884" s="45"/>
    </row>
    <row r="1885" spans="1:11">
      <c r="A1885" s="43"/>
      <c r="B1885" s="44"/>
      <c r="C1885" s="44"/>
      <c r="D1885" s="44"/>
      <c r="E1885" s="44"/>
      <c r="F1885" s="44"/>
      <c r="G1885" s="44"/>
      <c r="H1885" s="44"/>
      <c r="I1885" s="45"/>
      <c r="J1885" s="45"/>
      <c r="K1885" s="45"/>
    </row>
    <row r="1886" spans="1:11">
      <c r="A1886" s="43"/>
      <c r="B1886" s="44"/>
      <c r="C1886" s="44"/>
      <c r="D1886" s="44"/>
      <c r="E1886" s="44"/>
      <c r="F1886" s="44"/>
      <c r="G1886" s="44"/>
      <c r="H1886" s="44"/>
      <c r="I1886" s="45"/>
      <c r="J1886" s="45"/>
      <c r="K1886" s="45"/>
    </row>
    <row r="1887" spans="1:11">
      <c r="A1887" s="43"/>
      <c r="B1887" s="44"/>
      <c r="C1887" s="44"/>
      <c r="D1887" s="44"/>
      <c r="E1887" s="44"/>
      <c r="F1887" s="44"/>
      <c r="G1887" s="44"/>
      <c r="H1887" s="44"/>
      <c r="I1887" s="45"/>
      <c r="J1887" s="45"/>
      <c r="K1887" s="45"/>
    </row>
    <row r="1888" spans="1:11">
      <c r="A1888" s="43"/>
      <c r="B1888" s="44"/>
      <c r="C1888" s="44"/>
      <c r="D1888" s="44"/>
      <c r="E1888" s="44"/>
      <c r="F1888" s="44"/>
      <c r="G1888" s="44"/>
      <c r="H1888" s="44"/>
      <c r="I1888" s="45"/>
      <c r="J1888" s="45"/>
      <c r="K1888" s="45"/>
    </row>
    <row r="1889" spans="1:11">
      <c r="A1889" s="43"/>
      <c r="B1889" s="44"/>
      <c r="C1889" s="44"/>
      <c r="D1889" s="44"/>
      <c r="E1889" s="44"/>
      <c r="F1889" s="44"/>
      <c r="G1889" s="44"/>
      <c r="H1889" s="44"/>
      <c r="I1889" s="45"/>
      <c r="J1889" s="45"/>
      <c r="K1889" s="45"/>
    </row>
    <row r="1890" spans="1:11">
      <c r="A1890" s="43"/>
      <c r="B1890" s="44"/>
      <c r="C1890" s="44"/>
      <c r="D1890" s="44"/>
      <c r="E1890" s="44"/>
      <c r="F1890" s="44"/>
      <c r="G1890" s="44"/>
      <c r="H1890" s="44"/>
      <c r="I1890" s="45"/>
      <c r="J1890" s="45"/>
      <c r="K1890" s="45"/>
    </row>
    <row r="1891" spans="1:11">
      <c r="A1891" s="43"/>
      <c r="B1891" s="44"/>
      <c r="C1891" s="44"/>
      <c r="D1891" s="44"/>
      <c r="E1891" s="44"/>
      <c r="F1891" s="44"/>
      <c r="G1891" s="44"/>
      <c r="H1891" s="44"/>
      <c r="I1891" s="45"/>
      <c r="J1891" s="45"/>
      <c r="K1891" s="45"/>
    </row>
    <row r="1892" spans="1:11">
      <c r="A1892" s="43"/>
      <c r="B1892" s="44"/>
      <c r="C1892" s="44"/>
      <c r="D1892" s="44"/>
      <c r="E1892" s="44"/>
      <c r="F1892" s="44"/>
      <c r="G1892" s="44"/>
      <c r="H1892" s="44"/>
      <c r="I1892" s="45"/>
      <c r="J1892" s="45"/>
      <c r="K1892" s="45"/>
    </row>
    <row r="1893" spans="1:11">
      <c r="A1893" s="43"/>
      <c r="B1893" s="44"/>
      <c r="C1893" s="44"/>
      <c r="D1893" s="44"/>
      <c r="E1893" s="44"/>
      <c r="F1893" s="44"/>
      <c r="G1893" s="44"/>
      <c r="H1893" s="44"/>
      <c r="I1893" s="45"/>
      <c r="J1893" s="45"/>
      <c r="K1893" s="45"/>
    </row>
    <row r="1894" spans="1:11">
      <c r="A1894" s="43"/>
      <c r="B1894" s="44"/>
      <c r="C1894" s="44"/>
      <c r="D1894" s="44"/>
      <c r="E1894" s="44"/>
      <c r="F1894" s="44"/>
      <c r="G1894" s="44"/>
      <c r="H1894" s="44"/>
      <c r="I1894" s="45"/>
      <c r="J1894" s="45"/>
      <c r="K1894" s="45"/>
    </row>
    <row r="1895" spans="1:11">
      <c r="A1895" s="43"/>
      <c r="B1895" s="44"/>
      <c r="C1895" s="44"/>
      <c r="D1895" s="44"/>
      <c r="E1895" s="44"/>
      <c r="F1895" s="44"/>
      <c r="G1895" s="44"/>
      <c r="H1895" s="44"/>
      <c r="I1895" s="45"/>
      <c r="J1895" s="45"/>
      <c r="K1895" s="45"/>
    </row>
    <row r="1896" spans="1:11">
      <c r="A1896" s="43"/>
      <c r="B1896" s="44"/>
      <c r="C1896" s="44"/>
      <c r="D1896" s="44"/>
      <c r="E1896" s="44"/>
      <c r="F1896" s="44"/>
      <c r="G1896" s="44"/>
      <c r="H1896" s="44"/>
      <c r="I1896" s="45"/>
      <c r="J1896" s="45"/>
      <c r="K1896" s="45"/>
    </row>
    <row r="1897" spans="1:11">
      <c r="A1897" s="43"/>
      <c r="B1897" s="44"/>
      <c r="C1897" s="44"/>
      <c r="D1897" s="44"/>
      <c r="E1897" s="44"/>
      <c r="F1897" s="44"/>
      <c r="G1897" s="44"/>
      <c r="H1897" s="44"/>
      <c r="I1897" s="45"/>
      <c r="J1897" s="45"/>
      <c r="K1897" s="45"/>
    </row>
    <row r="1898" spans="1:11">
      <c r="A1898" s="43"/>
      <c r="B1898" s="44"/>
      <c r="C1898" s="44"/>
      <c r="D1898" s="44"/>
      <c r="E1898" s="44"/>
      <c r="F1898" s="44"/>
      <c r="G1898" s="44"/>
      <c r="H1898" s="44"/>
      <c r="I1898" s="45"/>
      <c r="J1898" s="45"/>
      <c r="K1898" s="45"/>
    </row>
    <row r="1899" spans="1:11">
      <c r="A1899" s="43"/>
      <c r="B1899" s="44"/>
      <c r="C1899" s="44"/>
      <c r="D1899" s="44"/>
      <c r="E1899" s="44"/>
      <c r="F1899" s="44"/>
      <c r="G1899" s="44"/>
      <c r="H1899" s="44"/>
      <c r="I1899" s="45"/>
      <c r="J1899" s="45"/>
      <c r="K1899" s="45"/>
    </row>
    <row r="1900" spans="1:11">
      <c r="A1900" s="43"/>
      <c r="B1900" s="44"/>
      <c r="C1900" s="44"/>
      <c r="D1900" s="44"/>
      <c r="E1900" s="44"/>
      <c r="F1900" s="44"/>
      <c r="G1900" s="44"/>
      <c r="H1900" s="44"/>
      <c r="I1900" s="45"/>
      <c r="J1900" s="45"/>
      <c r="K1900" s="45"/>
    </row>
    <row r="1901" spans="1:11">
      <c r="A1901" s="43"/>
      <c r="B1901" s="44"/>
      <c r="C1901" s="44"/>
      <c r="D1901" s="44"/>
      <c r="E1901" s="44"/>
      <c r="F1901" s="44"/>
      <c r="G1901" s="44"/>
      <c r="H1901" s="44"/>
      <c r="I1901" s="45"/>
      <c r="J1901" s="45"/>
      <c r="K1901" s="45"/>
    </row>
    <row r="1902" spans="1:11">
      <c r="A1902" s="43"/>
      <c r="B1902" s="44"/>
      <c r="C1902" s="44"/>
      <c r="D1902" s="44"/>
      <c r="E1902" s="44"/>
      <c r="F1902" s="44"/>
      <c r="G1902" s="44"/>
      <c r="H1902" s="44"/>
      <c r="I1902" s="45"/>
      <c r="J1902" s="45"/>
      <c r="K1902" s="45"/>
    </row>
    <row r="1903" spans="1:11">
      <c r="A1903" s="43"/>
      <c r="B1903" s="44"/>
      <c r="C1903" s="44"/>
      <c r="D1903" s="44"/>
      <c r="E1903" s="44"/>
      <c r="F1903" s="44"/>
      <c r="G1903" s="44"/>
      <c r="H1903" s="44"/>
      <c r="I1903" s="45"/>
      <c r="J1903" s="45"/>
      <c r="K1903" s="45"/>
    </row>
    <row r="1904" spans="1:11">
      <c r="A1904" s="43"/>
      <c r="B1904" s="44"/>
      <c r="C1904" s="44"/>
      <c r="D1904" s="44"/>
      <c r="E1904" s="44"/>
      <c r="F1904" s="44"/>
      <c r="G1904" s="44"/>
      <c r="H1904" s="44"/>
      <c r="I1904" s="45"/>
      <c r="J1904" s="45"/>
      <c r="K1904" s="45"/>
    </row>
    <row r="1905" spans="1:11">
      <c r="A1905" s="43"/>
      <c r="B1905" s="44"/>
      <c r="C1905" s="44"/>
      <c r="D1905" s="44"/>
      <c r="E1905" s="44"/>
      <c r="F1905" s="44"/>
      <c r="G1905" s="44"/>
      <c r="H1905" s="44"/>
      <c r="I1905" s="45"/>
      <c r="J1905" s="45"/>
      <c r="K1905" s="45"/>
    </row>
    <row r="1906" spans="1:11">
      <c r="A1906" s="43"/>
      <c r="B1906" s="44"/>
      <c r="C1906" s="44"/>
      <c r="D1906" s="44"/>
      <c r="E1906" s="44"/>
      <c r="F1906" s="44"/>
      <c r="G1906" s="44"/>
      <c r="H1906" s="44"/>
      <c r="I1906" s="45"/>
      <c r="J1906" s="45"/>
      <c r="K1906" s="45"/>
    </row>
    <row r="1907" spans="1:11">
      <c r="A1907" s="43"/>
      <c r="B1907" s="44"/>
      <c r="C1907" s="44"/>
      <c r="D1907" s="44"/>
      <c r="E1907" s="44"/>
      <c r="F1907" s="44"/>
      <c r="G1907" s="44"/>
      <c r="H1907" s="44"/>
      <c r="I1907" s="45"/>
      <c r="J1907" s="45"/>
      <c r="K1907" s="45"/>
    </row>
    <row r="1908" spans="1:11">
      <c r="A1908" s="43"/>
      <c r="B1908" s="44"/>
      <c r="C1908" s="44"/>
      <c r="D1908" s="44"/>
      <c r="E1908" s="44"/>
      <c r="F1908" s="44"/>
      <c r="G1908" s="44"/>
      <c r="H1908" s="44"/>
      <c r="I1908" s="45"/>
      <c r="J1908" s="45"/>
      <c r="K1908" s="45"/>
    </row>
    <row r="1909" spans="1:11">
      <c r="A1909" s="43"/>
      <c r="B1909" s="44"/>
      <c r="C1909" s="44"/>
      <c r="D1909" s="44"/>
      <c r="E1909" s="44"/>
      <c r="F1909" s="44"/>
      <c r="G1909" s="44"/>
      <c r="H1909" s="44"/>
      <c r="I1909" s="45"/>
      <c r="J1909" s="45"/>
      <c r="K1909" s="45"/>
    </row>
    <row r="1910" spans="1:11">
      <c r="A1910" s="43"/>
      <c r="B1910" s="44"/>
      <c r="C1910" s="44"/>
      <c r="D1910" s="44"/>
      <c r="E1910" s="44"/>
      <c r="F1910" s="44"/>
      <c r="G1910" s="44"/>
      <c r="H1910" s="44"/>
      <c r="I1910" s="45"/>
      <c r="J1910" s="45"/>
      <c r="K1910" s="45"/>
    </row>
    <row r="1911" spans="1:11">
      <c r="A1911" s="43"/>
      <c r="B1911" s="44"/>
      <c r="C1911" s="44"/>
      <c r="D1911" s="44"/>
      <c r="E1911" s="44"/>
      <c r="F1911" s="44"/>
      <c r="G1911" s="44"/>
      <c r="H1911" s="44"/>
      <c r="I1911" s="45"/>
      <c r="J1911" s="45"/>
      <c r="K1911" s="45"/>
    </row>
    <row r="1912" spans="1:11">
      <c r="A1912" s="43"/>
      <c r="B1912" s="44"/>
      <c r="C1912" s="44"/>
      <c r="D1912" s="44"/>
      <c r="E1912" s="44"/>
      <c r="F1912" s="44"/>
      <c r="G1912" s="44"/>
      <c r="H1912" s="44"/>
      <c r="I1912" s="45"/>
      <c r="J1912" s="45"/>
      <c r="K1912" s="45"/>
    </row>
    <row r="1913" spans="1:11">
      <c r="A1913" s="43"/>
      <c r="B1913" s="44"/>
      <c r="C1913" s="44"/>
      <c r="D1913" s="44"/>
      <c r="E1913" s="44"/>
      <c r="F1913" s="44"/>
      <c r="G1913" s="44"/>
      <c r="H1913" s="44"/>
      <c r="I1913" s="45"/>
      <c r="J1913" s="45"/>
      <c r="K1913" s="45"/>
    </row>
    <row r="1914" spans="1:11">
      <c r="A1914" s="43"/>
      <c r="B1914" s="44"/>
      <c r="C1914" s="44"/>
      <c r="D1914" s="44"/>
      <c r="E1914" s="44"/>
      <c r="F1914" s="44"/>
      <c r="G1914" s="44"/>
      <c r="H1914" s="44"/>
      <c r="I1914" s="45"/>
      <c r="J1914" s="45"/>
      <c r="K1914" s="45"/>
    </row>
    <row r="1915" spans="1:11">
      <c r="A1915" s="43"/>
      <c r="B1915" s="44"/>
      <c r="C1915" s="44"/>
      <c r="D1915" s="44"/>
      <c r="E1915" s="44"/>
      <c r="F1915" s="44"/>
      <c r="G1915" s="44"/>
      <c r="H1915" s="44"/>
      <c r="I1915" s="45"/>
      <c r="J1915" s="45"/>
      <c r="K1915" s="45"/>
    </row>
    <row r="1916" spans="1:11">
      <c r="A1916" s="43"/>
      <c r="B1916" s="44"/>
      <c r="C1916" s="44"/>
      <c r="D1916" s="44"/>
      <c r="E1916" s="44"/>
      <c r="F1916" s="44"/>
      <c r="G1916" s="44"/>
      <c r="H1916" s="44"/>
      <c r="I1916" s="45"/>
      <c r="J1916" s="45"/>
      <c r="K1916" s="45"/>
    </row>
    <row r="1917" spans="1:11">
      <c r="A1917" s="43"/>
      <c r="B1917" s="44"/>
      <c r="C1917" s="44"/>
      <c r="D1917" s="44"/>
      <c r="E1917" s="44"/>
      <c r="F1917" s="44"/>
      <c r="G1917" s="44"/>
      <c r="H1917" s="44"/>
      <c r="I1917" s="45"/>
      <c r="J1917" s="45"/>
      <c r="K1917" s="45"/>
    </row>
    <row r="1918" spans="1:11">
      <c r="A1918" s="43"/>
      <c r="B1918" s="44"/>
      <c r="C1918" s="44"/>
      <c r="D1918" s="44"/>
      <c r="E1918" s="44"/>
      <c r="F1918" s="44"/>
      <c r="G1918" s="44"/>
      <c r="H1918" s="44"/>
      <c r="I1918" s="45"/>
      <c r="J1918" s="45"/>
      <c r="K1918" s="45"/>
    </row>
    <row r="1919" spans="1:11">
      <c r="A1919" s="43"/>
      <c r="B1919" s="44"/>
      <c r="C1919" s="44"/>
      <c r="D1919" s="44"/>
      <c r="E1919" s="44"/>
      <c r="F1919" s="44"/>
      <c r="G1919" s="44"/>
      <c r="H1919" s="44"/>
      <c r="I1919" s="45"/>
      <c r="J1919" s="45"/>
      <c r="K1919" s="45"/>
    </row>
    <row r="1920" spans="1:11">
      <c r="A1920" s="43"/>
      <c r="B1920" s="44"/>
      <c r="C1920" s="44"/>
      <c r="D1920" s="44"/>
      <c r="E1920" s="44"/>
      <c r="F1920" s="44"/>
      <c r="G1920" s="44"/>
      <c r="H1920" s="44"/>
      <c r="I1920" s="45"/>
      <c r="J1920" s="45"/>
      <c r="K1920" s="45"/>
    </row>
    <row r="1921" spans="1:11">
      <c r="A1921" s="43"/>
      <c r="B1921" s="44"/>
      <c r="C1921" s="44"/>
      <c r="D1921" s="44"/>
      <c r="E1921" s="44"/>
      <c r="F1921" s="44"/>
      <c r="G1921" s="44"/>
      <c r="H1921" s="44"/>
      <c r="I1921" s="45"/>
      <c r="J1921" s="45"/>
      <c r="K1921" s="45"/>
    </row>
    <row r="1922" spans="1:11">
      <c r="A1922" s="43"/>
      <c r="B1922" s="44"/>
      <c r="C1922" s="44"/>
      <c r="D1922" s="44"/>
      <c r="E1922" s="44"/>
      <c r="F1922" s="44"/>
      <c r="G1922" s="44"/>
      <c r="H1922" s="44"/>
      <c r="I1922" s="45"/>
      <c r="J1922" s="45"/>
      <c r="K1922" s="45"/>
    </row>
    <row r="1923" spans="1:11">
      <c r="A1923" s="43"/>
      <c r="B1923" s="44"/>
      <c r="C1923" s="44"/>
      <c r="D1923" s="44"/>
      <c r="E1923" s="44"/>
      <c r="F1923" s="44"/>
      <c r="G1923" s="44"/>
      <c r="H1923" s="44"/>
      <c r="I1923" s="45"/>
      <c r="J1923" s="45"/>
      <c r="K1923" s="45"/>
    </row>
    <row r="1924" spans="1:11">
      <c r="A1924" s="43"/>
      <c r="B1924" s="44"/>
      <c r="C1924" s="44"/>
      <c r="D1924" s="85"/>
      <c r="E1924" s="44"/>
      <c r="F1924" s="44"/>
      <c r="G1924" s="44"/>
      <c r="H1924" s="44"/>
      <c r="I1924" s="45"/>
      <c r="J1924" s="45"/>
      <c r="K1924" s="45"/>
    </row>
    <row r="1925" spans="1:11">
      <c r="A1925" s="43"/>
      <c r="B1925" s="44"/>
      <c r="C1925" s="44"/>
      <c r="D1925" s="85"/>
      <c r="E1925" s="44"/>
      <c r="F1925" s="44"/>
      <c r="G1925" s="44"/>
      <c r="H1925" s="44"/>
      <c r="I1925" s="45"/>
      <c r="J1925" s="45"/>
      <c r="K1925" s="45"/>
    </row>
    <row r="1926" spans="1:11">
      <c r="A1926" s="43"/>
      <c r="B1926" s="44"/>
      <c r="C1926" s="44"/>
      <c r="D1926" s="85"/>
      <c r="E1926" s="44"/>
      <c r="F1926" s="44"/>
      <c r="G1926" s="44"/>
      <c r="H1926" s="44"/>
      <c r="I1926" s="45"/>
      <c r="J1926" s="45"/>
      <c r="K1926" s="45"/>
    </row>
    <row r="1927" spans="1:11">
      <c r="A1927" s="43"/>
      <c r="B1927" s="44"/>
      <c r="C1927" s="44"/>
      <c r="D1927" s="85"/>
      <c r="E1927" s="44"/>
      <c r="F1927" s="44"/>
      <c r="G1927" s="44"/>
      <c r="H1927" s="44"/>
      <c r="I1927" s="45"/>
      <c r="J1927" s="45"/>
      <c r="K1927" s="45"/>
    </row>
    <row r="1928" spans="1:11">
      <c r="A1928" s="43"/>
      <c r="B1928" s="44"/>
      <c r="C1928" s="44"/>
      <c r="D1928" s="85"/>
      <c r="E1928" s="44"/>
      <c r="F1928" s="44"/>
      <c r="G1928" s="44"/>
      <c r="H1928" s="44"/>
      <c r="I1928" s="45"/>
      <c r="J1928" s="45"/>
      <c r="K1928" s="45"/>
    </row>
    <row r="1929" spans="1:11">
      <c r="A1929" s="43"/>
      <c r="B1929" s="44"/>
      <c r="C1929" s="44"/>
      <c r="D1929" s="85"/>
      <c r="E1929" s="44"/>
      <c r="F1929" s="44"/>
      <c r="G1929" s="44"/>
      <c r="H1929" s="44"/>
      <c r="I1929" s="45"/>
      <c r="J1929" s="45"/>
      <c r="K1929" s="45"/>
    </row>
    <row r="1930" spans="1:11">
      <c r="A1930" s="43"/>
      <c r="B1930" s="44"/>
      <c r="C1930" s="44"/>
      <c r="D1930" s="85"/>
      <c r="E1930" s="44"/>
      <c r="F1930" s="44"/>
      <c r="G1930" s="44"/>
      <c r="H1930" s="44"/>
      <c r="I1930" s="45"/>
      <c r="J1930" s="45"/>
      <c r="K1930" s="45"/>
    </row>
    <row r="1931" spans="1:11">
      <c r="A1931" s="43"/>
      <c r="B1931" s="44"/>
      <c r="C1931" s="44"/>
      <c r="D1931" s="85"/>
      <c r="E1931" s="44"/>
      <c r="F1931" s="44"/>
      <c r="G1931" s="44"/>
      <c r="H1931" s="44"/>
      <c r="I1931" s="45"/>
      <c r="J1931" s="45"/>
      <c r="K1931" s="45"/>
    </row>
    <row r="1932" spans="1:11">
      <c r="A1932" s="43"/>
      <c r="B1932" s="44"/>
      <c r="C1932" s="44"/>
      <c r="D1932" s="85"/>
      <c r="E1932" s="44"/>
      <c r="F1932" s="44"/>
      <c r="G1932" s="44"/>
      <c r="H1932" s="44"/>
      <c r="I1932" s="45"/>
      <c r="J1932" s="45"/>
      <c r="K1932" s="45"/>
    </row>
    <row r="1933" spans="1:11">
      <c r="A1933" s="43"/>
      <c r="B1933" s="44"/>
      <c r="C1933" s="44"/>
      <c r="D1933" s="85"/>
      <c r="E1933" s="44"/>
      <c r="F1933" s="44"/>
      <c r="G1933" s="44"/>
      <c r="H1933" s="44"/>
      <c r="I1933" s="45"/>
      <c r="J1933" s="45"/>
      <c r="K1933" s="45"/>
    </row>
    <row r="1934" spans="1:11">
      <c r="A1934" s="43"/>
      <c r="B1934" s="44"/>
      <c r="C1934" s="44"/>
      <c r="D1934" s="85"/>
      <c r="E1934" s="44"/>
      <c r="F1934" s="44"/>
      <c r="G1934" s="44"/>
      <c r="H1934" s="44"/>
      <c r="I1934" s="45"/>
      <c r="J1934" s="45"/>
      <c r="K1934" s="45"/>
    </row>
    <row r="1935" spans="1:11">
      <c r="A1935" s="43"/>
      <c r="B1935" s="44"/>
      <c r="C1935" s="44"/>
      <c r="D1935" s="85"/>
      <c r="E1935" s="44"/>
      <c r="F1935" s="44"/>
      <c r="G1935" s="44"/>
      <c r="H1935" s="44"/>
      <c r="I1935" s="45"/>
      <c r="J1935" s="45"/>
      <c r="K1935" s="45"/>
    </row>
    <row r="1936" spans="1:11">
      <c r="A1936" s="43"/>
      <c r="B1936" s="44"/>
      <c r="C1936" s="44"/>
      <c r="D1936" s="85"/>
      <c r="E1936" s="44"/>
      <c r="F1936" s="44"/>
      <c r="G1936" s="44"/>
      <c r="H1936" s="44"/>
      <c r="I1936" s="45"/>
      <c r="J1936" s="45"/>
      <c r="K1936" s="45"/>
    </row>
    <row r="1937" spans="1:11">
      <c r="A1937" s="43"/>
      <c r="B1937" s="44"/>
      <c r="C1937" s="44"/>
      <c r="D1937" s="85"/>
      <c r="E1937" s="44"/>
      <c r="F1937" s="44"/>
      <c r="G1937" s="44"/>
      <c r="H1937" s="44"/>
      <c r="I1937" s="45"/>
      <c r="J1937" s="45"/>
      <c r="K1937" s="45"/>
    </row>
    <row r="1938" spans="1:11">
      <c r="A1938" s="43"/>
      <c r="B1938" s="44"/>
      <c r="C1938" s="44"/>
      <c r="D1938" s="85"/>
      <c r="E1938" s="44"/>
      <c r="F1938" s="44"/>
      <c r="G1938" s="44"/>
      <c r="H1938" s="44"/>
      <c r="I1938" s="45"/>
      <c r="J1938" s="45"/>
      <c r="K1938" s="45"/>
    </row>
    <row r="1939" spans="1:11">
      <c r="A1939" s="43"/>
      <c r="B1939" s="44"/>
      <c r="C1939" s="44"/>
      <c r="D1939" s="85"/>
      <c r="E1939" s="44"/>
      <c r="F1939" s="44"/>
      <c r="G1939" s="44"/>
      <c r="H1939" s="44"/>
      <c r="I1939" s="45"/>
      <c r="J1939" s="45"/>
      <c r="K1939" s="45"/>
    </row>
    <row r="1940" spans="1:11">
      <c r="A1940" s="43"/>
      <c r="B1940" s="44"/>
      <c r="C1940" s="44"/>
      <c r="D1940" s="85"/>
      <c r="E1940" s="44"/>
      <c r="F1940" s="44"/>
      <c r="G1940" s="44"/>
      <c r="H1940" s="44"/>
      <c r="I1940" s="45"/>
      <c r="J1940" s="45"/>
      <c r="K1940" s="45"/>
    </row>
    <row r="1941" spans="1:11">
      <c r="A1941" s="43"/>
      <c r="B1941" s="44"/>
      <c r="C1941" s="44"/>
      <c r="D1941" s="85"/>
      <c r="E1941" s="44"/>
      <c r="F1941" s="44"/>
      <c r="G1941" s="44"/>
      <c r="H1941" s="44"/>
      <c r="I1941" s="45"/>
      <c r="J1941" s="45"/>
      <c r="K1941" s="45"/>
    </row>
    <row r="1942" spans="1:11">
      <c r="A1942" s="43"/>
      <c r="B1942" s="44"/>
      <c r="C1942" s="44"/>
      <c r="D1942" s="85"/>
      <c r="E1942" s="44"/>
      <c r="F1942" s="44"/>
      <c r="G1942" s="44"/>
      <c r="H1942" s="44"/>
      <c r="I1942" s="45"/>
      <c r="J1942" s="45"/>
      <c r="K1942" s="45"/>
    </row>
    <row r="1943" spans="1:11">
      <c r="A1943" s="43"/>
      <c r="B1943" s="44"/>
      <c r="C1943" s="44"/>
      <c r="D1943" s="85"/>
      <c r="E1943" s="44"/>
      <c r="F1943" s="44"/>
      <c r="G1943" s="44"/>
      <c r="H1943" s="44"/>
      <c r="I1943" s="45"/>
      <c r="J1943" s="45"/>
      <c r="K1943" s="45"/>
    </row>
    <row r="1944" spans="1:11">
      <c r="A1944" s="43"/>
      <c r="B1944" s="44"/>
      <c r="C1944" s="44"/>
      <c r="D1944" s="85"/>
      <c r="E1944" s="44"/>
      <c r="F1944" s="44"/>
      <c r="G1944" s="44"/>
      <c r="H1944" s="44"/>
      <c r="I1944" s="45"/>
      <c r="J1944" s="45"/>
      <c r="K1944" s="45"/>
    </row>
    <row r="1945" spans="1:11">
      <c r="A1945" s="43"/>
      <c r="B1945" s="44"/>
      <c r="C1945" s="44"/>
      <c r="D1945" s="85"/>
      <c r="E1945" s="44"/>
      <c r="F1945" s="44"/>
      <c r="G1945" s="44"/>
      <c r="H1945" s="44"/>
      <c r="I1945" s="45"/>
      <c r="J1945" s="45"/>
      <c r="K1945" s="45"/>
    </row>
    <row r="1946" spans="1:11">
      <c r="A1946" s="43"/>
      <c r="B1946" s="44"/>
      <c r="C1946" s="44"/>
      <c r="D1946" s="85"/>
      <c r="E1946" s="44"/>
      <c r="F1946" s="44"/>
      <c r="G1946" s="44"/>
      <c r="H1946" s="44"/>
      <c r="I1946" s="45"/>
      <c r="J1946" s="45"/>
      <c r="K1946" s="45"/>
    </row>
    <row r="1947" spans="1:11">
      <c r="A1947" s="43"/>
      <c r="B1947" s="44"/>
      <c r="C1947" s="44"/>
      <c r="D1947" s="85"/>
      <c r="E1947" s="44"/>
      <c r="F1947" s="44"/>
      <c r="G1947" s="44"/>
      <c r="H1947" s="44"/>
      <c r="I1947" s="45"/>
      <c r="J1947" s="45"/>
      <c r="K1947" s="45"/>
    </row>
    <row r="1948" spans="1:11">
      <c r="A1948" s="43"/>
      <c r="B1948" s="44"/>
      <c r="C1948" s="44"/>
      <c r="D1948" s="85"/>
      <c r="E1948" s="44"/>
      <c r="F1948" s="44"/>
      <c r="G1948" s="44"/>
      <c r="H1948" s="44"/>
      <c r="I1948" s="45"/>
      <c r="J1948" s="45"/>
      <c r="K1948" s="45"/>
    </row>
    <row r="1949" spans="1:11">
      <c r="A1949" s="43"/>
      <c r="B1949" s="44"/>
      <c r="C1949" s="44"/>
      <c r="D1949" s="85"/>
      <c r="E1949" s="44"/>
      <c r="F1949" s="44"/>
      <c r="G1949" s="44"/>
      <c r="H1949" s="44"/>
      <c r="I1949" s="45"/>
      <c r="J1949" s="45"/>
      <c r="K1949" s="45"/>
    </row>
    <row r="1950" spans="1:11">
      <c r="A1950" s="43"/>
      <c r="B1950" s="44"/>
      <c r="C1950" s="44"/>
      <c r="D1950" s="85"/>
      <c r="E1950" s="44"/>
      <c r="F1950" s="44"/>
      <c r="G1950" s="44"/>
      <c r="H1950" s="44"/>
      <c r="I1950" s="45"/>
      <c r="J1950" s="45"/>
      <c r="K1950" s="45"/>
    </row>
    <row r="1951" spans="1:11">
      <c r="A1951" s="43"/>
      <c r="B1951" s="44"/>
      <c r="C1951" s="44"/>
      <c r="D1951" s="85"/>
      <c r="E1951" s="44"/>
      <c r="F1951" s="44"/>
      <c r="G1951" s="44"/>
      <c r="H1951" s="44"/>
      <c r="I1951" s="45"/>
      <c r="J1951" s="45"/>
      <c r="K1951" s="45"/>
    </row>
    <row r="1952" spans="1:11">
      <c r="A1952" s="43"/>
      <c r="B1952" s="44"/>
      <c r="C1952" s="44"/>
      <c r="D1952" s="85"/>
      <c r="E1952" s="44"/>
      <c r="F1952" s="44"/>
      <c r="G1952" s="44"/>
      <c r="H1952" s="44"/>
      <c r="I1952" s="45"/>
      <c r="J1952" s="45"/>
      <c r="K1952" s="45"/>
    </row>
    <row r="1953" spans="1:11">
      <c r="A1953" s="43"/>
      <c r="B1953" s="44"/>
      <c r="C1953" s="44"/>
      <c r="D1953" s="85"/>
      <c r="E1953" s="44"/>
      <c r="F1953" s="44"/>
      <c r="G1953" s="44"/>
      <c r="H1953" s="44"/>
      <c r="I1953" s="45"/>
      <c r="J1953" s="45"/>
      <c r="K1953" s="45"/>
    </row>
    <row r="1954" spans="1:11">
      <c r="A1954" s="43"/>
      <c r="B1954" s="44"/>
      <c r="C1954" s="44"/>
      <c r="D1954" s="85"/>
      <c r="E1954" s="44"/>
      <c r="F1954" s="44"/>
      <c r="G1954" s="44"/>
      <c r="H1954" s="44"/>
      <c r="I1954" s="45"/>
      <c r="J1954" s="45"/>
      <c r="K1954" s="45"/>
    </row>
    <row r="1955" spans="1:11">
      <c r="A1955" s="43"/>
      <c r="B1955" s="44"/>
      <c r="C1955" s="44"/>
      <c r="D1955" s="85"/>
      <c r="E1955" s="44"/>
      <c r="F1955" s="44"/>
      <c r="G1955" s="44"/>
      <c r="H1955" s="44"/>
      <c r="I1955" s="45"/>
      <c r="J1955" s="45"/>
      <c r="K1955" s="45"/>
    </row>
    <row r="1956" spans="1:11">
      <c r="A1956" s="43"/>
      <c r="B1956" s="44"/>
      <c r="C1956" s="44"/>
      <c r="D1956" s="85"/>
      <c r="E1956" s="44"/>
      <c r="F1956" s="44"/>
      <c r="G1956" s="44"/>
      <c r="H1956" s="44"/>
      <c r="I1956" s="45"/>
      <c r="J1956" s="45"/>
      <c r="K1956" s="45"/>
    </row>
    <row r="1957" spans="1:11">
      <c r="A1957" s="43"/>
      <c r="B1957" s="44"/>
      <c r="C1957" s="44"/>
      <c r="D1957" s="85"/>
      <c r="E1957" s="44"/>
      <c r="F1957" s="44"/>
      <c r="G1957" s="44"/>
      <c r="H1957" s="44"/>
      <c r="I1957" s="45"/>
      <c r="J1957" s="45"/>
      <c r="K1957" s="45"/>
    </row>
    <row r="1958" spans="1:11">
      <c r="A1958" s="43"/>
      <c r="B1958" s="44"/>
      <c r="C1958" s="44"/>
      <c r="D1958" s="85"/>
      <c r="E1958" s="44"/>
      <c r="F1958" s="44"/>
      <c r="G1958" s="44"/>
      <c r="H1958" s="44"/>
      <c r="I1958" s="45"/>
      <c r="J1958" s="45"/>
      <c r="K1958" s="45"/>
    </row>
    <row r="1959" spans="1:11">
      <c r="A1959" s="43"/>
      <c r="B1959" s="44"/>
      <c r="C1959" s="44"/>
      <c r="D1959" s="85"/>
      <c r="E1959" s="44"/>
      <c r="F1959" s="44"/>
      <c r="G1959" s="44"/>
      <c r="H1959" s="44"/>
      <c r="I1959" s="45"/>
      <c r="J1959" s="45"/>
      <c r="K1959" s="45"/>
    </row>
    <row r="1960" spans="1:11">
      <c r="A1960" s="43"/>
      <c r="B1960" s="44"/>
      <c r="C1960" s="44"/>
      <c r="D1960" s="85"/>
      <c r="E1960" s="44"/>
      <c r="F1960" s="44"/>
      <c r="G1960" s="44"/>
      <c r="H1960" s="44"/>
      <c r="I1960" s="45"/>
      <c r="J1960" s="45"/>
      <c r="K1960" s="45"/>
    </row>
    <row r="1961" spans="1:11">
      <c r="A1961" s="43"/>
      <c r="B1961" s="44"/>
      <c r="C1961" s="44"/>
      <c r="D1961" s="85"/>
      <c r="E1961" s="44"/>
      <c r="F1961" s="44"/>
      <c r="G1961" s="44"/>
      <c r="H1961" s="44"/>
      <c r="I1961" s="45"/>
      <c r="J1961" s="45"/>
      <c r="K1961" s="45"/>
    </row>
    <row r="1962" spans="1:11">
      <c r="A1962" s="43"/>
      <c r="B1962" s="44"/>
      <c r="C1962" s="44"/>
      <c r="D1962" s="85"/>
      <c r="E1962" s="44"/>
      <c r="F1962" s="44"/>
      <c r="G1962" s="44"/>
      <c r="H1962" s="44"/>
      <c r="I1962" s="45"/>
      <c r="J1962" s="45"/>
      <c r="K1962" s="45"/>
    </row>
    <row r="1963" spans="1:11">
      <c r="A1963" s="43"/>
      <c r="B1963" s="44"/>
      <c r="C1963" s="44"/>
      <c r="D1963" s="85"/>
      <c r="E1963" s="44"/>
      <c r="F1963" s="44"/>
      <c r="G1963" s="44"/>
      <c r="H1963" s="44"/>
      <c r="I1963" s="45"/>
      <c r="J1963" s="45"/>
      <c r="K1963" s="45"/>
    </row>
    <row r="1964" spans="1:11">
      <c r="A1964" s="43"/>
      <c r="B1964" s="44"/>
      <c r="C1964" s="44"/>
      <c r="D1964" s="85"/>
      <c r="E1964" s="44"/>
      <c r="F1964" s="44"/>
      <c r="G1964" s="44"/>
      <c r="H1964" s="44"/>
      <c r="I1964" s="45"/>
      <c r="J1964" s="45"/>
      <c r="K1964" s="45"/>
    </row>
    <row r="1965" spans="1:11">
      <c r="A1965" s="43"/>
      <c r="B1965" s="44"/>
      <c r="C1965" s="44"/>
      <c r="D1965" s="85"/>
      <c r="E1965" s="44"/>
      <c r="F1965" s="44"/>
      <c r="G1965" s="44"/>
      <c r="H1965" s="44"/>
      <c r="I1965" s="45"/>
      <c r="J1965" s="45"/>
      <c r="K1965" s="45"/>
    </row>
    <row r="1966" spans="1:11">
      <c r="A1966" s="43"/>
      <c r="B1966" s="44"/>
      <c r="C1966" s="44"/>
      <c r="D1966" s="85"/>
      <c r="E1966" s="44"/>
      <c r="F1966" s="44"/>
      <c r="G1966" s="44"/>
      <c r="H1966" s="44"/>
      <c r="I1966" s="45"/>
      <c r="J1966" s="45"/>
      <c r="K1966" s="45"/>
    </row>
    <row r="1967" spans="1:11">
      <c r="A1967" s="43"/>
      <c r="B1967" s="44"/>
      <c r="C1967" s="44"/>
      <c r="D1967" s="85"/>
      <c r="E1967" s="44"/>
      <c r="F1967" s="44"/>
      <c r="G1967" s="44"/>
      <c r="H1967" s="44"/>
      <c r="I1967" s="45"/>
      <c r="J1967" s="45"/>
      <c r="K1967" s="45"/>
    </row>
    <row r="1968" spans="1:11">
      <c r="A1968" s="43"/>
      <c r="B1968" s="44"/>
      <c r="C1968" s="44"/>
      <c r="D1968" s="85"/>
      <c r="E1968" s="44"/>
      <c r="F1968" s="44"/>
      <c r="G1968" s="44"/>
      <c r="H1968" s="44"/>
      <c r="I1968" s="45"/>
      <c r="J1968" s="45"/>
      <c r="K1968" s="45"/>
    </row>
    <row r="1969" spans="1:11">
      <c r="A1969" s="43"/>
      <c r="B1969" s="44"/>
      <c r="C1969" s="44"/>
      <c r="D1969" s="85"/>
      <c r="E1969" s="44"/>
      <c r="F1969" s="44"/>
      <c r="G1969" s="44"/>
      <c r="H1969" s="44"/>
      <c r="I1969" s="45"/>
      <c r="J1969" s="45"/>
      <c r="K1969" s="45"/>
    </row>
    <row r="1970" spans="1:11">
      <c r="A1970" s="43"/>
      <c r="B1970" s="44"/>
      <c r="C1970" s="44"/>
      <c r="D1970" s="85"/>
      <c r="E1970" s="44"/>
      <c r="F1970" s="44"/>
      <c r="G1970" s="44"/>
      <c r="H1970" s="44"/>
      <c r="I1970" s="45"/>
      <c r="J1970" s="45"/>
      <c r="K1970" s="45"/>
    </row>
    <row r="1971" spans="1:11">
      <c r="A1971" s="43"/>
      <c r="B1971" s="44"/>
      <c r="C1971" s="44"/>
      <c r="D1971" s="85"/>
      <c r="E1971" s="44"/>
      <c r="F1971" s="44"/>
      <c r="G1971" s="44"/>
      <c r="H1971" s="44"/>
      <c r="I1971" s="45"/>
      <c r="J1971" s="45"/>
      <c r="K1971" s="45"/>
    </row>
    <row r="1972" spans="1:11">
      <c r="A1972" s="43"/>
      <c r="B1972" s="44"/>
      <c r="C1972" s="44"/>
      <c r="D1972" s="85"/>
      <c r="E1972" s="44"/>
      <c r="F1972" s="44"/>
      <c r="G1972" s="44"/>
      <c r="H1972" s="44"/>
      <c r="I1972" s="45"/>
      <c r="J1972" s="45"/>
      <c r="K1972" s="45"/>
    </row>
    <row r="1973" spans="1:11">
      <c r="A1973" s="43"/>
      <c r="B1973" s="44"/>
      <c r="C1973" s="44"/>
      <c r="D1973" s="85"/>
      <c r="E1973" s="44"/>
      <c r="F1973" s="44"/>
      <c r="G1973" s="44"/>
      <c r="H1973" s="44"/>
      <c r="I1973" s="45"/>
      <c r="J1973" s="45"/>
      <c r="K1973" s="45"/>
    </row>
    <row r="1974" spans="1:11">
      <c r="A1974" s="43"/>
      <c r="B1974" s="44"/>
      <c r="C1974" s="44"/>
      <c r="D1974" s="85"/>
      <c r="E1974" s="44"/>
      <c r="F1974" s="44"/>
      <c r="G1974" s="44"/>
      <c r="H1974" s="44"/>
      <c r="I1974" s="45"/>
      <c r="J1974" s="45"/>
      <c r="K1974" s="45"/>
    </row>
    <row r="1975" spans="1:11">
      <c r="A1975" s="43"/>
      <c r="B1975" s="44"/>
      <c r="C1975" s="44"/>
      <c r="D1975" s="85"/>
      <c r="E1975" s="44"/>
      <c r="F1975" s="44"/>
      <c r="G1975" s="44"/>
      <c r="H1975" s="44"/>
      <c r="I1975" s="45"/>
      <c r="J1975" s="45"/>
      <c r="K1975" s="45"/>
    </row>
    <row r="1976" spans="1:11">
      <c r="A1976" s="43"/>
      <c r="B1976" s="44"/>
      <c r="C1976" s="44"/>
      <c r="D1976" s="85"/>
      <c r="E1976" s="44"/>
      <c r="F1976" s="44"/>
      <c r="G1976" s="44"/>
      <c r="H1976" s="44"/>
      <c r="I1976" s="45"/>
      <c r="J1976" s="45"/>
      <c r="K1976" s="45"/>
    </row>
    <row r="1977" spans="1:11">
      <c r="A1977" s="43"/>
      <c r="B1977" s="44"/>
      <c r="C1977" s="44"/>
      <c r="D1977" s="85"/>
      <c r="E1977" s="44"/>
      <c r="F1977" s="44"/>
      <c r="G1977" s="44"/>
      <c r="H1977" s="44"/>
      <c r="I1977" s="45"/>
      <c r="J1977" s="45"/>
      <c r="K1977" s="45"/>
    </row>
    <row r="1978" spans="1:11">
      <c r="A1978" s="43"/>
      <c r="B1978" s="44"/>
      <c r="C1978" s="44"/>
      <c r="D1978" s="85"/>
      <c r="E1978" s="44"/>
      <c r="F1978" s="44"/>
      <c r="G1978" s="44"/>
      <c r="H1978" s="44"/>
      <c r="I1978" s="45"/>
      <c r="J1978" s="45"/>
      <c r="K1978" s="45"/>
    </row>
    <row r="1979" spans="1:11">
      <c r="A1979" s="43"/>
      <c r="B1979" s="44"/>
      <c r="C1979" s="44"/>
      <c r="D1979" s="85"/>
      <c r="E1979" s="44"/>
      <c r="F1979" s="44"/>
      <c r="G1979" s="44"/>
      <c r="H1979" s="44"/>
      <c r="I1979" s="45"/>
      <c r="J1979" s="45"/>
      <c r="K1979" s="45"/>
    </row>
    <row r="1980" spans="1:11">
      <c r="A1980" s="43"/>
      <c r="B1980" s="44"/>
      <c r="C1980" s="44"/>
      <c r="D1980" s="85"/>
      <c r="E1980" s="44"/>
      <c r="F1980" s="44"/>
      <c r="G1980" s="44"/>
      <c r="H1980" s="44"/>
      <c r="I1980" s="45"/>
      <c r="J1980" s="45"/>
      <c r="K1980" s="45"/>
    </row>
    <row r="1981" spans="1:11">
      <c r="A1981" s="43"/>
      <c r="B1981" s="44"/>
      <c r="C1981" s="44"/>
      <c r="D1981" s="85"/>
      <c r="E1981" s="44"/>
      <c r="F1981" s="44"/>
      <c r="G1981" s="44"/>
      <c r="H1981" s="44"/>
      <c r="I1981" s="45"/>
      <c r="J1981" s="45"/>
      <c r="K1981" s="45"/>
    </row>
    <row r="1982" spans="1:11">
      <c r="A1982" s="43"/>
      <c r="B1982" s="44"/>
      <c r="C1982" s="44"/>
      <c r="D1982" s="85"/>
      <c r="E1982" s="44"/>
      <c r="F1982" s="44"/>
      <c r="G1982" s="44"/>
      <c r="H1982" s="44"/>
      <c r="I1982" s="45"/>
      <c r="J1982" s="45"/>
      <c r="K1982" s="45"/>
    </row>
    <row r="1983" spans="1:11">
      <c r="A1983" s="43"/>
      <c r="B1983" s="44"/>
      <c r="C1983" s="44"/>
      <c r="D1983" s="85"/>
      <c r="E1983" s="44"/>
      <c r="F1983" s="44"/>
      <c r="G1983" s="44"/>
      <c r="H1983" s="44"/>
      <c r="I1983" s="45"/>
      <c r="J1983" s="45"/>
      <c r="K1983" s="45"/>
    </row>
    <row r="1984" spans="1:11">
      <c r="A1984" s="43"/>
      <c r="B1984" s="44"/>
      <c r="C1984" s="44"/>
      <c r="D1984" s="85"/>
      <c r="E1984" s="44"/>
      <c r="F1984" s="44"/>
      <c r="G1984" s="44"/>
      <c r="H1984" s="44"/>
      <c r="I1984" s="45"/>
      <c r="J1984" s="45"/>
      <c r="K1984" s="45"/>
    </row>
    <row r="1985" spans="1:11">
      <c r="A1985" s="43"/>
      <c r="B1985" s="44"/>
      <c r="C1985" s="44"/>
      <c r="D1985" s="85"/>
      <c r="E1985" s="44"/>
      <c r="F1985" s="44"/>
      <c r="G1985" s="44"/>
      <c r="H1985" s="44"/>
      <c r="I1985" s="45"/>
      <c r="J1985" s="45"/>
      <c r="K1985" s="45"/>
    </row>
    <row r="1986" spans="1:11">
      <c r="A1986" s="43"/>
      <c r="B1986" s="44"/>
      <c r="C1986" s="44"/>
      <c r="D1986" s="85"/>
      <c r="E1986" s="44"/>
      <c r="F1986" s="44"/>
      <c r="G1986" s="44"/>
      <c r="H1986" s="44"/>
      <c r="I1986" s="45"/>
      <c r="J1986" s="45"/>
      <c r="K1986" s="45"/>
    </row>
    <row r="1987" spans="1:11">
      <c r="A1987" s="43"/>
      <c r="B1987" s="44"/>
      <c r="C1987" s="44"/>
      <c r="D1987" s="85"/>
      <c r="E1987" s="44"/>
      <c r="F1987" s="44"/>
      <c r="G1987" s="44"/>
      <c r="H1987" s="44"/>
      <c r="I1987" s="45"/>
      <c r="J1987" s="45"/>
      <c r="K1987" s="45"/>
    </row>
    <row r="1988" spans="1:11">
      <c r="A1988" s="43"/>
      <c r="B1988" s="44"/>
      <c r="C1988" s="44"/>
      <c r="D1988" s="85"/>
      <c r="E1988" s="44"/>
      <c r="F1988" s="44"/>
      <c r="G1988" s="44"/>
      <c r="H1988" s="44"/>
      <c r="I1988" s="45"/>
      <c r="J1988" s="45"/>
      <c r="K1988" s="45"/>
    </row>
    <row r="1989" spans="1:11">
      <c r="A1989" s="43"/>
      <c r="B1989" s="44"/>
      <c r="C1989" s="44"/>
      <c r="D1989" s="85"/>
      <c r="E1989" s="44"/>
      <c r="F1989" s="44"/>
      <c r="G1989" s="44"/>
      <c r="H1989" s="44"/>
      <c r="I1989" s="45"/>
      <c r="J1989" s="45"/>
      <c r="K1989" s="45"/>
    </row>
    <row r="1990" spans="1:11">
      <c r="A1990" s="43"/>
      <c r="B1990" s="44"/>
      <c r="C1990" s="44"/>
      <c r="D1990" s="85"/>
      <c r="E1990" s="44"/>
      <c r="F1990" s="44"/>
      <c r="G1990" s="44"/>
      <c r="H1990" s="44"/>
      <c r="I1990" s="45"/>
      <c r="J1990" s="45"/>
      <c r="K1990" s="45"/>
    </row>
    <row r="1991" spans="1:11">
      <c r="A1991" s="43"/>
      <c r="B1991" s="44"/>
      <c r="C1991" s="44"/>
      <c r="D1991" s="85"/>
      <c r="E1991" s="44"/>
      <c r="F1991" s="44"/>
      <c r="G1991" s="44"/>
      <c r="H1991" s="44"/>
      <c r="I1991" s="45"/>
      <c r="J1991" s="45"/>
      <c r="K1991" s="45"/>
    </row>
    <row r="1992" spans="1:11">
      <c r="A1992" s="43"/>
      <c r="B1992" s="44"/>
      <c r="C1992" s="44"/>
      <c r="D1992" s="85"/>
      <c r="E1992" s="44"/>
      <c r="F1992" s="44"/>
      <c r="G1992" s="44"/>
      <c r="H1992" s="44"/>
      <c r="I1992" s="45"/>
      <c r="J1992" s="45"/>
      <c r="K1992" s="45"/>
    </row>
    <row r="1993" spans="1:11">
      <c r="A1993" s="43"/>
      <c r="B1993" s="44"/>
      <c r="C1993" s="44"/>
      <c r="D1993" s="85"/>
      <c r="E1993" s="44"/>
      <c r="F1993" s="44"/>
      <c r="G1993" s="44"/>
      <c r="H1993" s="44"/>
      <c r="I1993" s="45"/>
      <c r="J1993" s="45"/>
      <c r="K1993" s="45"/>
    </row>
    <row r="1994" spans="1:11">
      <c r="A1994" s="43"/>
      <c r="B1994" s="44"/>
      <c r="C1994" s="44"/>
      <c r="D1994" s="85"/>
      <c r="E1994" s="44"/>
      <c r="F1994" s="44"/>
      <c r="G1994" s="44"/>
      <c r="H1994" s="44"/>
      <c r="I1994" s="45"/>
      <c r="J1994" s="45"/>
      <c r="K1994" s="45"/>
    </row>
    <row r="1995" spans="1:11">
      <c r="A1995" s="43"/>
      <c r="B1995" s="44"/>
      <c r="C1995" s="44"/>
      <c r="D1995" s="85"/>
      <c r="E1995" s="44"/>
      <c r="F1995" s="44"/>
      <c r="G1995" s="44"/>
      <c r="H1995" s="44"/>
      <c r="I1995" s="45"/>
      <c r="J1995" s="45"/>
      <c r="K1995" s="45"/>
    </row>
    <row r="1996" spans="1:11">
      <c r="A1996" s="43"/>
      <c r="B1996" s="44"/>
      <c r="C1996" s="44"/>
      <c r="D1996" s="85"/>
      <c r="E1996" s="44"/>
      <c r="F1996" s="44"/>
      <c r="G1996" s="44"/>
      <c r="H1996" s="44"/>
      <c r="I1996" s="45"/>
      <c r="J1996" s="45"/>
      <c r="K1996" s="45"/>
    </row>
    <row r="1997" spans="1:11">
      <c r="A1997" s="43"/>
      <c r="B1997" s="44"/>
      <c r="C1997" s="44"/>
      <c r="D1997" s="85"/>
      <c r="E1997" s="44"/>
      <c r="F1997" s="44"/>
      <c r="G1997" s="44"/>
      <c r="H1997" s="44"/>
      <c r="I1997" s="45"/>
      <c r="J1997" s="45"/>
      <c r="K1997" s="45"/>
    </row>
    <row r="1998" spans="1:11">
      <c r="A1998" s="43"/>
      <c r="B1998" s="44"/>
      <c r="C1998" s="44"/>
      <c r="D1998" s="85"/>
      <c r="E1998" s="44"/>
      <c r="F1998" s="44"/>
      <c r="G1998" s="44"/>
      <c r="H1998" s="44"/>
      <c r="I1998" s="45"/>
      <c r="J1998" s="45"/>
      <c r="K1998" s="45"/>
    </row>
    <row r="1999" spans="1:11">
      <c r="A1999" s="43"/>
      <c r="B1999" s="44"/>
      <c r="C1999" s="44"/>
      <c r="D1999" s="85"/>
      <c r="E1999" s="44"/>
      <c r="F1999" s="44"/>
      <c r="G1999" s="44"/>
      <c r="H1999" s="44"/>
      <c r="I1999" s="45"/>
      <c r="J1999" s="45"/>
      <c r="K1999" s="45"/>
    </row>
    <row r="2000" spans="1:11">
      <c r="A2000" s="43"/>
      <c r="B2000" s="44"/>
      <c r="C2000" s="44"/>
      <c r="D2000" s="85"/>
      <c r="E2000" s="44"/>
      <c r="F2000" s="44"/>
      <c r="G2000" s="44"/>
      <c r="H2000" s="44"/>
      <c r="I2000" s="45"/>
      <c r="J2000" s="45"/>
      <c r="K2000" s="45"/>
    </row>
    <row r="2001" spans="1:11">
      <c r="A2001" s="43"/>
      <c r="B2001" s="44"/>
      <c r="C2001" s="44"/>
      <c r="D2001" s="85"/>
      <c r="E2001" s="44"/>
      <c r="F2001" s="44"/>
      <c r="G2001" s="44"/>
      <c r="H2001" s="44"/>
      <c r="I2001" s="45"/>
      <c r="J2001" s="45"/>
      <c r="K2001" s="45"/>
    </row>
    <row r="2002" spans="1:11">
      <c r="A2002" s="43"/>
      <c r="B2002" s="44"/>
      <c r="C2002" s="44"/>
      <c r="D2002" s="85"/>
      <c r="E2002" s="44"/>
      <c r="F2002" s="44"/>
      <c r="G2002" s="44"/>
      <c r="H2002" s="44"/>
      <c r="I2002" s="45"/>
      <c r="J2002" s="45"/>
      <c r="K2002" s="45"/>
    </row>
    <row r="2003" spans="1:11">
      <c r="A2003" s="43"/>
      <c r="B2003" s="44"/>
      <c r="C2003" s="44"/>
      <c r="D2003" s="85"/>
      <c r="E2003" s="44"/>
      <c r="F2003" s="44"/>
      <c r="G2003" s="44"/>
      <c r="H2003" s="44"/>
      <c r="I2003" s="45"/>
      <c r="J2003" s="45"/>
      <c r="K2003" s="45"/>
    </row>
    <row r="2004" spans="1:11">
      <c r="A2004" s="43"/>
      <c r="B2004" s="44"/>
      <c r="C2004" s="44"/>
      <c r="D2004" s="85"/>
      <c r="E2004" s="44"/>
      <c r="F2004" s="44"/>
      <c r="G2004" s="44"/>
      <c r="H2004" s="44"/>
      <c r="I2004" s="45"/>
      <c r="J2004" s="45"/>
      <c r="K2004" s="45"/>
    </row>
    <row r="2005" spans="1:11">
      <c r="A2005" s="43"/>
      <c r="B2005" s="44"/>
      <c r="C2005" s="44"/>
      <c r="D2005" s="85"/>
      <c r="E2005" s="44"/>
      <c r="F2005" s="44"/>
      <c r="G2005" s="44"/>
      <c r="H2005" s="44"/>
      <c r="I2005" s="45"/>
      <c r="J2005" s="45"/>
      <c r="K2005" s="45"/>
    </row>
    <row r="2006" spans="1:11">
      <c r="A2006" s="43"/>
      <c r="B2006" s="44"/>
      <c r="C2006" s="44"/>
      <c r="D2006" s="85"/>
      <c r="E2006" s="44"/>
      <c r="F2006" s="44"/>
      <c r="G2006" s="44"/>
      <c r="H2006" s="44"/>
      <c r="I2006" s="45"/>
      <c r="J2006" s="45"/>
      <c r="K2006" s="45"/>
    </row>
    <row r="2007" spans="1:11">
      <c r="A2007" s="43"/>
      <c r="B2007" s="44"/>
      <c r="C2007" s="44"/>
      <c r="D2007" s="85"/>
      <c r="E2007" s="44"/>
      <c r="F2007" s="44"/>
      <c r="G2007" s="44"/>
      <c r="H2007" s="44"/>
      <c r="I2007" s="45"/>
      <c r="J2007" s="45"/>
      <c r="K2007" s="45"/>
    </row>
    <row r="2008" spans="1:11">
      <c r="A2008" s="43"/>
      <c r="B2008" s="44"/>
      <c r="C2008" s="44"/>
      <c r="D2008" s="85"/>
      <c r="E2008" s="44"/>
      <c r="F2008" s="44"/>
      <c r="G2008" s="44"/>
      <c r="H2008" s="44"/>
      <c r="I2008" s="45"/>
      <c r="J2008" s="45"/>
      <c r="K2008" s="45"/>
    </row>
    <row r="2009" spans="1:11">
      <c r="A2009" s="43"/>
      <c r="B2009" s="44"/>
      <c r="C2009" s="44"/>
      <c r="D2009" s="85"/>
      <c r="E2009" s="44"/>
      <c r="F2009" s="44"/>
      <c r="G2009" s="44"/>
      <c r="H2009" s="44"/>
      <c r="I2009" s="45"/>
      <c r="J2009" s="45"/>
      <c r="K2009" s="45"/>
    </row>
    <row r="2010" spans="1:11">
      <c r="A2010" s="43"/>
      <c r="B2010" s="44"/>
      <c r="C2010" s="44"/>
      <c r="D2010" s="85"/>
      <c r="E2010" s="44"/>
      <c r="F2010" s="44"/>
      <c r="G2010" s="44"/>
      <c r="H2010" s="44"/>
      <c r="I2010" s="45"/>
      <c r="J2010" s="45"/>
      <c r="K2010" s="45"/>
    </row>
    <row r="2011" spans="1:11">
      <c r="A2011" s="43"/>
      <c r="B2011" s="44"/>
      <c r="C2011" s="44"/>
      <c r="D2011" s="85"/>
      <c r="E2011" s="44"/>
      <c r="F2011" s="44"/>
      <c r="G2011" s="44"/>
      <c r="H2011" s="44"/>
      <c r="I2011" s="45"/>
      <c r="J2011" s="45"/>
      <c r="K2011" s="45"/>
    </row>
    <row r="2012" spans="1:11">
      <c r="A2012" s="43"/>
      <c r="B2012" s="44"/>
      <c r="C2012" s="44"/>
      <c r="D2012" s="85"/>
      <c r="E2012" s="44"/>
      <c r="F2012" s="44"/>
      <c r="G2012" s="44"/>
      <c r="H2012" s="44"/>
      <c r="I2012" s="45"/>
      <c r="J2012" s="45"/>
      <c r="K2012" s="45"/>
    </row>
    <row r="2013" spans="1:11">
      <c r="A2013" s="43"/>
      <c r="B2013" s="44"/>
      <c r="C2013" s="44"/>
      <c r="D2013" s="85"/>
      <c r="E2013" s="44"/>
      <c r="F2013" s="44"/>
      <c r="G2013" s="44"/>
      <c r="H2013" s="44"/>
      <c r="I2013" s="45"/>
      <c r="J2013" s="45"/>
      <c r="K2013" s="45"/>
    </row>
    <row r="2014" spans="1:11">
      <c r="A2014" s="43"/>
      <c r="B2014" s="44"/>
      <c r="C2014" s="44"/>
      <c r="D2014" s="85"/>
      <c r="E2014" s="44"/>
      <c r="F2014" s="44"/>
      <c r="G2014" s="44"/>
      <c r="H2014" s="44"/>
      <c r="I2014" s="45"/>
      <c r="J2014" s="45"/>
      <c r="K2014" s="45"/>
    </row>
    <row r="2015" spans="1:11">
      <c r="A2015" s="43"/>
      <c r="B2015" s="44"/>
      <c r="C2015" s="44"/>
      <c r="D2015" s="85"/>
      <c r="E2015" s="44"/>
      <c r="F2015" s="44"/>
      <c r="G2015" s="44"/>
      <c r="H2015" s="44"/>
      <c r="I2015" s="45"/>
      <c r="J2015" s="45"/>
      <c r="K2015" s="45"/>
    </row>
    <row r="2016" spans="1:11">
      <c r="A2016" s="43"/>
      <c r="B2016" s="44"/>
      <c r="C2016" s="44"/>
      <c r="D2016" s="85"/>
      <c r="E2016" s="44"/>
      <c r="F2016" s="44"/>
      <c r="G2016" s="44"/>
      <c r="H2016" s="44"/>
      <c r="I2016" s="45"/>
      <c r="J2016" s="45"/>
      <c r="K2016" s="45"/>
    </row>
    <row r="2017" spans="1:11">
      <c r="A2017" s="43"/>
      <c r="B2017" s="44"/>
      <c r="C2017" s="44"/>
      <c r="D2017" s="85"/>
      <c r="E2017" s="44"/>
      <c r="F2017" s="44"/>
      <c r="G2017" s="44"/>
      <c r="H2017" s="44"/>
      <c r="I2017" s="45"/>
      <c r="J2017" s="45"/>
      <c r="K2017" s="45"/>
    </row>
    <row r="2018" spans="1:11">
      <c r="A2018" s="43"/>
      <c r="B2018" s="44"/>
      <c r="C2018" s="44"/>
      <c r="D2018" s="85"/>
      <c r="E2018" s="44"/>
      <c r="F2018" s="44"/>
      <c r="G2018" s="44"/>
      <c r="H2018" s="44"/>
      <c r="I2018" s="45"/>
      <c r="J2018" s="45"/>
      <c r="K2018" s="45"/>
    </row>
    <row r="2019" spans="1:11">
      <c r="A2019" s="43"/>
      <c r="B2019" s="44"/>
      <c r="C2019" s="44"/>
      <c r="D2019" s="85"/>
      <c r="E2019" s="44"/>
      <c r="F2019" s="44"/>
      <c r="G2019" s="44"/>
      <c r="H2019" s="44"/>
      <c r="I2019" s="45"/>
      <c r="J2019" s="45"/>
      <c r="K2019" s="45"/>
    </row>
    <row r="2020" spans="1:11">
      <c r="A2020" s="43"/>
      <c r="B2020" s="44"/>
      <c r="C2020" s="44"/>
      <c r="D2020" s="85"/>
      <c r="E2020" s="44"/>
      <c r="F2020" s="44"/>
      <c r="G2020" s="44"/>
      <c r="H2020" s="44"/>
      <c r="I2020" s="45"/>
      <c r="J2020" s="45"/>
      <c r="K2020" s="45"/>
    </row>
    <row r="2021" spans="1:11">
      <c r="A2021" s="43"/>
      <c r="B2021" s="44"/>
      <c r="C2021" s="44"/>
      <c r="D2021" s="85"/>
      <c r="E2021" s="44"/>
      <c r="F2021" s="44"/>
      <c r="G2021" s="44"/>
      <c r="H2021" s="44"/>
      <c r="I2021" s="45"/>
      <c r="J2021" s="45"/>
      <c r="K2021" s="45"/>
    </row>
    <row r="2022" spans="1:11">
      <c r="A2022" s="43"/>
      <c r="B2022" s="44"/>
      <c r="C2022" s="44"/>
      <c r="D2022" s="85"/>
      <c r="E2022" s="44"/>
      <c r="F2022" s="44"/>
      <c r="G2022" s="44"/>
      <c r="H2022" s="44"/>
      <c r="I2022" s="45"/>
      <c r="J2022" s="45"/>
      <c r="K2022" s="45"/>
    </row>
    <row r="2023" spans="1:11">
      <c r="A2023" s="43"/>
      <c r="B2023" s="44"/>
      <c r="C2023" s="44"/>
      <c r="D2023" s="85"/>
      <c r="E2023" s="44"/>
      <c r="F2023" s="44"/>
      <c r="G2023" s="44"/>
      <c r="H2023" s="44"/>
      <c r="I2023" s="45"/>
      <c r="J2023" s="45"/>
      <c r="K2023" s="45"/>
    </row>
    <row r="2024" spans="1:11">
      <c r="A2024" s="43"/>
      <c r="B2024" s="44"/>
      <c r="C2024" s="44"/>
      <c r="D2024" s="85"/>
      <c r="E2024" s="44"/>
      <c r="F2024" s="44"/>
      <c r="G2024" s="44"/>
      <c r="H2024" s="44"/>
      <c r="I2024" s="45"/>
      <c r="J2024" s="45"/>
      <c r="K2024" s="45"/>
    </row>
    <row r="2025" spans="1:11">
      <c r="A2025" s="43"/>
      <c r="B2025" s="44"/>
      <c r="C2025" s="44"/>
      <c r="D2025" s="85"/>
      <c r="E2025" s="44"/>
      <c r="F2025" s="44"/>
      <c r="G2025" s="44"/>
      <c r="H2025" s="44"/>
      <c r="I2025" s="45"/>
      <c r="J2025" s="45"/>
      <c r="K2025" s="45"/>
    </row>
    <row r="2026" spans="1:11">
      <c r="A2026" s="43"/>
      <c r="B2026" s="44"/>
      <c r="C2026" s="44"/>
      <c r="D2026" s="85"/>
      <c r="E2026" s="44"/>
      <c r="F2026" s="44"/>
      <c r="G2026" s="44"/>
      <c r="H2026" s="44"/>
      <c r="I2026" s="45"/>
      <c r="J2026" s="45"/>
      <c r="K2026" s="45"/>
    </row>
    <row r="2027" spans="1:11">
      <c r="A2027" s="43"/>
      <c r="B2027" s="44"/>
      <c r="C2027" s="44"/>
      <c r="D2027" s="85"/>
      <c r="E2027" s="44"/>
      <c r="F2027" s="44"/>
      <c r="G2027" s="44"/>
      <c r="H2027" s="44"/>
      <c r="I2027" s="45"/>
      <c r="J2027" s="45"/>
      <c r="K2027" s="45"/>
    </row>
    <row r="2028" spans="1:11">
      <c r="A2028" s="43"/>
      <c r="B2028" s="44"/>
      <c r="C2028" s="44"/>
      <c r="D2028" s="85"/>
      <c r="E2028" s="44"/>
      <c r="F2028" s="44"/>
      <c r="G2028" s="44"/>
      <c r="H2028" s="44"/>
      <c r="I2028" s="45"/>
      <c r="J2028" s="45"/>
      <c r="K2028" s="45"/>
    </row>
    <row r="2029" spans="1:11">
      <c r="A2029" s="43"/>
      <c r="B2029" s="44"/>
      <c r="C2029" s="44"/>
      <c r="D2029" s="85"/>
      <c r="E2029" s="44"/>
      <c r="F2029" s="44"/>
      <c r="G2029" s="44"/>
      <c r="H2029" s="44"/>
      <c r="I2029" s="45"/>
      <c r="J2029" s="45"/>
      <c r="K2029" s="45"/>
    </row>
    <row r="2030" spans="1:11">
      <c r="A2030" s="43"/>
      <c r="B2030" s="44"/>
      <c r="C2030" s="44"/>
      <c r="D2030" s="85"/>
      <c r="E2030" s="44"/>
      <c r="F2030" s="44"/>
      <c r="G2030" s="44"/>
      <c r="H2030" s="44"/>
      <c r="I2030" s="45"/>
      <c r="J2030" s="45"/>
      <c r="K2030" s="45"/>
    </row>
    <row r="2031" spans="1:11">
      <c r="A2031" s="43"/>
      <c r="B2031" s="44"/>
      <c r="C2031" s="44"/>
      <c r="D2031" s="85"/>
      <c r="E2031" s="44"/>
      <c r="F2031" s="44"/>
      <c r="G2031" s="44"/>
      <c r="H2031" s="44"/>
      <c r="I2031" s="45"/>
      <c r="J2031" s="45"/>
      <c r="K2031" s="45"/>
    </row>
    <row r="2032" spans="1:11">
      <c r="A2032" s="43"/>
      <c r="B2032" s="44"/>
      <c r="C2032" s="44"/>
      <c r="D2032" s="85"/>
      <c r="E2032" s="44"/>
      <c r="F2032" s="44"/>
      <c r="G2032" s="44"/>
      <c r="H2032" s="44"/>
      <c r="I2032" s="45"/>
      <c r="J2032" s="45"/>
      <c r="K2032" s="45"/>
    </row>
    <row r="2033" spans="1:11">
      <c r="A2033" s="43"/>
      <c r="B2033" s="44"/>
      <c r="C2033" s="44"/>
      <c r="D2033" s="85"/>
      <c r="E2033" s="44"/>
      <c r="F2033" s="44"/>
      <c r="G2033" s="44"/>
      <c r="H2033" s="44"/>
      <c r="I2033" s="45"/>
      <c r="J2033" s="45"/>
      <c r="K2033" s="45"/>
    </row>
    <row r="2034" spans="1:11">
      <c r="A2034" s="43"/>
      <c r="B2034" s="44"/>
      <c r="C2034" s="44"/>
      <c r="D2034" s="85"/>
      <c r="E2034" s="44"/>
      <c r="F2034" s="44"/>
      <c r="G2034" s="44"/>
      <c r="H2034" s="44"/>
      <c r="I2034" s="45"/>
      <c r="J2034" s="45"/>
      <c r="K2034" s="45"/>
    </row>
    <row r="2035" spans="1:11">
      <c r="A2035" s="43"/>
      <c r="B2035" s="44"/>
      <c r="C2035" s="44"/>
      <c r="D2035" s="85"/>
      <c r="E2035" s="44"/>
      <c r="F2035" s="44"/>
      <c r="G2035" s="44"/>
      <c r="H2035" s="44"/>
      <c r="I2035" s="45"/>
      <c r="J2035" s="45"/>
      <c r="K2035" s="45"/>
    </row>
    <row r="2036" spans="1:11">
      <c r="A2036" s="43"/>
      <c r="B2036" s="44"/>
      <c r="C2036" s="44"/>
      <c r="D2036" s="85"/>
      <c r="E2036" s="44"/>
      <c r="F2036" s="44"/>
      <c r="G2036" s="44"/>
      <c r="H2036" s="44"/>
      <c r="I2036" s="45"/>
      <c r="J2036" s="45"/>
      <c r="K2036" s="45"/>
    </row>
    <row r="2037" spans="1:11">
      <c r="A2037" s="43"/>
      <c r="B2037" s="44"/>
      <c r="C2037" s="44"/>
      <c r="D2037" s="85"/>
      <c r="E2037" s="44"/>
      <c r="F2037" s="44"/>
      <c r="G2037" s="44"/>
      <c r="H2037" s="44"/>
      <c r="I2037" s="45"/>
      <c r="J2037" s="45"/>
      <c r="K2037" s="45"/>
    </row>
    <row r="2038" spans="1:11">
      <c r="A2038" s="43"/>
      <c r="B2038" s="44"/>
      <c r="C2038" s="44"/>
      <c r="D2038" s="85"/>
      <c r="E2038" s="44"/>
      <c r="F2038" s="44"/>
      <c r="G2038" s="44"/>
      <c r="H2038" s="44"/>
      <c r="I2038" s="45"/>
      <c r="J2038" s="45"/>
      <c r="K2038" s="45"/>
    </row>
    <row r="2039" spans="1:11">
      <c r="A2039" s="43"/>
      <c r="B2039" s="44"/>
      <c r="C2039" s="44"/>
      <c r="D2039" s="85"/>
      <c r="E2039" s="44"/>
      <c r="F2039" s="44"/>
      <c r="G2039" s="44"/>
      <c r="H2039" s="44"/>
      <c r="I2039" s="45"/>
      <c r="J2039" s="45"/>
      <c r="K2039" s="45"/>
    </row>
    <row r="2040" spans="1:11">
      <c r="A2040" s="43"/>
      <c r="B2040" s="44"/>
      <c r="C2040" s="44"/>
      <c r="D2040" s="85"/>
      <c r="E2040" s="44"/>
      <c r="F2040" s="44"/>
      <c r="G2040" s="44"/>
      <c r="H2040" s="44"/>
      <c r="I2040" s="45"/>
      <c r="J2040" s="45"/>
      <c r="K2040" s="45"/>
    </row>
    <row r="2041" spans="1:11">
      <c r="A2041" s="43"/>
      <c r="B2041" s="44"/>
      <c r="C2041" s="44"/>
      <c r="D2041" s="85"/>
      <c r="E2041" s="44"/>
      <c r="F2041" s="44"/>
      <c r="G2041" s="44"/>
      <c r="H2041" s="44"/>
      <c r="I2041" s="45"/>
      <c r="J2041" s="45"/>
      <c r="K2041" s="45"/>
    </row>
    <row r="2042" spans="1:11">
      <c r="A2042" s="43"/>
      <c r="B2042" s="44"/>
      <c r="C2042" s="44"/>
      <c r="D2042" s="85"/>
      <c r="E2042" s="44"/>
      <c r="F2042" s="44"/>
      <c r="G2042" s="44"/>
      <c r="H2042" s="44"/>
      <c r="I2042" s="45"/>
      <c r="J2042" s="45"/>
      <c r="K2042" s="45"/>
    </row>
    <row r="2043" spans="1:11">
      <c r="A2043" s="43"/>
      <c r="B2043" s="44"/>
      <c r="C2043" s="44"/>
      <c r="D2043" s="85"/>
      <c r="E2043" s="44"/>
      <c r="F2043" s="44"/>
      <c r="G2043" s="44"/>
      <c r="H2043" s="44"/>
      <c r="I2043" s="45"/>
      <c r="J2043" s="45"/>
      <c r="K2043" s="45"/>
    </row>
    <row r="2044" spans="1:11">
      <c r="A2044" s="43"/>
      <c r="B2044" s="44"/>
      <c r="C2044" s="44"/>
      <c r="D2044" s="85"/>
      <c r="E2044" s="44"/>
      <c r="F2044" s="44"/>
      <c r="G2044" s="44"/>
      <c r="H2044" s="44"/>
      <c r="I2044" s="45"/>
      <c r="J2044" s="45"/>
      <c r="K2044" s="45"/>
    </row>
    <row r="2045" spans="1:11">
      <c r="A2045" s="43"/>
      <c r="B2045" s="44"/>
      <c r="C2045" s="44"/>
      <c r="D2045" s="85"/>
      <c r="E2045" s="44"/>
      <c r="F2045" s="44"/>
      <c r="G2045" s="44"/>
      <c r="H2045" s="44"/>
      <c r="I2045" s="45"/>
      <c r="J2045" s="45"/>
      <c r="K2045" s="45"/>
    </row>
    <row r="2046" spans="1:11">
      <c r="A2046" s="43"/>
      <c r="B2046" s="44"/>
      <c r="C2046" s="44"/>
      <c r="D2046" s="85"/>
      <c r="E2046" s="44"/>
      <c r="F2046" s="44"/>
      <c r="G2046" s="44"/>
      <c r="H2046" s="44"/>
      <c r="I2046" s="45"/>
      <c r="J2046" s="45"/>
      <c r="K2046" s="45"/>
    </row>
    <row r="2047" spans="1:11">
      <c r="A2047" s="43"/>
      <c r="B2047" s="44"/>
      <c r="C2047" s="44"/>
      <c r="D2047" s="85"/>
      <c r="E2047" s="44"/>
      <c r="F2047" s="44"/>
      <c r="G2047" s="44"/>
      <c r="H2047" s="44"/>
      <c r="I2047" s="45"/>
      <c r="J2047" s="45"/>
      <c r="K2047" s="45"/>
    </row>
    <row r="2048" spans="1:11">
      <c r="A2048" s="43"/>
      <c r="B2048" s="44"/>
      <c r="C2048" s="44"/>
      <c r="D2048" s="85"/>
      <c r="E2048" s="44"/>
      <c r="F2048" s="44"/>
      <c r="G2048" s="44"/>
      <c r="H2048" s="44"/>
      <c r="I2048" s="45"/>
      <c r="J2048" s="45"/>
      <c r="K2048" s="45"/>
    </row>
    <row r="2049" spans="1:11">
      <c r="A2049" s="43"/>
      <c r="B2049" s="44"/>
      <c r="C2049" s="44"/>
      <c r="D2049" s="85"/>
      <c r="E2049" s="44"/>
      <c r="F2049" s="44"/>
      <c r="G2049" s="44"/>
      <c r="H2049" s="44"/>
      <c r="I2049" s="45"/>
      <c r="J2049" s="45"/>
      <c r="K2049" s="45"/>
    </row>
    <row r="2050" spans="1:11">
      <c r="A2050" s="43"/>
      <c r="B2050" s="44"/>
      <c r="C2050" s="44"/>
      <c r="D2050" s="85"/>
      <c r="E2050" s="44"/>
      <c r="F2050" s="44"/>
      <c r="G2050" s="44"/>
      <c r="H2050" s="44"/>
      <c r="I2050" s="45"/>
      <c r="J2050" s="45"/>
      <c r="K2050" s="45"/>
    </row>
    <row r="2051" spans="1:11">
      <c r="A2051" s="43"/>
      <c r="B2051" s="44"/>
      <c r="C2051" s="44"/>
      <c r="D2051" s="85"/>
      <c r="E2051" s="44"/>
      <c r="F2051" s="44"/>
      <c r="G2051" s="44"/>
      <c r="H2051" s="44"/>
      <c r="I2051" s="45"/>
      <c r="J2051" s="45"/>
      <c r="K2051" s="45"/>
    </row>
    <row r="2052" spans="1:11">
      <c r="A2052" s="43"/>
      <c r="B2052" s="44"/>
      <c r="C2052" s="44"/>
      <c r="D2052" s="85"/>
      <c r="E2052" s="44"/>
      <c r="F2052" s="44"/>
      <c r="G2052" s="44"/>
      <c r="H2052" s="44"/>
      <c r="I2052" s="45"/>
      <c r="J2052" s="45"/>
      <c r="K2052" s="45"/>
    </row>
    <row r="2053" spans="1:11">
      <c r="A2053" s="43"/>
      <c r="B2053" s="44"/>
      <c r="C2053" s="44"/>
      <c r="D2053" s="85"/>
      <c r="E2053" s="44"/>
      <c r="F2053" s="44"/>
      <c r="G2053" s="44"/>
      <c r="H2053" s="44"/>
      <c r="I2053" s="45"/>
      <c r="J2053" s="45"/>
      <c r="K2053" s="45"/>
    </row>
    <row r="2054" spans="1:11">
      <c r="A2054" s="43"/>
      <c r="B2054" s="44"/>
      <c r="C2054" s="44"/>
      <c r="D2054" s="85"/>
      <c r="E2054" s="44"/>
      <c r="F2054" s="44"/>
      <c r="G2054" s="44"/>
      <c r="H2054" s="44"/>
      <c r="I2054" s="45"/>
      <c r="J2054" s="45"/>
      <c r="K2054" s="45"/>
    </row>
    <row r="2055" spans="1:11">
      <c r="A2055" s="43"/>
      <c r="B2055" s="44"/>
      <c r="C2055" s="44"/>
      <c r="D2055" s="85"/>
      <c r="E2055" s="44"/>
      <c r="F2055" s="44"/>
      <c r="G2055" s="44"/>
      <c r="H2055" s="44"/>
      <c r="I2055" s="45"/>
      <c r="J2055" s="45"/>
      <c r="K2055" s="45"/>
    </row>
    <row r="2056" spans="1:11">
      <c r="A2056" s="43"/>
      <c r="B2056" s="44"/>
      <c r="C2056" s="44"/>
      <c r="D2056" s="85"/>
      <c r="E2056" s="44"/>
      <c r="F2056" s="44"/>
      <c r="G2056" s="44"/>
      <c r="H2056" s="44"/>
      <c r="I2056" s="45"/>
      <c r="J2056" s="45"/>
      <c r="K2056" s="45"/>
    </row>
    <row r="2057" spans="1:11">
      <c r="A2057" s="43"/>
      <c r="B2057" s="44"/>
      <c r="C2057" s="44"/>
      <c r="D2057" s="85"/>
      <c r="E2057" s="44"/>
      <c r="F2057" s="44"/>
      <c r="G2057" s="44"/>
      <c r="H2057" s="44"/>
      <c r="I2057" s="45"/>
      <c r="J2057" s="45"/>
      <c r="K2057" s="45"/>
    </row>
    <row r="2058" spans="1:11">
      <c r="A2058" s="43"/>
      <c r="B2058" s="44"/>
      <c r="C2058" s="44"/>
      <c r="D2058" s="85"/>
      <c r="E2058" s="44"/>
      <c r="F2058" s="44"/>
      <c r="G2058" s="44"/>
      <c r="H2058" s="44"/>
      <c r="I2058" s="45"/>
      <c r="J2058" s="45"/>
      <c r="K2058" s="45"/>
    </row>
    <row r="2059" spans="1:11">
      <c r="A2059" s="43"/>
      <c r="B2059" s="44"/>
      <c r="C2059" s="44"/>
      <c r="D2059" s="85"/>
      <c r="E2059" s="44"/>
      <c r="F2059" s="44"/>
      <c r="G2059" s="44"/>
      <c r="H2059" s="44"/>
      <c r="I2059" s="45"/>
      <c r="J2059" s="45"/>
      <c r="K2059" s="45"/>
    </row>
    <row r="2060" spans="1:11">
      <c r="A2060" s="43"/>
      <c r="B2060" s="44"/>
      <c r="C2060" s="44"/>
      <c r="D2060" s="85"/>
      <c r="E2060" s="44"/>
      <c r="F2060" s="44"/>
      <c r="G2060" s="44"/>
      <c r="H2060" s="44"/>
      <c r="I2060" s="45"/>
      <c r="J2060" s="45"/>
      <c r="K2060" s="45"/>
    </row>
    <row r="2061" spans="1:11">
      <c r="A2061" s="43"/>
      <c r="B2061" s="44"/>
      <c r="C2061" s="44"/>
      <c r="D2061" s="85"/>
      <c r="E2061" s="44"/>
      <c r="F2061" s="44"/>
      <c r="G2061" s="44"/>
      <c r="H2061" s="44"/>
      <c r="I2061" s="45"/>
      <c r="J2061" s="45"/>
      <c r="K2061" s="45"/>
    </row>
    <row r="2062" spans="1:11">
      <c r="A2062" s="43"/>
      <c r="B2062" s="44"/>
      <c r="C2062" s="44"/>
      <c r="D2062" s="85"/>
      <c r="E2062" s="44"/>
      <c r="F2062" s="44"/>
      <c r="G2062" s="44"/>
      <c r="H2062" s="44"/>
      <c r="I2062" s="45"/>
      <c r="J2062" s="45"/>
      <c r="K2062" s="45"/>
    </row>
    <row r="2063" spans="1:11">
      <c r="A2063" s="43"/>
      <c r="B2063" s="44"/>
      <c r="C2063" s="44"/>
      <c r="D2063" s="85"/>
      <c r="E2063" s="44"/>
      <c r="F2063" s="44"/>
      <c r="G2063" s="44"/>
      <c r="H2063" s="44"/>
      <c r="I2063" s="45"/>
      <c r="J2063" s="45"/>
      <c r="K2063" s="45"/>
    </row>
    <row r="2064" spans="1:11">
      <c r="A2064" s="43"/>
      <c r="B2064" s="44"/>
      <c r="C2064" s="44"/>
      <c r="D2064" s="85"/>
      <c r="E2064" s="44"/>
      <c r="F2064" s="44"/>
      <c r="G2064" s="44"/>
      <c r="H2064" s="44"/>
      <c r="I2064" s="45"/>
      <c r="J2064" s="45"/>
      <c r="K2064" s="45"/>
    </row>
    <row r="2065" spans="1:11">
      <c r="A2065" s="43"/>
      <c r="B2065" s="44"/>
      <c r="C2065" s="44"/>
      <c r="D2065" s="85"/>
      <c r="E2065" s="44"/>
      <c r="F2065" s="44"/>
      <c r="G2065" s="44"/>
      <c r="H2065" s="44"/>
      <c r="I2065" s="45"/>
      <c r="J2065" s="45"/>
      <c r="K2065" s="45"/>
    </row>
    <row r="2066" spans="1:11">
      <c r="A2066" s="43"/>
      <c r="B2066" s="44"/>
      <c r="C2066" s="44"/>
      <c r="D2066" s="85"/>
      <c r="E2066" s="44"/>
      <c r="F2066" s="44"/>
      <c r="G2066" s="44"/>
      <c r="H2066" s="44"/>
      <c r="I2066" s="45"/>
      <c r="J2066" s="45"/>
      <c r="K2066" s="45"/>
    </row>
    <row r="2067" spans="1:11">
      <c r="A2067" s="43"/>
      <c r="B2067" s="44"/>
      <c r="C2067" s="44"/>
      <c r="D2067" s="85"/>
      <c r="E2067" s="44"/>
      <c r="F2067" s="44"/>
      <c r="G2067" s="44"/>
      <c r="H2067" s="44"/>
      <c r="I2067" s="45"/>
      <c r="J2067" s="45"/>
      <c r="K2067" s="45"/>
    </row>
    <row r="2068" spans="1:11">
      <c r="A2068" s="43"/>
      <c r="B2068" s="44"/>
      <c r="C2068" s="44"/>
      <c r="D2068" s="85"/>
      <c r="E2068" s="44"/>
      <c r="F2068" s="44"/>
      <c r="G2068" s="44"/>
      <c r="H2068" s="44"/>
      <c r="I2068" s="45"/>
      <c r="J2068" s="45"/>
      <c r="K2068" s="45"/>
    </row>
    <row r="2069" spans="1:11">
      <c r="A2069" s="43"/>
      <c r="B2069" s="44"/>
      <c r="C2069" s="44"/>
      <c r="D2069" s="85"/>
      <c r="E2069" s="44"/>
      <c r="F2069" s="44"/>
      <c r="G2069" s="44"/>
      <c r="H2069" s="44"/>
      <c r="I2069" s="45"/>
      <c r="J2069" s="45"/>
      <c r="K2069" s="45"/>
    </row>
    <row r="2070" spans="1:11">
      <c r="A2070" s="43"/>
      <c r="B2070" s="44"/>
      <c r="C2070" s="44"/>
      <c r="D2070" s="85"/>
      <c r="E2070" s="44"/>
      <c r="F2070" s="44"/>
      <c r="G2070" s="44"/>
      <c r="H2070" s="44"/>
      <c r="I2070" s="45"/>
      <c r="J2070" s="45"/>
      <c r="K2070" s="45"/>
    </row>
    <row r="2071" spans="1:11">
      <c r="A2071" s="43"/>
      <c r="B2071" s="44"/>
      <c r="C2071" s="44"/>
      <c r="D2071" s="85"/>
      <c r="E2071" s="44"/>
      <c r="F2071" s="44"/>
      <c r="G2071" s="44"/>
      <c r="H2071" s="44"/>
      <c r="I2071" s="45"/>
      <c r="J2071" s="45"/>
      <c r="K2071" s="45"/>
    </row>
    <row r="2072" spans="1:11">
      <c r="A2072" s="43"/>
      <c r="B2072" s="44"/>
      <c r="C2072" s="44"/>
      <c r="D2072" s="85"/>
      <c r="E2072" s="44"/>
      <c r="F2072" s="44"/>
      <c r="G2072" s="44"/>
      <c r="H2072" s="44"/>
      <c r="I2072" s="45"/>
      <c r="J2072" s="45"/>
      <c r="K2072" s="45"/>
    </row>
    <row r="2073" spans="1:11">
      <c r="A2073" s="43"/>
      <c r="B2073" s="44"/>
      <c r="C2073" s="44"/>
      <c r="D2073" s="85"/>
      <c r="E2073" s="44"/>
      <c r="F2073" s="44"/>
      <c r="G2073" s="44"/>
      <c r="H2073" s="44"/>
      <c r="I2073" s="45"/>
      <c r="J2073" s="45"/>
      <c r="K2073" s="45"/>
    </row>
    <row r="2074" spans="1:11">
      <c r="A2074" s="43"/>
      <c r="B2074" s="44"/>
      <c r="C2074" s="44"/>
      <c r="D2074" s="85"/>
      <c r="E2074" s="44"/>
      <c r="F2074" s="44"/>
      <c r="G2074" s="44"/>
      <c r="H2074" s="44"/>
      <c r="I2074" s="45"/>
      <c r="J2074" s="45"/>
      <c r="K2074" s="45"/>
    </row>
    <row r="2075" spans="1:11">
      <c r="A2075" s="43"/>
      <c r="B2075" s="44"/>
      <c r="C2075" s="44"/>
      <c r="D2075" s="85"/>
      <c r="E2075" s="44"/>
      <c r="F2075" s="44"/>
      <c r="G2075" s="44"/>
      <c r="H2075" s="44"/>
      <c r="I2075" s="45"/>
      <c r="J2075" s="45"/>
      <c r="K2075" s="45"/>
    </row>
    <row r="2076" spans="1:11">
      <c r="A2076" s="43"/>
      <c r="B2076" s="44"/>
      <c r="C2076" s="44"/>
      <c r="D2076" s="85"/>
      <c r="E2076" s="44"/>
      <c r="F2076" s="44"/>
      <c r="G2076" s="44"/>
      <c r="H2076" s="44"/>
      <c r="I2076" s="45"/>
      <c r="J2076" s="45"/>
      <c r="K2076" s="45"/>
    </row>
    <row r="2077" spans="1:11">
      <c r="A2077" s="43"/>
      <c r="B2077" s="44"/>
      <c r="C2077" s="44"/>
      <c r="D2077" s="85"/>
      <c r="E2077" s="44"/>
      <c r="F2077" s="44"/>
      <c r="G2077" s="44"/>
      <c r="H2077" s="44"/>
      <c r="I2077" s="45"/>
      <c r="J2077" s="45"/>
      <c r="K2077" s="45"/>
    </row>
    <row r="2078" spans="1:11">
      <c r="A2078" s="43"/>
      <c r="B2078" s="44"/>
      <c r="C2078" s="44"/>
      <c r="D2078" s="85"/>
      <c r="E2078" s="44"/>
      <c r="F2078" s="44"/>
      <c r="G2078" s="44"/>
      <c r="H2078" s="44"/>
      <c r="I2078" s="45"/>
      <c r="J2078" s="45"/>
      <c r="K2078" s="45"/>
    </row>
    <row r="2079" spans="1:11">
      <c r="A2079" s="43"/>
      <c r="B2079" s="44"/>
      <c r="C2079" s="44"/>
      <c r="D2079" s="85"/>
      <c r="E2079" s="44"/>
      <c r="F2079" s="44"/>
      <c r="G2079" s="44"/>
      <c r="H2079" s="44"/>
      <c r="I2079" s="45"/>
      <c r="J2079" s="45"/>
      <c r="K2079" s="45"/>
    </row>
    <row r="2080" spans="1:11">
      <c r="A2080" s="43"/>
      <c r="B2080" s="44"/>
      <c r="C2080" s="44"/>
      <c r="D2080" s="85"/>
      <c r="E2080" s="44"/>
      <c r="F2080" s="44"/>
      <c r="G2080" s="44"/>
      <c r="H2080" s="44"/>
      <c r="I2080" s="45"/>
      <c r="J2080" s="45"/>
      <c r="K2080" s="45"/>
    </row>
    <row r="2081" spans="1:11">
      <c r="A2081" s="43"/>
      <c r="B2081" s="44"/>
      <c r="C2081" s="44"/>
      <c r="D2081" s="85"/>
      <c r="E2081" s="44"/>
      <c r="F2081" s="44"/>
      <c r="G2081" s="44"/>
      <c r="H2081" s="44"/>
      <c r="I2081" s="45"/>
      <c r="J2081" s="45"/>
      <c r="K2081" s="45"/>
    </row>
    <row r="2082" spans="1:11">
      <c r="A2082" s="43"/>
      <c r="B2082" s="44"/>
      <c r="C2082" s="44"/>
      <c r="D2082" s="85"/>
      <c r="E2082" s="44"/>
      <c r="F2082" s="44"/>
      <c r="G2082" s="44"/>
      <c r="H2082" s="44"/>
      <c r="I2082" s="45"/>
      <c r="J2082" s="45"/>
      <c r="K2082" s="45"/>
    </row>
    <row r="2083" spans="1:11">
      <c r="A2083" s="43"/>
      <c r="B2083" s="44"/>
      <c r="C2083" s="44"/>
      <c r="D2083" s="85"/>
      <c r="E2083" s="44"/>
      <c r="F2083" s="44"/>
      <c r="G2083" s="44"/>
      <c r="H2083" s="44"/>
      <c r="I2083" s="45"/>
      <c r="J2083" s="45"/>
      <c r="K2083" s="45"/>
    </row>
    <row r="2084" spans="1:11">
      <c r="A2084" s="43"/>
      <c r="B2084" s="44"/>
      <c r="C2084" s="44"/>
      <c r="D2084" s="85"/>
      <c r="E2084" s="44"/>
      <c r="F2084" s="44"/>
      <c r="G2084" s="44"/>
      <c r="H2084" s="44"/>
      <c r="I2084" s="45"/>
      <c r="J2084" s="45"/>
      <c r="K2084" s="45"/>
    </row>
    <row r="2085" spans="1:11">
      <c r="A2085" s="43"/>
      <c r="B2085" s="44"/>
      <c r="C2085" s="44"/>
      <c r="D2085" s="85"/>
      <c r="E2085" s="44"/>
      <c r="F2085" s="44"/>
      <c r="G2085" s="44"/>
      <c r="H2085" s="44"/>
      <c r="I2085" s="45"/>
      <c r="J2085" s="45"/>
      <c r="K2085" s="45"/>
    </row>
    <row r="2086" spans="1:11">
      <c r="A2086" s="43"/>
      <c r="B2086" s="44"/>
      <c r="C2086" s="44"/>
      <c r="D2086" s="85"/>
      <c r="E2086" s="44"/>
      <c r="F2086" s="44"/>
      <c r="G2086" s="44"/>
      <c r="H2086" s="44"/>
      <c r="I2086" s="45"/>
      <c r="J2086" s="45"/>
      <c r="K2086" s="45"/>
    </row>
    <row r="2087" spans="1:11">
      <c r="A2087" s="43"/>
      <c r="B2087" s="44"/>
      <c r="C2087" s="44"/>
      <c r="D2087" s="85"/>
      <c r="E2087" s="44"/>
      <c r="F2087" s="44"/>
      <c r="G2087" s="44"/>
      <c r="H2087" s="44"/>
      <c r="I2087" s="45"/>
      <c r="J2087" s="45"/>
      <c r="K2087" s="45"/>
    </row>
    <row r="2088" spans="1:11">
      <c r="A2088" s="43"/>
      <c r="B2088" s="44"/>
      <c r="C2088" s="44"/>
      <c r="D2088" s="85"/>
      <c r="E2088" s="44"/>
      <c r="F2088" s="44"/>
      <c r="G2088" s="44"/>
      <c r="H2088" s="44"/>
      <c r="I2088" s="45"/>
      <c r="J2088" s="45"/>
      <c r="K2088" s="45"/>
    </row>
    <row r="2089" spans="1:11">
      <c r="A2089" s="43"/>
      <c r="B2089" s="44"/>
      <c r="C2089" s="44"/>
      <c r="D2089" s="85"/>
      <c r="E2089" s="44"/>
      <c r="F2089" s="44"/>
      <c r="G2089" s="44"/>
      <c r="H2089" s="44"/>
      <c r="I2089" s="45"/>
      <c r="J2089" s="45"/>
      <c r="K2089" s="45"/>
    </row>
    <row r="2090" spans="1:11">
      <c r="A2090" s="43"/>
      <c r="B2090" s="44"/>
      <c r="C2090" s="44"/>
      <c r="D2090" s="85"/>
      <c r="E2090" s="44"/>
      <c r="F2090" s="44"/>
      <c r="G2090" s="44"/>
      <c r="H2090" s="44"/>
      <c r="I2090" s="45"/>
      <c r="J2090" s="45"/>
      <c r="K2090" s="45"/>
    </row>
    <row r="2091" spans="1:11">
      <c r="A2091" s="43"/>
      <c r="B2091" s="44"/>
      <c r="C2091" s="44"/>
      <c r="D2091" s="85"/>
      <c r="E2091" s="44"/>
      <c r="F2091" s="44"/>
      <c r="G2091" s="44"/>
      <c r="H2091" s="44"/>
      <c r="I2091" s="45"/>
      <c r="J2091" s="45"/>
      <c r="K2091" s="45"/>
    </row>
    <row r="2092" spans="1:11">
      <c r="A2092" s="43"/>
      <c r="B2092" s="44"/>
      <c r="C2092" s="44"/>
      <c r="D2092" s="85"/>
      <c r="E2092" s="44"/>
      <c r="F2092" s="44"/>
      <c r="G2092" s="44"/>
      <c r="H2092" s="44"/>
      <c r="I2092" s="45"/>
      <c r="J2092" s="45"/>
      <c r="K2092" s="45"/>
    </row>
    <row r="2093" spans="1:11">
      <c r="A2093" s="43"/>
      <c r="B2093" s="44"/>
      <c r="C2093" s="44"/>
      <c r="D2093" s="85"/>
      <c r="E2093" s="44"/>
      <c r="F2093" s="44"/>
      <c r="G2093" s="44"/>
      <c r="H2093" s="44"/>
      <c r="I2093" s="45"/>
      <c r="J2093" s="45"/>
      <c r="K2093" s="45"/>
    </row>
    <row r="2094" spans="1:11">
      <c r="A2094" s="43"/>
      <c r="B2094" s="44"/>
      <c r="C2094" s="44"/>
      <c r="D2094" s="85"/>
      <c r="E2094" s="44"/>
      <c r="F2094" s="44"/>
      <c r="G2094" s="44"/>
      <c r="H2094" s="44"/>
      <c r="I2094" s="45"/>
      <c r="J2094" s="45"/>
      <c r="K2094" s="45"/>
    </row>
    <row r="2095" spans="1:11">
      <c r="A2095" s="43"/>
      <c r="B2095" s="44"/>
      <c r="C2095" s="44"/>
      <c r="D2095" s="85"/>
      <c r="E2095" s="44"/>
      <c r="F2095" s="44"/>
      <c r="G2095" s="44"/>
      <c r="H2095" s="44"/>
      <c r="I2095" s="45"/>
      <c r="J2095" s="45"/>
      <c r="K2095" s="45"/>
    </row>
    <row r="2096" spans="1:11">
      <c r="A2096" s="43"/>
      <c r="B2096" s="44"/>
      <c r="C2096" s="44"/>
      <c r="D2096" s="85"/>
      <c r="E2096" s="44"/>
      <c r="F2096" s="44"/>
      <c r="G2096" s="44"/>
      <c r="H2096" s="44"/>
      <c r="I2096" s="45"/>
      <c r="J2096" s="45"/>
      <c r="K2096" s="45"/>
    </row>
    <row r="2097" spans="1:11">
      <c r="A2097" s="43"/>
      <c r="B2097" s="44"/>
      <c r="C2097" s="44"/>
      <c r="D2097" s="85"/>
      <c r="E2097" s="44"/>
      <c r="F2097" s="44"/>
      <c r="G2097" s="44"/>
      <c r="H2097" s="44"/>
      <c r="I2097" s="45"/>
      <c r="J2097" s="45"/>
      <c r="K2097" s="45"/>
    </row>
    <row r="2098" spans="1:11">
      <c r="A2098" s="43"/>
      <c r="B2098" s="44"/>
      <c r="C2098" s="44"/>
      <c r="D2098" s="85"/>
      <c r="E2098" s="44"/>
      <c r="F2098" s="44"/>
      <c r="G2098" s="44"/>
      <c r="H2098" s="44"/>
      <c r="I2098" s="45"/>
      <c r="J2098" s="45"/>
      <c r="K2098" s="45"/>
    </row>
    <row r="2099" spans="1:11">
      <c r="A2099" s="43"/>
      <c r="B2099" s="44"/>
      <c r="C2099" s="44"/>
      <c r="D2099" s="85"/>
      <c r="E2099" s="44"/>
      <c r="F2099" s="44"/>
      <c r="G2099" s="44"/>
      <c r="H2099" s="44"/>
      <c r="I2099" s="45"/>
      <c r="J2099" s="45"/>
      <c r="K2099" s="45"/>
    </row>
    <row r="2100" spans="1:11">
      <c r="A2100" s="43"/>
      <c r="B2100" s="44"/>
      <c r="C2100" s="44"/>
      <c r="D2100" s="85"/>
      <c r="E2100" s="44"/>
      <c r="F2100" s="44"/>
      <c r="G2100" s="44"/>
      <c r="H2100" s="44"/>
      <c r="I2100" s="45"/>
      <c r="J2100" s="45"/>
      <c r="K2100" s="45"/>
    </row>
    <row r="2101" spans="1:11">
      <c r="A2101" s="43"/>
      <c r="B2101" s="44"/>
      <c r="C2101" s="44"/>
      <c r="D2101" s="85"/>
      <c r="E2101" s="44"/>
      <c r="F2101" s="44"/>
      <c r="G2101" s="44"/>
      <c r="H2101" s="44"/>
      <c r="I2101" s="45"/>
      <c r="J2101" s="45"/>
      <c r="K2101" s="45"/>
    </row>
    <row r="2102" spans="1:11">
      <c r="A2102" s="43"/>
      <c r="B2102" s="44"/>
      <c r="C2102" s="44"/>
      <c r="D2102" s="85"/>
      <c r="E2102" s="44"/>
      <c r="F2102" s="44"/>
      <c r="G2102" s="44"/>
      <c r="H2102" s="44"/>
      <c r="I2102" s="45"/>
      <c r="J2102" s="45"/>
      <c r="K2102" s="45"/>
    </row>
    <row r="2103" spans="1:11">
      <c r="A2103" s="43"/>
      <c r="B2103" s="44"/>
      <c r="C2103" s="44"/>
      <c r="D2103" s="85"/>
      <c r="E2103" s="44"/>
      <c r="F2103" s="44"/>
      <c r="G2103" s="44"/>
      <c r="H2103" s="44"/>
      <c r="I2103" s="45"/>
      <c r="J2103" s="45"/>
      <c r="K2103" s="45"/>
    </row>
    <row r="2104" spans="1:11">
      <c r="A2104" s="43"/>
      <c r="B2104" s="44"/>
      <c r="C2104" s="44"/>
      <c r="D2104" s="85"/>
      <c r="E2104" s="44"/>
      <c r="F2104" s="44"/>
      <c r="G2104" s="44"/>
      <c r="H2104" s="44"/>
      <c r="I2104" s="45"/>
      <c r="J2104" s="45"/>
      <c r="K2104" s="45"/>
    </row>
    <row r="2105" spans="1:11">
      <c r="A2105" s="43"/>
      <c r="B2105" s="44"/>
      <c r="C2105" s="44"/>
      <c r="D2105" s="85"/>
      <c r="E2105" s="44"/>
      <c r="F2105" s="44"/>
      <c r="G2105" s="44"/>
      <c r="H2105" s="44"/>
      <c r="I2105" s="45"/>
      <c r="J2105" s="45"/>
      <c r="K2105" s="45"/>
    </row>
    <row r="2106" spans="1:11">
      <c r="A2106" s="43"/>
      <c r="B2106" s="44"/>
      <c r="C2106" s="44"/>
      <c r="D2106" s="85"/>
      <c r="E2106" s="44"/>
      <c r="F2106" s="44"/>
      <c r="G2106" s="44"/>
      <c r="H2106" s="44"/>
      <c r="I2106" s="45"/>
      <c r="J2106" s="45"/>
      <c r="K2106" s="45"/>
    </row>
    <row r="2107" spans="1:11">
      <c r="A2107" s="43"/>
      <c r="B2107" s="44"/>
      <c r="C2107" s="44"/>
      <c r="D2107" s="85"/>
      <c r="E2107" s="44"/>
      <c r="F2107" s="44"/>
      <c r="G2107" s="44"/>
      <c r="H2107" s="44"/>
      <c r="I2107" s="45"/>
      <c r="J2107" s="45"/>
      <c r="K2107" s="45"/>
    </row>
    <row r="2108" spans="1:11">
      <c r="A2108" s="43"/>
      <c r="B2108" s="44"/>
      <c r="C2108" s="44"/>
      <c r="D2108" s="85"/>
      <c r="E2108" s="44"/>
      <c r="F2108" s="44"/>
      <c r="G2108" s="44"/>
      <c r="H2108" s="44"/>
      <c r="I2108" s="45"/>
      <c r="J2108" s="45"/>
      <c r="K2108" s="45"/>
    </row>
    <row r="2109" spans="1:11">
      <c r="A2109" s="43"/>
      <c r="B2109" s="44"/>
      <c r="C2109" s="44"/>
      <c r="D2109" s="85"/>
      <c r="E2109" s="44"/>
      <c r="F2109" s="44"/>
      <c r="G2109" s="44"/>
      <c r="H2109" s="44"/>
      <c r="I2109" s="45"/>
      <c r="J2109" s="45"/>
      <c r="K2109" s="45"/>
    </row>
    <row r="2110" spans="1:11">
      <c r="A2110" s="43"/>
      <c r="B2110" s="44"/>
      <c r="C2110" s="44"/>
      <c r="D2110" s="85"/>
      <c r="E2110" s="44"/>
      <c r="F2110" s="44"/>
      <c r="G2110" s="44"/>
      <c r="H2110" s="44"/>
      <c r="I2110" s="45"/>
      <c r="J2110" s="45"/>
      <c r="K2110" s="45"/>
    </row>
    <row r="2111" spans="1:11">
      <c r="A2111" s="43"/>
      <c r="B2111" s="44"/>
      <c r="C2111" s="44"/>
      <c r="D2111" s="85"/>
      <c r="E2111" s="44"/>
      <c r="F2111" s="44"/>
      <c r="G2111" s="44"/>
      <c r="H2111" s="44"/>
      <c r="I2111" s="45"/>
      <c r="J2111" s="45"/>
      <c r="K2111" s="45"/>
    </row>
    <row r="2112" spans="1:11">
      <c r="A2112" s="43"/>
      <c r="B2112" s="44"/>
      <c r="C2112" s="44"/>
      <c r="D2112" s="85"/>
      <c r="E2112" s="44"/>
      <c r="F2112" s="44"/>
      <c r="G2112" s="44"/>
      <c r="H2112" s="44"/>
      <c r="I2112" s="45"/>
      <c r="J2112" s="45"/>
      <c r="K2112" s="45"/>
    </row>
    <row r="2113" spans="1:11">
      <c r="A2113" s="43"/>
      <c r="B2113" s="44"/>
      <c r="C2113" s="44"/>
      <c r="D2113" s="85"/>
      <c r="E2113" s="44"/>
      <c r="F2113" s="44"/>
      <c r="G2113" s="44"/>
      <c r="H2113" s="44"/>
      <c r="I2113" s="45"/>
      <c r="J2113" s="45"/>
      <c r="K2113" s="45"/>
    </row>
    <row r="2114" spans="1:11">
      <c r="A2114" s="43"/>
      <c r="B2114" s="44"/>
      <c r="C2114" s="44"/>
      <c r="D2114" s="85"/>
      <c r="E2114" s="44"/>
      <c r="F2114" s="44"/>
      <c r="G2114" s="44"/>
      <c r="H2114" s="44"/>
      <c r="I2114" s="45"/>
      <c r="J2114" s="45"/>
      <c r="K2114" s="45"/>
    </row>
    <row r="2115" spans="1:11">
      <c r="A2115" s="43"/>
      <c r="B2115" s="44"/>
      <c r="C2115" s="44"/>
      <c r="D2115" s="85"/>
      <c r="E2115" s="44"/>
      <c r="F2115" s="44"/>
      <c r="G2115" s="44"/>
      <c r="H2115" s="44"/>
      <c r="I2115" s="45"/>
      <c r="J2115" s="45"/>
      <c r="K2115" s="45"/>
    </row>
    <row r="2116" spans="1:11">
      <c r="A2116" s="43"/>
      <c r="B2116" s="44"/>
      <c r="C2116" s="44"/>
      <c r="D2116" s="85"/>
      <c r="E2116" s="44"/>
      <c r="F2116" s="44"/>
      <c r="G2116" s="44"/>
      <c r="H2116" s="44"/>
      <c r="I2116" s="45"/>
      <c r="J2116" s="45"/>
      <c r="K2116" s="45"/>
    </row>
    <row r="2117" spans="1:11">
      <c r="A2117" s="43"/>
      <c r="B2117" s="44"/>
      <c r="C2117" s="44"/>
      <c r="D2117" s="85"/>
      <c r="E2117" s="44"/>
      <c r="F2117" s="44"/>
      <c r="G2117" s="44"/>
      <c r="H2117" s="44"/>
      <c r="I2117" s="45"/>
      <c r="J2117" s="45"/>
      <c r="K2117" s="45"/>
    </row>
    <row r="2118" spans="1:11">
      <c r="A2118" s="43"/>
      <c r="B2118" s="44"/>
      <c r="C2118" s="44"/>
      <c r="D2118" s="85"/>
      <c r="E2118" s="44"/>
      <c r="F2118" s="44"/>
      <c r="G2118" s="44"/>
      <c r="H2118" s="44"/>
      <c r="I2118" s="45"/>
      <c r="J2118" s="45"/>
      <c r="K2118" s="45"/>
    </row>
    <row r="2119" spans="1:11">
      <c r="A2119" s="43"/>
      <c r="B2119" s="44"/>
      <c r="C2119" s="44"/>
      <c r="D2119" s="85"/>
      <c r="E2119" s="44"/>
      <c r="F2119" s="44"/>
      <c r="G2119" s="44"/>
      <c r="H2119" s="44"/>
      <c r="I2119" s="45"/>
      <c r="J2119" s="45"/>
      <c r="K2119" s="45"/>
    </row>
    <row r="2120" spans="1:11">
      <c r="A2120" s="43"/>
      <c r="B2120" s="44"/>
      <c r="C2120" s="44"/>
      <c r="D2120" s="85"/>
      <c r="E2120" s="44"/>
      <c r="F2120" s="44"/>
      <c r="G2120" s="44"/>
      <c r="H2120" s="44"/>
      <c r="I2120" s="45"/>
      <c r="J2120" s="45"/>
      <c r="K2120" s="45"/>
    </row>
    <row r="2121" spans="1:11">
      <c r="A2121" s="43"/>
      <c r="B2121" s="44"/>
      <c r="C2121" s="44"/>
      <c r="D2121" s="85"/>
      <c r="E2121" s="44"/>
      <c r="F2121" s="44"/>
      <c r="G2121" s="44"/>
      <c r="H2121" s="44"/>
      <c r="I2121" s="45"/>
      <c r="J2121" s="45"/>
      <c r="K2121" s="45"/>
    </row>
    <row r="2122" spans="1:11">
      <c r="A2122" s="43"/>
      <c r="B2122" s="44"/>
      <c r="C2122" s="44"/>
      <c r="D2122" s="85"/>
      <c r="E2122" s="44"/>
      <c r="F2122" s="44"/>
      <c r="G2122" s="44"/>
      <c r="H2122" s="44"/>
      <c r="I2122" s="45"/>
      <c r="J2122" s="45"/>
      <c r="K2122" s="45"/>
    </row>
    <row r="2123" spans="1:11">
      <c r="A2123" s="43"/>
      <c r="B2123" s="44"/>
      <c r="C2123" s="44"/>
      <c r="D2123" s="85"/>
      <c r="E2123" s="44"/>
      <c r="F2123" s="44"/>
      <c r="G2123" s="44"/>
      <c r="H2123" s="44"/>
      <c r="I2123" s="45"/>
      <c r="J2123" s="45"/>
      <c r="K2123" s="45"/>
    </row>
    <row r="2124" spans="1:11">
      <c r="A2124" s="43"/>
      <c r="B2124" s="44"/>
      <c r="C2124" s="44"/>
      <c r="D2124" s="85"/>
      <c r="E2124" s="44"/>
      <c r="F2124" s="44"/>
      <c r="G2124" s="44"/>
      <c r="H2124" s="44"/>
      <c r="I2124" s="45"/>
      <c r="J2124" s="45"/>
      <c r="K2124" s="45"/>
    </row>
    <row r="2125" spans="1:11">
      <c r="A2125" s="43"/>
      <c r="B2125" s="44"/>
      <c r="C2125" s="44"/>
      <c r="D2125" s="85"/>
      <c r="E2125" s="44"/>
      <c r="F2125" s="44"/>
      <c r="G2125" s="44"/>
      <c r="H2125" s="44"/>
      <c r="I2125" s="45"/>
      <c r="J2125" s="45"/>
      <c r="K2125" s="45"/>
    </row>
    <row r="2126" spans="1:11">
      <c r="A2126" s="43"/>
      <c r="B2126" s="44"/>
      <c r="C2126" s="44"/>
      <c r="D2126" s="85"/>
      <c r="E2126" s="44"/>
      <c r="F2126" s="44"/>
      <c r="G2126" s="44"/>
      <c r="H2126" s="44"/>
      <c r="I2126" s="45"/>
      <c r="J2126" s="45"/>
      <c r="K2126" s="45"/>
    </row>
    <row r="2127" spans="1:11">
      <c r="A2127" s="43"/>
      <c r="B2127" s="44"/>
      <c r="C2127" s="44"/>
      <c r="D2127" s="85"/>
      <c r="E2127" s="44"/>
      <c r="F2127" s="44"/>
      <c r="G2127" s="44"/>
      <c r="H2127" s="44"/>
      <c r="I2127" s="45"/>
      <c r="J2127" s="45"/>
      <c r="K2127" s="45"/>
    </row>
    <row r="2128" spans="1:11">
      <c r="A2128" s="43"/>
      <c r="B2128" s="44"/>
      <c r="C2128" s="44"/>
      <c r="D2128" s="85"/>
      <c r="E2128" s="44"/>
      <c r="F2128" s="44"/>
      <c r="G2128" s="44"/>
      <c r="H2128" s="44"/>
      <c r="I2128" s="45"/>
      <c r="J2128" s="45"/>
      <c r="K2128" s="45"/>
    </row>
    <row r="2129" spans="1:11">
      <c r="A2129" s="43"/>
      <c r="B2129" s="44"/>
      <c r="C2129" s="44"/>
      <c r="D2129" s="85"/>
      <c r="E2129" s="44"/>
      <c r="F2129" s="44"/>
      <c r="G2129" s="44"/>
      <c r="H2129" s="44"/>
      <c r="I2129" s="45"/>
      <c r="J2129" s="45"/>
      <c r="K2129" s="45"/>
    </row>
    <row r="2130" spans="1:11">
      <c r="A2130" s="43"/>
      <c r="B2130" s="44"/>
      <c r="C2130" s="44"/>
      <c r="D2130" s="85"/>
      <c r="E2130" s="44"/>
      <c r="F2130" s="44"/>
      <c r="G2130" s="44"/>
      <c r="H2130" s="44"/>
      <c r="I2130" s="45"/>
      <c r="J2130" s="45"/>
      <c r="K2130" s="45"/>
    </row>
    <row r="2131" spans="1:11">
      <c r="A2131" s="43"/>
      <c r="B2131" s="44"/>
      <c r="C2131" s="44"/>
      <c r="D2131" s="85"/>
      <c r="E2131" s="44"/>
      <c r="F2131" s="44"/>
      <c r="G2131" s="44"/>
      <c r="H2131" s="44"/>
      <c r="I2131" s="45"/>
      <c r="J2131" s="45"/>
      <c r="K2131" s="45"/>
    </row>
    <row r="2132" spans="1:11">
      <c r="A2132" s="43"/>
      <c r="B2132" s="44"/>
      <c r="C2132" s="44"/>
      <c r="D2132" s="85"/>
      <c r="E2132" s="44"/>
      <c r="F2132" s="44"/>
      <c r="G2132" s="44"/>
      <c r="H2132" s="44"/>
      <c r="I2132" s="45"/>
      <c r="J2132" s="45"/>
      <c r="K2132" s="45"/>
    </row>
    <row r="2133" spans="1:11">
      <c r="A2133" s="43"/>
      <c r="B2133" s="44"/>
      <c r="C2133" s="44"/>
      <c r="D2133" s="85"/>
      <c r="E2133" s="44"/>
      <c r="F2133" s="44"/>
      <c r="G2133" s="44"/>
      <c r="H2133" s="44"/>
      <c r="I2133" s="45"/>
      <c r="J2133" s="45"/>
      <c r="K2133" s="45"/>
    </row>
    <row r="2134" spans="1:11">
      <c r="A2134" s="43"/>
      <c r="B2134" s="44"/>
      <c r="C2134" s="44"/>
      <c r="D2134" s="85"/>
      <c r="E2134" s="44"/>
      <c r="F2134" s="44"/>
      <c r="G2134" s="44"/>
      <c r="H2134" s="44"/>
      <c r="I2134" s="45"/>
      <c r="J2134" s="45"/>
      <c r="K2134" s="45"/>
    </row>
    <row r="2135" spans="1:11">
      <c r="A2135" s="43"/>
      <c r="B2135" s="44"/>
      <c r="C2135" s="44"/>
      <c r="D2135" s="85"/>
      <c r="E2135" s="44"/>
      <c r="F2135" s="44"/>
      <c r="G2135" s="44"/>
      <c r="H2135" s="44"/>
      <c r="I2135" s="45"/>
      <c r="J2135" s="45"/>
      <c r="K2135" s="45"/>
    </row>
    <row r="2136" spans="1:11">
      <c r="A2136" s="43"/>
      <c r="B2136" s="44"/>
      <c r="C2136" s="44"/>
      <c r="D2136" s="85"/>
      <c r="E2136" s="44"/>
      <c r="F2136" s="44"/>
      <c r="G2136" s="44"/>
      <c r="H2136" s="44"/>
      <c r="I2136" s="45"/>
      <c r="J2136" s="45"/>
      <c r="K2136" s="45"/>
    </row>
    <row r="2137" spans="1:11">
      <c r="A2137" s="43"/>
      <c r="B2137" s="44"/>
      <c r="C2137" s="44"/>
      <c r="D2137" s="85"/>
      <c r="E2137" s="44"/>
      <c r="F2137" s="44"/>
      <c r="G2137" s="44"/>
      <c r="H2137" s="44"/>
      <c r="I2137" s="45"/>
      <c r="J2137" s="45"/>
      <c r="K2137" s="45"/>
    </row>
    <row r="2138" spans="1:11">
      <c r="A2138" s="43"/>
      <c r="B2138" s="44"/>
      <c r="C2138" s="44"/>
      <c r="D2138" s="85"/>
      <c r="E2138" s="44"/>
      <c r="F2138" s="44"/>
      <c r="G2138" s="44"/>
      <c r="H2138" s="44"/>
      <c r="I2138" s="45"/>
      <c r="J2138" s="45"/>
      <c r="K2138" s="45"/>
    </row>
    <row r="2139" spans="1:11">
      <c r="A2139" s="43"/>
      <c r="B2139" s="44"/>
      <c r="C2139" s="44"/>
      <c r="D2139" s="85"/>
      <c r="E2139" s="44"/>
      <c r="F2139" s="44"/>
      <c r="G2139" s="44"/>
      <c r="H2139" s="44"/>
      <c r="I2139" s="45"/>
      <c r="J2139" s="45"/>
      <c r="K2139" s="45"/>
    </row>
    <row r="2140" spans="1:11">
      <c r="A2140" s="43"/>
      <c r="B2140" s="44"/>
      <c r="C2140" s="44"/>
      <c r="D2140" s="85"/>
      <c r="E2140" s="44"/>
      <c r="F2140" s="44"/>
      <c r="G2140" s="44"/>
      <c r="H2140" s="44"/>
      <c r="I2140" s="45"/>
      <c r="J2140" s="45"/>
      <c r="K2140" s="45"/>
    </row>
    <row r="2141" spans="1:11">
      <c r="A2141" s="43"/>
      <c r="B2141" s="44"/>
      <c r="C2141" s="44"/>
      <c r="D2141" s="85"/>
      <c r="E2141" s="44"/>
      <c r="F2141" s="44"/>
      <c r="G2141" s="44"/>
      <c r="H2141" s="44"/>
      <c r="I2141" s="45"/>
      <c r="J2141" s="45"/>
      <c r="K2141" s="45"/>
    </row>
    <row r="2142" spans="1:11">
      <c r="A2142" s="43"/>
      <c r="B2142" s="44"/>
      <c r="C2142" s="44"/>
      <c r="D2142" s="85"/>
      <c r="E2142" s="44"/>
      <c r="F2142" s="44"/>
      <c r="G2142" s="44"/>
      <c r="H2142" s="44"/>
      <c r="I2142" s="45"/>
      <c r="J2142" s="45"/>
      <c r="K2142" s="45"/>
    </row>
    <row r="2143" spans="1:11">
      <c r="A2143" s="43"/>
      <c r="B2143" s="44"/>
      <c r="C2143" s="44"/>
      <c r="D2143" s="85"/>
      <c r="E2143" s="44"/>
      <c r="F2143" s="44"/>
      <c r="G2143" s="44"/>
      <c r="H2143" s="44"/>
      <c r="I2143" s="45"/>
      <c r="J2143" s="45"/>
      <c r="K2143" s="45"/>
    </row>
    <row r="2144" spans="1:11">
      <c r="A2144" s="43"/>
      <c r="B2144" s="44"/>
      <c r="C2144" s="44"/>
      <c r="D2144" s="85"/>
      <c r="E2144" s="44"/>
      <c r="F2144" s="44"/>
      <c r="G2144" s="44"/>
      <c r="H2144" s="44"/>
      <c r="I2144" s="45"/>
      <c r="J2144" s="45"/>
      <c r="K2144" s="45"/>
    </row>
    <row r="2145" spans="1:11">
      <c r="A2145" s="43"/>
      <c r="B2145" s="44"/>
      <c r="C2145" s="44"/>
      <c r="D2145" s="85"/>
      <c r="E2145" s="44"/>
      <c r="F2145" s="44"/>
      <c r="G2145" s="44"/>
      <c r="H2145" s="44"/>
      <c r="I2145" s="45"/>
      <c r="J2145" s="45"/>
      <c r="K2145" s="45"/>
    </row>
    <row r="2146" spans="1:11">
      <c r="A2146" s="43"/>
      <c r="B2146" s="44"/>
      <c r="C2146" s="44"/>
      <c r="D2146" s="85"/>
      <c r="E2146" s="44"/>
      <c r="F2146" s="44"/>
      <c r="G2146" s="44"/>
      <c r="H2146" s="44"/>
      <c r="I2146" s="45"/>
      <c r="J2146" s="45"/>
      <c r="K2146" s="45"/>
    </row>
    <row r="2147" spans="1:11">
      <c r="A2147" s="43"/>
      <c r="B2147" s="44"/>
      <c r="C2147" s="44"/>
      <c r="D2147" s="85"/>
      <c r="E2147" s="44"/>
      <c r="F2147" s="44"/>
      <c r="G2147" s="44"/>
      <c r="H2147" s="44"/>
      <c r="I2147" s="45"/>
      <c r="J2147" s="45"/>
      <c r="K2147" s="45"/>
    </row>
    <row r="2148" spans="1:11">
      <c r="A2148" s="43"/>
      <c r="B2148" s="44"/>
      <c r="C2148" s="44"/>
      <c r="D2148" s="85"/>
      <c r="E2148" s="44"/>
      <c r="F2148" s="44"/>
      <c r="G2148" s="44"/>
      <c r="H2148" s="44"/>
      <c r="I2148" s="45"/>
      <c r="J2148" s="45"/>
      <c r="K2148" s="45"/>
    </row>
    <row r="2149" spans="1:11">
      <c r="A2149" s="43"/>
      <c r="B2149" s="44"/>
      <c r="C2149" s="44"/>
      <c r="D2149" s="85"/>
      <c r="E2149" s="44"/>
      <c r="F2149" s="44"/>
      <c r="G2149" s="44"/>
      <c r="H2149" s="44"/>
      <c r="I2149" s="45"/>
      <c r="J2149" s="45"/>
      <c r="K2149" s="45"/>
    </row>
    <row r="2150" spans="1:11">
      <c r="A2150" s="43"/>
      <c r="B2150" s="44"/>
      <c r="C2150" s="44"/>
      <c r="D2150" s="85"/>
      <c r="E2150" s="44"/>
      <c r="F2150" s="44"/>
      <c r="G2150" s="44"/>
      <c r="H2150" s="44"/>
      <c r="I2150" s="45"/>
      <c r="J2150" s="45"/>
      <c r="K2150" s="45"/>
    </row>
    <row r="2151" spans="1:11">
      <c r="A2151" s="43"/>
      <c r="B2151" s="44"/>
      <c r="C2151" s="44"/>
      <c r="D2151" s="85"/>
      <c r="E2151" s="44"/>
      <c r="F2151" s="44"/>
      <c r="G2151" s="44"/>
      <c r="H2151" s="44"/>
      <c r="I2151" s="45"/>
      <c r="J2151" s="45"/>
      <c r="K2151" s="45"/>
    </row>
    <row r="2152" spans="1:11">
      <c r="A2152" s="43"/>
      <c r="B2152" s="44"/>
      <c r="C2152" s="44"/>
      <c r="D2152" s="85"/>
      <c r="E2152" s="44"/>
      <c r="F2152" s="44"/>
      <c r="G2152" s="44"/>
      <c r="H2152" s="44"/>
      <c r="I2152" s="45"/>
      <c r="J2152" s="45"/>
      <c r="K2152" s="45"/>
    </row>
    <row r="2153" spans="1:11">
      <c r="A2153" s="43"/>
      <c r="B2153" s="44"/>
      <c r="C2153" s="44"/>
      <c r="D2153" s="85"/>
      <c r="E2153" s="44"/>
      <c r="F2153" s="44"/>
      <c r="G2153" s="44"/>
      <c r="H2153" s="44"/>
      <c r="I2153" s="45"/>
      <c r="J2153" s="45"/>
      <c r="K2153" s="45"/>
    </row>
    <row r="2154" spans="1:11">
      <c r="A2154" s="43"/>
      <c r="B2154" s="44"/>
      <c r="C2154" s="44"/>
      <c r="D2154" s="85"/>
      <c r="E2154" s="44"/>
      <c r="F2154" s="44"/>
      <c r="G2154" s="44"/>
      <c r="H2154" s="44"/>
      <c r="I2154" s="45"/>
      <c r="J2154" s="45"/>
      <c r="K2154" s="45"/>
    </row>
    <row r="2155" spans="1:11">
      <c r="A2155" s="43"/>
      <c r="B2155" s="44"/>
      <c r="C2155" s="44"/>
      <c r="D2155" s="85"/>
      <c r="E2155" s="44"/>
      <c r="F2155" s="44"/>
      <c r="G2155" s="44"/>
      <c r="H2155" s="44"/>
      <c r="I2155" s="45"/>
      <c r="J2155" s="45"/>
      <c r="K2155" s="45"/>
    </row>
    <row r="2156" spans="1:11">
      <c r="A2156" s="43"/>
      <c r="B2156" s="44"/>
      <c r="C2156" s="44"/>
      <c r="D2156" s="85"/>
      <c r="E2156" s="44"/>
      <c r="F2156" s="44"/>
      <c r="G2156" s="44"/>
      <c r="H2156" s="44"/>
      <c r="I2156" s="45"/>
      <c r="J2156" s="45"/>
      <c r="K2156" s="45"/>
    </row>
    <row r="2157" spans="1:11">
      <c r="A2157" s="43"/>
      <c r="B2157" s="44"/>
      <c r="C2157" s="44"/>
      <c r="D2157" s="85"/>
      <c r="E2157" s="44"/>
      <c r="F2157" s="44"/>
      <c r="G2157" s="44"/>
      <c r="H2157" s="44"/>
      <c r="I2157" s="45"/>
      <c r="J2157" s="45"/>
      <c r="K2157" s="45"/>
    </row>
    <row r="2158" spans="1:11">
      <c r="A2158" s="43"/>
      <c r="B2158" s="44"/>
      <c r="C2158" s="44"/>
      <c r="D2158" s="85"/>
      <c r="E2158" s="44"/>
      <c r="F2158" s="44"/>
      <c r="G2158" s="44"/>
      <c r="H2158" s="44"/>
      <c r="I2158" s="45"/>
      <c r="J2158" s="45"/>
      <c r="K2158" s="45"/>
    </row>
    <row r="2159" spans="1:11">
      <c r="A2159" s="43"/>
      <c r="B2159" s="44"/>
      <c r="C2159" s="44"/>
      <c r="D2159" s="85"/>
      <c r="E2159" s="44"/>
      <c r="F2159" s="44"/>
      <c r="G2159" s="44"/>
      <c r="H2159" s="44"/>
      <c r="I2159" s="45"/>
      <c r="J2159" s="45"/>
      <c r="K2159" s="45"/>
    </row>
    <row r="2160" spans="1:11">
      <c r="A2160" s="43"/>
      <c r="B2160" s="44"/>
      <c r="C2160" s="44"/>
      <c r="D2160" s="85"/>
      <c r="E2160" s="44"/>
      <c r="F2160" s="44"/>
      <c r="G2160" s="44"/>
      <c r="H2160" s="44"/>
      <c r="I2160" s="45"/>
      <c r="J2160" s="45"/>
      <c r="K2160" s="45"/>
    </row>
    <row r="2161" spans="1:11">
      <c r="A2161" s="43"/>
      <c r="B2161" s="44"/>
      <c r="C2161" s="44"/>
      <c r="D2161" s="85"/>
      <c r="E2161" s="44"/>
      <c r="F2161" s="44"/>
      <c r="G2161" s="44"/>
      <c r="H2161" s="44"/>
      <c r="I2161" s="45"/>
      <c r="J2161" s="45"/>
      <c r="K2161" s="45"/>
    </row>
    <row r="2162" spans="1:11">
      <c r="A2162" s="43"/>
      <c r="B2162" s="44"/>
      <c r="C2162" s="44"/>
      <c r="D2162" s="85"/>
      <c r="E2162" s="44"/>
      <c r="F2162" s="44"/>
      <c r="G2162" s="44"/>
      <c r="H2162" s="44"/>
      <c r="I2162" s="45"/>
      <c r="J2162" s="45"/>
      <c r="K2162" s="45"/>
    </row>
    <row r="2163" spans="1:11">
      <c r="A2163" s="43"/>
      <c r="B2163" s="44"/>
      <c r="C2163" s="44"/>
      <c r="D2163" s="85"/>
      <c r="E2163" s="44"/>
      <c r="F2163" s="44"/>
      <c r="G2163" s="44"/>
      <c r="H2163" s="44"/>
      <c r="I2163" s="45"/>
      <c r="J2163" s="45"/>
      <c r="K2163" s="45"/>
    </row>
    <row r="2164" spans="1:11">
      <c r="A2164" s="43"/>
      <c r="B2164" s="44"/>
      <c r="C2164" s="44"/>
      <c r="D2164" s="85"/>
      <c r="E2164" s="44"/>
      <c r="F2164" s="44"/>
      <c r="G2164" s="44"/>
      <c r="H2164" s="44"/>
      <c r="I2164" s="45"/>
      <c r="J2164" s="45"/>
      <c r="K2164" s="45"/>
    </row>
    <row r="2165" spans="1:11">
      <c r="A2165" s="43"/>
      <c r="B2165" s="44"/>
      <c r="C2165" s="44"/>
      <c r="D2165" s="85"/>
      <c r="E2165" s="44"/>
      <c r="F2165" s="44"/>
      <c r="G2165" s="44"/>
      <c r="H2165" s="44"/>
      <c r="I2165" s="45"/>
      <c r="J2165" s="45"/>
      <c r="K2165" s="45"/>
    </row>
    <row r="2166" spans="1:11">
      <c r="A2166" s="43"/>
      <c r="B2166" s="44"/>
      <c r="C2166" s="44"/>
      <c r="D2166" s="85"/>
      <c r="E2166" s="44"/>
      <c r="F2166" s="44"/>
      <c r="G2166" s="44"/>
      <c r="H2166" s="44"/>
      <c r="I2166" s="45"/>
      <c r="J2166" s="45"/>
      <c r="K2166" s="45"/>
    </row>
    <row r="2167" spans="1:11">
      <c r="A2167" s="43"/>
      <c r="B2167" s="44"/>
      <c r="C2167" s="44"/>
      <c r="D2167" s="85"/>
      <c r="E2167" s="44"/>
      <c r="F2167" s="44"/>
      <c r="G2167" s="44"/>
      <c r="H2167" s="44"/>
      <c r="I2167" s="45"/>
      <c r="J2167" s="45"/>
      <c r="K2167" s="45"/>
    </row>
    <row r="2168" spans="1:11">
      <c r="A2168" s="43"/>
      <c r="B2168" s="44"/>
      <c r="C2168" s="44"/>
      <c r="D2168" s="85"/>
      <c r="E2168" s="44"/>
      <c r="F2168" s="44"/>
      <c r="G2168" s="44"/>
      <c r="H2168" s="44"/>
      <c r="I2168" s="45"/>
      <c r="J2168" s="45"/>
      <c r="K2168" s="45"/>
    </row>
    <row r="2169" spans="1:11">
      <c r="A2169" s="43"/>
      <c r="B2169" s="44"/>
      <c r="C2169" s="44"/>
      <c r="D2169" s="85"/>
      <c r="E2169" s="44"/>
      <c r="F2169" s="44"/>
      <c r="G2169" s="44"/>
      <c r="H2169" s="44"/>
      <c r="I2169" s="45"/>
      <c r="J2169" s="45"/>
      <c r="K2169" s="45"/>
    </row>
    <row r="2170" spans="1:11">
      <c r="A2170" s="43"/>
      <c r="B2170" s="44"/>
      <c r="C2170" s="44"/>
      <c r="D2170" s="85"/>
      <c r="E2170" s="44"/>
      <c r="F2170" s="44"/>
      <c r="G2170" s="44"/>
      <c r="H2170" s="44"/>
      <c r="I2170" s="45"/>
      <c r="J2170" s="45"/>
      <c r="K2170" s="45"/>
    </row>
    <row r="2171" spans="1:11">
      <c r="A2171" s="43"/>
      <c r="B2171" s="44"/>
      <c r="C2171" s="44"/>
      <c r="D2171" s="85"/>
      <c r="E2171" s="44"/>
      <c r="F2171" s="44"/>
      <c r="G2171" s="44"/>
      <c r="H2171" s="44"/>
      <c r="I2171" s="45"/>
      <c r="J2171" s="45"/>
      <c r="K2171" s="45"/>
    </row>
    <row r="2172" spans="1:11">
      <c r="A2172" s="43"/>
      <c r="B2172" s="44"/>
      <c r="C2172" s="44"/>
      <c r="D2172" s="85"/>
      <c r="E2172" s="44"/>
      <c r="F2172" s="44"/>
      <c r="G2172" s="44"/>
      <c r="H2172" s="44"/>
      <c r="I2172" s="45"/>
      <c r="J2172" s="45"/>
      <c r="K2172" s="45"/>
    </row>
    <row r="2173" spans="1:11">
      <c r="A2173" s="43"/>
      <c r="B2173" s="44"/>
      <c r="C2173" s="44"/>
      <c r="D2173" s="85"/>
      <c r="E2173" s="44"/>
      <c r="F2173" s="44"/>
      <c r="G2173" s="44"/>
      <c r="H2173" s="44"/>
      <c r="I2173" s="45"/>
      <c r="J2173" s="45"/>
      <c r="K2173" s="45"/>
    </row>
    <row r="2174" spans="1:11">
      <c r="A2174" s="43"/>
      <c r="B2174" s="44"/>
      <c r="C2174" s="44"/>
      <c r="D2174" s="85"/>
      <c r="E2174" s="44"/>
      <c r="F2174" s="44"/>
      <c r="G2174" s="44"/>
      <c r="H2174" s="44"/>
      <c r="I2174" s="45"/>
      <c r="J2174" s="45"/>
      <c r="K2174" s="45"/>
    </row>
    <row r="2175" spans="1:11">
      <c r="A2175" s="43"/>
      <c r="B2175" s="44"/>
      <c r="C2175" s="44"/>
      <c r="D2175" s="85"/>
      <c r="E2175" s="44"/>
      <c r="F2175" s="44"/>
      <c r="G2175" s="44"/>
      <c r="H2175" s="44"/>
      <c r="I2175" s="45"/>
      <c r="J2175" s="45"/>
      <c r="K2175" s="45"/>
    </row>
    <row r="2176" spans="1:11">
      <c r="A2176" s="43"/>
      <c r="B2176" s="44"/>
      <c r="C2176" s="44"/>
      <c r="D2176" s="85"/>
      <c r="E2176" s="44"/>
      <c r="F2176" s="44"/>
      <c r="G2176" s="44"/>
      <c r="H2176" s="44"/>
      <c r="I2176" s="45"/>
      <c r="J2176" s="45"/>
      <c r="K2176" s="45"/>
    </row>
    <row r="2177" spans="1:11">
      <c r="A2177" s="43"/>
      <c r="B2177" s="44"/>
      <c r="C2177" s="44"/>
      <c r="D2177" s="85"/>
      <c r="E2177" s="44"/>
      <c r="F2177" s="44"/>
      <c r="G2177" s="44"/>
      <c r="H2177" s="44"/>
      <c r="I2177" s="45"/>
      <c r="J2177" s="45"/>
      <c r="K2177" s="45"/>
    </row>
    <row r="2178" spans="1:11">
      <c r="A2178" s="43"/>
      <c r="B2178" s="44"/>
      <c r="C2178" s="44"/>
      <c r="D2178" s="85"/>
      <c r="E2178" s="44"/>
      <c r="F2178" s="44"/>
      <c r="G2178" s="44"/>
      <c r="H2178" s="44"/>
      <c r="I2178" s="45"/>
      <c r="J2178" s="45"/>
      <c r="K2178" s="45"/>
    </row>
    <row r="2179" spans="1:11">
      <c r="A2179" s="43"/>
      <c r="B2179" s="44"/>
      <c r="C2179" s="44"/>
      <c r="D2179" s="85"/>
      <c r="E2179" s="44"/>
      <c r="F2179" s="44"/>
      <c r="G2179" s="44"/>
      <c r="H2179" s="44"/>
      <c r="I2179" s="45"/>
      <c r="J2179" s="45"/>
      <c r="K2179" s="45"/>
    </row>
    <row r="2180" spans="1:11">
      <c r="A2180" s="43"/>
      <c r="B2180" s="44"/>
      <c r="C2180" s="44"/>
      <c r="D2180" s="85"/>
      <c r="E2180" s="44"/>
      <c r="F2180" s="44"/>
      <c r="G2180" s="44"/>
      <c r="H2180" s="44"/>
      <c r="I2180" s="45"/>
      <c r="J2180" s="45"/>
      <c r="K2180" s="45"/>
    </row>
    <row r="2181" spans="1:11">
      <c r="A2181" s="43"/>
      <c r="B2181" s="44"/>
      <c r="C2181" s="44"/>
      <c r="D2181" s="85"/>
      <c r="E2181" s="44"/>
      <c r="F2181" s="44"/>
      <c r="G2181" s="44"/>
      <c r="H2181" s="44"/>
      <c r="I2181" s="45"/>
      <c r="J2181" s="45"/>
      <c r="K2181" s="45"/>
    </row>
    <row r="2182" spans="1:11">
      <c r="A2182" s="43"/>
      <c r="B2182" s="44"/>
      <c r="C2182" s="44"/>
      <c r="D2182" s="85"/>
      <c r="E2182" s="44"/>
      <c r="F2182" s="44"/>
      <c r="G2182" s="44"/>
      <c r="H2182" s="44"/>
      <c r="I2182" s="45"/>
      <c r="J2182" s="45"/>
      <c r="K2182" s="45"/>
    </row>
    <row r="2183" spans="1:11">
      <c r="A2183" s="43"/>
      <c r="B2183" s="44"/>
      <c r="C2183" s="44"/>
      <c r="D2183" s="85"/>
      <c r="E2183" s="44"/>
      <c r="F2183" s="44"/>
      <c r="G2183" s="44"/>
      <c r="H2183" s="44"/>
      <c r="I2183" s="45"/>
      <c r="J2183" s="45"/>
      <c r="K2183" s="45"/>
    </row>
    <row r="2184" spans="1:11">
      <c r="A2184" s="43"/>
      <c r="B2184" s="44"/>
      <c r="C2184" s="44"/>
      <c r="D2184" s="85"/>
      <c r="E2184" s="44"/>
      <c r="F2184" s="44"/>
      <c r="G2184" s="44"/>
      <c r="H2184" s="44"/>
      <c r="I2184" s="45"/>
      <c r="J2184" s="45"/>
      <c r="K2184" s="45"/>
    </row>
    <row r="2185" spans="1:11">
      <c r="A2185" s="43"/>
      <c r="B2185" s="44"/>
      <c r="C2185" s="44"/>
      <c r="D2185" s="85"/>
      <c r="E2185" s="44"/>
      <c r="F2185" s="44"/>
      <c r="G2185" s="44"/>
      <c r="H2185" s="44"/>
      <c r="I2185" s="45"/>
      <c r="J2185" s="45"/>
      <c r="K2185" s="45"/>
    </row>
    <row r="2186" spans="1:11">
      <c r="A2186" s="43"/>
      <c r="B2186" s="44"/>
      <c r="C2186" s="44"/>
      <c r="D2186" s="85"/>
      <c r="E2186" s="44"/>
      <c r="F2186" s="44"/>
      <c r="G2186" s="44"/>
      <c r="H2186" s="44"/>
      <c r="I2186" s="45"/>
      <c r="J2186" s="45"/>
      <c r="K2186" s="45"/>
    </row>
    <row r="2187" spans="1:11">
      <c r="A2187" s="43"/>
      <c r="B2187" s="44"/>
      <c r="C2187" s="44"/>
      <c r="D2187" s="85"/>
      <c r="E2187" s="44"/>
      <c r="F2187" s="44"/>
      <c r="G2187" s="44"/>
      <c r="H2187" s="44"/>
      <c r="I2187" s="45"/>
      <c r="J2187" s="45"/>
      <c r="K2187" s="45"/>
    </row>
    <row r="2188" spans="1:11">
      <c r="A2188" s="43"/>
      <c r="B2188" s="44"/>
      <c r="C2188" s="44"/>
      <c r="D2188" s="85"/>
      <c r="E2188" s="44"/>
      <c r="F2188" s="44"/>
      <c r="G2188" s="44"/>
      <c r="H2188" s="44"/>
      <c r="I2188" s="45"/>
      <c r="J2188" s="45"/>
      <c r="K2188" s="45"/>
    </row>
    <row r="2189" spans="1:11">
      <c r="A2189" s="43"/>
      <c r="B2189" s="44"/>
      <c r="C2189" s="44"/>
      <c r="D2189" s="85"/>
      <c r="E2189" s="44"/>
      <c r="F2189" s="44"/>
      <c r="G2189" s="44"/>
      <c r="H2189" s="44"/>
      <c r="I2189" s="45"/>
      <c r="J2189" s="45"/>
      <c r="K2189" s="45"/>
    </row>
    <row r="2190" spans="1:11">
      <c r="A2190" s="43"/>
      <c r="B2190" s="44"/>
      <c r="C2190" s="44"/>
      <c r="D2190" s="85"/>
      <c r="E2190" s="44"/>
      <c r="F2190" s="44"/>
      <c r="G2190" s="44"/>
      <c r="H2190" s="44"/>
      <c r="I2190" s="45"/>
      <c r="J2190" s="45"/>
      <c r="K2190" s="45"/>
    </row>
    <row r="2191" spans="1:11">
      <c r="A2191" s="43"/>
      <c r="B2191" s="44"/>
      <c r="C2191" s="44"/>
      <c r="D2191" s="85"/>
      <c r="E2191" s="44"/>
      <c r="F2191" s="44"/>
      <c r="G2191" s="44"/>
      <c r="H2191" s="44"/>
      <c r="I2191" s="45"/>
      <c r="J2191" s="45"/>
      <c r="K2191" s="45"/>
    </row>
    <row r="2192" spans="1:11">
      <c r="A2192" s="43"/>
      <c r="B2192" s="44"/>
      <c r="C2192" s="44"/>
      <c r="D2192" s="85"/>
      <c r="E2192" s="44"/>
      <c r="F2192" s="44"/>
      <c r="G2192" s="44"/>
      <c r="H2192" s="44"/>
      <c r="I2192" s="45"/>
      <c r="J2192" s="45"/>
      <c r="K2192" s="45"/>
    </row>
    <row r="2193" spans="1:11">
      <c r="A2193" s="43"/>
      <c r="B2193" s="44"/>
      <c r="C2193" s="44"/>
      <c r="D2193" s="85"/>
      <c r="E2193" s="44"/>
      <c r="F2193" s="44"/>
      <c r="G2193" s="44"/>
      <c r="H2193" s="44"/>
      <c r="I2193" s="45"/>
      <c r="J2193" s="45"/>
      <c r="K2193" s="45"/>
    </row>
    <row r="2194" spans="1:11">
      <c r="A2194" s="43"/>
      <c r="B2194" s="44"/>
      <c r="C2194" s="44"/>
      <c r="D2194" s="85"/>
      <c r="E2194" s="44"/>
      <c r="F2194" s="44"/>
      <c r="G2194" s="44"/>
      <c r="H2194" s="44"/>
      <c r="I2194" s="45"/>
      <c r="J2194" s="45"/>
      <c r="K2194" s="45"/>
    </row>
    <row r="2195" spans="1:11">
      <c r="A2195" s="43"/>
      <c r="B2195" s="44"/>
      <c r="C2195" s="44"/>
      <c r="D2195" s="85"/>
      <c r="E2195" s="44"/>
      <c r="F2195" s="44"/>
      <c r="G2195" s="44"/>
      <c r="H2195" s="44"/>
      <c r="I2195" s="45"/>
      <c r="J2195" s="45"/>
      <c r="K2195" s="45"/>
    </row>
    <row r="2196" spans="1:11">
      <c r="A2196" s="43"/>
      <c r="B2196" s="44"/>
      <c r="C2196" s="44"/>
      <c r="D2196" s="85"/>
      <c r="E2196" s="44"/>
      <c r="F2196" s="44"/>
      <c r="G2196" s="44"/>
      <c r="H2196" s="44"/>
      <c r="I2196" s="45"/>
      <c r="J2196" s="45"/>
      <c r="K2196" s="45"/>
    </row>
    <row r="2197" spans="1:11">
      <c r="A2197" s="43"/>
      <c r="B2197" s="44"/>
      <c r="C2197" s="44"/>
      <c r="D2197" s="85"/>
      <c r="E2197" s="44"/>
      <c r="F2197" s="44"/>
      <c r="G2197" s="44"/>
      <c r="H2197" s="44"/>
      <c r="I2197" s="45"/>
      <c r="J2197" s="45"/>
      <c r="K2197" s="45"/>
    </row>
    <row r="2198" spans="1:11">
      <c r="A2198" s="43"/>
      <c r="B2198" s="44"/>
      <c r="C2198" s="44"/>
      <c r="D2198" s="85"/>
      <c r="E2198" s="44"/>
      <c r="F2198" s="44"/>
      <c r="G2198" s="44"/>
      <c r="H2198" s="44"/>
      <c r="I2198" s="45"/>
      <c r="J2198" s="45"/>
      <c r="K2198" s="45"/>
    </row>
    <row r="2199" spans="1:11">
      <c r="A2199" s="43"/>
      <c r="B2199" s="44"/>
      <c r="C2199" s="44"/>
      <c r="D2199" s="85"/>
      <c r="E2199" s="44"/>
      <c r="F2199" s="44"/>
      <c r="G2199" s="44"/>
      <c r="H2199" s="44"/>
      <c r="I2199" s="45"/>
      <c r="J2199" s="45"/>
      <c r="K2199" s="45"/>
    </row>
    <row r="2200" spans="1:11">
      <c r="A2200" s="43"/>
      <c r="B2200" s="44"/>
      <c r="C2200" s="44"/>
      <c r="D2200" s="85"/>
      <c r="E2200" s="44"/>
      <c r="F2200" s="44"/>
      <c r="G2200" s="44"/>
      <c r="H2200" s="44"/>
      <c r="I2200" s="45"/>
      <c r="J2200" s="45"/>
      <c r="K2200" s="45"/>
    </row>
    <row r="2201" spans="1:11">
      <c r="A2201" s="43"/>
      <c r="B2201" s="44"/>
      <c r="C2201" s="44"/>
      <c r="D2201" s="85"/>
      <c r="E2201" s="44"/>
      <c r="F2201" s="44"/>
      <c r="G2201" s="44"/>
      <c r="H2201" s="44"/>
      <c r="I2201" s="45"/>
      <c r="J2201" s="45"/>
      <c r="K2201" s="45"/>
    </row>
    <row r="2202" spans="1:11">
      <c r="A2202" s="43"/>
      <c r="B2202" s="44"/>
      <c r="C2202" s="44"/>
      <c r="D2202" s="85"/>
      <c r="E2202" s="44"/>
      <c r="F2202" s="44"/>
      <c r="G2202" s="44"/>
      <c r="H2202" s="44"/>
      <c r="I2202" s="45"/>
      <c r="J2202" s="45"/>
      <c r="K2202" s="45"/>
    </row>
    <row r="2203" spans="1:11">
      <c r="A2203" s="43"/>
      <c r="B2203" s="44"/>
      <c r="C2203" s="44"/>
      <c r="D2203" s="85"/>
      <c r="E2203" s="44"/>
      <c r="F2203" s="44"/>
      <c r="G2203" s="44"/>
      <c r="H2203" s="44"/>
      <c r="I2203" s="45"/>
      <c r="J2203" s="45"/>
      <c r="K2203" s="45"/>
    </row>
    <row r="2204" spans="1:11">
      <c r="A2204" s="43"/>
      <c r="B2204" s="44"/>
      <c r="C2204" s="44"/>
      <c r="D2204" s="85"/>
      <c r="E2204" s="44"/>
      <c r="F2204" s="44"/>
      <c r="G2204" s="44"/>
      <c r="H2204" s="44"/>
      <c r="I2204" s="45"/>
      <c r="J2204" s="45"/>
      <c r="K2204" s="45"/>
    </row>
    <row r="2205" spans="1:11">
      <c r="A2205" s="43"/>
      <c r="B2205" s="44"/>
      <c r="C2205" s="44"/>
      <c r="D2205" s="85"/>
      <c r="E2205" s="44"/>
      <c r="F2205" s="44"/>
      <c r="G2205" s="44"/>
      <c r="H2205" s="44"/>
      <c r="I2205" s="45"/>
      <c r="J2205" s="45"/>
      <c r="K2205" s="45"/>
    </row>
    <row r="2206" spans="1:11">
      <c r="A2206" s="43"/>
      <c r="B2206" s="44"/>
      <c r="C2206" s="44"/>
      <c r="D2206" s="85"/>
      <c r="E2206" s="44"/>
      <c r="F2206" s="44"/>
      <c r="G2206" s="44"/>
      <c r="H2206" s="44"/>
      <c r="I2206" s="45"/>
      <c r="J2206" s="45"/>
      <c r="K2206" s="45"/>
    </row>
    <row r="2207" spans="1:11">
      <c r="A2207" s="43"/>
      <c r="B2207" s="44"/>
      <c r="C2207" s="44"/>
      <c r="D2207" s="85"/>
      <c r="E2207" s="44"/>
      <c r="F2207" s="44"/>
      <c r="G2207" s="44"/>
      <c r="H2207" s="44"/>
      <c r="I2207" s="45"/>
      <c r="J2207" s="45"/>
      <c r="K2207" s="45"/>
    </row>
    <row r="2208" spans="1:11">
      <c r="A2208" s="43"/>
      <c r="B2208" s="44"/>
      <c r="C2208" s="44"/>
      <c r="D2208" s="85"/>
      <c r="E2208" s="44"/>
      <c r="F2208" s="44"/>
      <c r="G2208" s="44"/>
      <c r="H2208" s="44"/>
      <c r="I2208" s="45"/>
      <c r="J2208" s="45"/>
      <c r="K2208" s="45"/>
    </row>
    <row r="2209" spans="1:11">
      <c r="A2209" s="43"/>
      <c r="B2209" s="44"/>
      <c r="C2209" s="44"/>
      <c r="D2209" s="85"/>
      <c r="E2209" s="44"/>
      <c r="F2209" s="44"/>
      <c r="G2209" s="44"/>
      <c r="H2209" s="44"/>
      <c r="I2209" s="45"/>
      <c r="J2209" s="45"/>
      <c r="K2209" s="45"/>
    </row>
    <row r="2210" spans="1:11">
      <c r="A2210" s="43"/>
      <c r="B2210" s="44"/>
      <c r="C2210" s="44"/>
      <c r="D2210" s="85"/>
      <c r="E2210" s="44"/>
      <c r="F2210" s="44"/>
      <c r="G2210" s="44"/>
      <c r="H2210" s="44"/>
      <c r="I2210" s="45"/>
      <c r="J2210" s="45"/>
      <c r="K2210" s="45"/>
    </row>
    <row r="2211" spans="1:11">
      <c r="A2211" s="43"/>
      <c r="B2211" s="44"/>
      <c r="C2211" s="44"/>
      <c r="D2211" s="85"/>
      <c r="E2211" s="44"/>
      <c r="F2211" s="44"/>
      <c r="G2211" s="44"/>
      <c r="H2211" s="44"/>
      <c r="I2211" s="45"/>
      <c r="J2211" s="45"/>
      <c r="K2211" s="45"/>
    </row>
    <row r="2212" spans="1:11">
      <c r="A2212" s="43"/>
      <c r="B2212" s="44"/>
      <c r="C2212" s="44"/>
      <c r="D2212" s="85"/>
      <c r="E2212" s="44"/>
      <c r="F2212" s="44"/>
      <c r="G2212" s="44"/>
      <c r="H2212" s="44"/>
      <c r="I2212" s="45"/>
      <c r="J2212" s="45"/>
      <c r="K2212" s="45"/>
    </row>
    <row r="2213" spans="1:11">
      <c r="A2213" s="43"/>
      <c r="B2213" s="44"/>
      <c r="C2213" s="44"/>
      <c r="D2213" s="85"/>
      <c r="E2213" s="44"/>
      <c r="F2213" s="44"/>
      <c r="G2213" s="44"/>
      <c r="H2213" s="44"/>
      <c r="I2213" s="45"/>
      <c r="J2213" s="45"/>
      <c r="K2213" s="45"/>
    </row>
    <row r="2214" spans="1:11">
      <c r="A2214" s="43"/>
      <c r="B2214" s="44"/>
      <c r="C2214" s="44"/>
      <c r="D2214" s="85"/>
      <c r="E2214" s="44"/>
      <c r="F2214" s="44"/>
      <c r="G2214" s="44"/>
      <c r="H2214" s="44"/>
      <c r="I2214" s="45"/>
      <c r="J2214" s="45"/>
      <c r="K2214" s="45"/>
    </row>
    <row r="2215" spans="1:11">
      <c r="A2215" s="43"/>
      <c r="B2215" s="44"/>
      <c r="C2215" s="44"/>
      <c r="D2215" s="85"/>
      <c r="E2215" s="44"/>
      <c r="F2215" s="44"/>
      <c r="G2215" s="44"/>
      <c r="H2215" s="44"/>
      <c r="I2215" s="45"/>
      <c r="J2215" s="45"/>
      <c r="K2215" s="45"/>
    </row>
    <row r="2216" spans="1:11">
      <c r="A2216" s="43"/>
      <c r="B2216" s="44"/>
      <c r="C2216" s="44"/>
      <c r="D2216" s="85"/>
      <c r="E2216" s="44"/>
      <c r="F2216" s="44"/>
      <c r="G2216" s="44"/>
      <c r="H2216" s="44"/>
      <c r="I2216" s="45"/>
      <c r="J2216" s="45"/>
      <c r="K2216" s="45"/>
    </row>
    <row r="2217" spans="1:11">
      <c r="A2217" s="43"/>
      <c r="B2217" s="44"/>
      <c r="C2217" s="44"/>
      <c r="D2217" s="85"/>
      <c r="E2217" s="44"/>
      <c r="F2217" s="44"/>
      <c r="G2217" s="44"/>
      <c r="H2217" s="44"/>
      <c r="I2217" s="45"/>
      <c r="J2217" s="45"/>
      <c r="K2217" s="45"/>
    </row>
    <row r="2218" spans="1:11">
      <c r="A2218" s="43"/>
      <c r="B2218" s="44"/>
      <c r="C2218" s="44"/>
      <c r="D2218" s="85"/>
      <c r="E2218" s="44"/>
      <c r="F2218" s="44"/>
      <c r="G2218" s="44"/>
      <c r="H2218" s="44"/>
      <c r="I2218" s="45"/>
      <c r="J2218" s="45"/>
      <c r="K2218" s="45"/>
    </row>
    <row r="2219" spans="1:11">
      <c r="A2219" s="43"/>
      <c r="B2219" s="44"/>
      <c r="C2219" s="44"/>
      <c r="D2219" s="85"/>
      <c r="E2219" s="44"/>
      <c r="F2219" s="44"/>
      <c r="G2219" s="44"/>
      <c r="H2219" s="44"/>
      <c r="I2219" s="45"/>
      <c r="J2219" s="45"/>
      <c r="K2219" s="45"/>
    </row>
    <row r="2220" spans="1:11">
      <c r="A2220" s="43"/>
      <c r="B2220" s="44"/>
      <c r="C2220" s="44"/>
      <c r="D2220" s="85"/>
      <c r="E2220" s="44"/>
      <c r="F2220" s="44"/>
      <c r="G2220" s="44"/>
      <c r="H2220" s="44"/>
      <c r="I2220" s="45"/>
      <c r="J2220" s="45"/>
      <c r="K2220" s="45"/>
    </row>
    <row r="2221" spans="1:11">
      <c r="A2221" s="43"/>
      <c r="B2221" s="44"/>
      <c r="C2221" s="44"/>
      <c r="D2221" s="85"/>
      <c r="E2221" s="44"/>
      <c r="F2221" s="44"/>
      <c r="G2221" s="44"/>
      <c r="H2221" s="44"/>
      <c r="I2221" s="45"/>
      <c r="J2221" s="45"/>
      <c r="K2221" s="45"/>
    </row>
    <row r="2222" spans="1:11">
      <c r="A2222" s="43"/>
      <c r="B2222" s="44"/>
      <c r="C2222" s="44"/>
      <c r="D2222" s="85"/>
      <c r="E2222" s="44"/>
      <c r="F2222" s="44"/>
      <c r="G2222" s="44"/>
      <c r="H2222" s="44"/>
      <c r="I2222" s="45"/>
      <c r="J2222" s="45"/>
      <c r="K2222" s="45"/>
    </row>
    <row r="2223" spans="1:11">
      <c r="A2223" s="43"/>
      <c r="B2223" s="44"/>
      <c r="C2223" s="44"/>
      <c r="D2223" s="85"/>
      <c r="E2223" s="44"/>
      <c r="F2223" s="44"/>
      <c r="G2223" s="44"/>
      <c r="H2223" s="44"/>
      <c r="I2223" s="45"/>
      <c r="J2223" s="45"/>
      <c r="K2223" s="45"/>
    </row>
    <row r="2224" spans="1:11">
      <c r="A2224" s="43"/>
      <c r="B2224" s="44"/>
      <c r="C2224" s="44"/>
      <c r="D2224" s="85"/>
      <c r="E2224" s="44"/>
      <c r="F2224" s="44"/>
      <c r="G2224" s="44"/>
      <c r="H2224" s="44"/>
      <c r="I2224" s="45"/>
      <c r="J2224" s="45"/>
      <c r="K2224" s="45"/>
    </row>
    <row r="2225" spans="1:11">
      <c r="A2225" s="43"/>
      <c r="B2225" s="44"/>
      <c r="C2225" s="44"/>
      <c r="D2225" s="85"/>
      <c r="E2225" s="44"/>
      <c r="F2225" s="44"/>
      <c r="G2225" s="44"/>
      <c r="H2225" s="44"/>
      <c r="I2225" s="45"/>
      <c r="J2225" s="45"/>
      <c r="K2225" s="45"/>
    </row>
    <row r="2226" spans="1:11">
      <c r="A2226" s="43"/>
      <c r="B2226" s="44"/>
      <c r="C2226" s="44"/>
      <c r="D2226" s="85"/>
      <c r="E2226" s="44"/>
      <c r="F2226" s="44"/>
      <c r="G2226" s="44"/>
      <c r="H2226" s="44"/>
      <c r="I2226" s="45"/>
      <c r="J2226" s="45"/>
      <c r="K2226" s="45"/>
    </row>
    <row r="2227" spans="1:11">
      <c r="A2227" s="43"/>
      <c r="B2227" s="44"/>
      <c r="C2227" s="44"/>
      <c r="D2227" s="85"/>
      <c r="E2227" s="44"/>
      <c r="F2227" s="44"/>
      <c r="G2227" s="44"/>
      <c r="H2227" s="44"/>
      <c r="I2227" s="45"/>
      <c r="J2227" s="45"/>
      <c r="K2227" s="45"/>
    </row>
    <row r="2228" spans="1:11">
      <c r="A2228" s="43"/>
      <c r="B2228" s="44"/>
      <c r="C2228" s="44"/>
      <c r="D2228" s="85"/>
      <c r="E2228" s="44"/>
      <c r="F2228" s="44"/>
      <c r="G2228" s="44"/>
      <c r="H2228" s="44"/>
      <c r="I2228" s="45"/>
      <c r="J2228" s="45"/>
      <c r="K2228" s="45"/>
    </row>
    <row r="2229" spans="1:11">
      <c r="A2229" s="43"/>
      <c r="B2229" s="44"/>
      <c r="C2229" s="44"/>
      <c r="D2229" s="85"/>
      <c r="E2229" s="44"/>
      <c r="F2229" s="44"/>
      <c r="G2229" s="44"/>
      <c r="H2229" s="44"/>
      <c r="I2229" s="45"/>
      <c r="J2229" s="45"/>
      <c r="K2229" s="45"/>
    </row>
    <row r="2230" spans="1:11">
      <c r="A2230" s="43"/>
      <c r="B2230" s="44"/>
      <c r="C2230" s="44"/>
      <c r="D2230" s="85"/>
      <c r="E2230" s="44"/>
      <c r="F2230" s="44"/>
      <c r="G2230" s="44"/>
      <c r="H2230" s="44"/>
      <c r="I2230" s="45"/>
      <c r="J2230" s="45"/>
      <c r="K2230" s="45"/>
    </row>
    <row r="2231" spans="1:11">
      <c r="A2231" s="43"/>
      <c r="B2231" s="44"/>
      <c r="C2231" s="44"/>
      <c r="D2231" s="85"/>
      <c r="E2231" s="44"/>
      <c r="F2231" s="44"/>
      <c r="G2231" s="44"/>
      <c r="H2231" s="44"/>
      <c r="I2231" s="45"/>
      <c r="J2231" s="45"/>
      <c r="K2231" s="45"/>
    </row>
    <row r="2232" spans="1:11">
      <c r="A2232" s="43"/>
      <c r="B2232" s="44"/>
      <c r="C2232" s="44"/>
      <c r="D2232" s="85"/>
      <c r="E2232" s="44"/>
      <c r="F2232" s="44"/>
      <c r="G2232" s="44"/>
      <c r="H2232" s="44"/>
      <c r="I2232" s="45"/>
      <c r="J2232" s="45"/>
      <c r="K2232" s="45"/>
    </row>
    <row r="2233" spans="1:11">
      <c r="A2233" s="43"/>
      <c r="B2233" s="44"/>
      <c r="C2233" s="44"/>
      <c r="D2233" s="85"/>
      <c r="E2233" s="44"/>
      <c r="F2233" s="44"/>
      <c r="G2233" s="44"/>
      <c r="H2233" s="44"/>
      <c r="I2233" s="45"/>
      <c r="J2233" s="45"/>
      <c r="K2233" s="45"/>
    </row>
    <row r="2234" spans="1:11">
      <c r="A2234" s="43"/>
      <c r="B2234" s="44"/>
      <c r="C2234" s="44"/>
      <c r="D2234" s="85"/>
      <c r="E2234" s="44"/>
      <c r="F2234" s="44"/>
      <c r="G2234" s="44"/>
      <c r="H2234" s="44"/>
      <c r="I2234" s="45"/>
      <c r="J2234" s="45"/>
      <c r="K2234" s="45"/>
    </row>
    <row r="2235" spans="1:11">
      <c r="A2235" s="43"/>
      <c r="B2235" s="44"/>
      <c r="C2235" s="44"/>
      <c r="D2235" s="85"/>
      <c r="E2235" s="44"/>
      <c r="F2235" s="44"/>
      <c r="G2235" s="44"/>
      <c r="H2235" s="44"/>
      <c r="I2235" s="45"/>
      <c r="J2235" s="45"/>
      <c r="K2235" s="45"/>
    </row>
    <row r="2236" spans="1:11">
      <c r="A2236" s="43"/>
      <c r="B2236" s="44"/>
      <c r="C2236" s="44"/>
      <c r="D2236" s="85"/>
      <c r="E2236" s="44"/>
      <c r="F2236" s="44"/>
      <c r="G2236" s="44"/>
      <c r="H2236" s="44"/>
      <c r="I2236" s="45"/>
      <c r="J2236" s="45"/>
      <c r="K2236" s="45"/>
    </row>
    <row r="2237" spans="1:11">
      <c r="A2237" s="43"/>
      <c r="B2237" s="44"/>
      <c r="C2237" s="44"/>
      <c r="D2237" s="85"/>
      <c r="E2237" s="44"/>
      <c r="F2237" s="44"/>
      <c r="G2237" s="44"/>
      <c r="H2237" s="44"/>
      <c r="I2237" s="45"/>
      <c r="J2237" s="45"/>
      <c r="K2237" s="45"/>
    </row>
    <row r="2238" spans="1:11">
      <c r="A2238" s="43"/>
      <c r="B2238" s="44"/>
      <c r="C2238" s="44"/>
      <c r="D2238" s="85"/>
      <c r="E2238" s="44"/>
      <c r="F2238" s="44"/>
      <c r="G2238" s="44"/>
      <c r="H2238" s="44"/>
      <c r="I2238" s="45"/>
      <c r="J2238" s="45"/>
      <c r="K2238" s="45"/>
    </row>
    <row r="2239" spans="1:11">
      <c r="A2239" s="43"/>
      <c r="B2239" s="44"/>
      <c r="C2239" s="44"/>
      <c r="D2239" s="85"/>
      <c r="E2239" s="44"/>
      <c r="F2239" s="44"/>
      <c r="G2239" s="44"/>
      <c r="H2239" s="44"/>
      <c r="I2239" s="45"/>
      <c r="J2239" s="45"/>
      <c r="K2239" s="45"/>
    </row>
    <row r="2240" spans="1:11">
      <c r="A2240" s="43"/>
      <c r="B2240" s="44"/>
      <c r="C2240" s="44"/>
      <c r="D2240" s="85"/>
      <c r="E2240" s="44"/>
      <c r="F2240" s="44"/>
      <c r="G2240" s="44"/>
      <c r="H2240" s="44"/>
      <c r="I2240" s="45"/>
      <c r="J2240" s="45"/>
      <c r="K2240" s="45"/>
    </row>
    <row r="2241" spans="1:11">
      <c r="A2241" s="43"/>
      <c r="B2241" s="44"/>
      <c r="C2241" s="44"/>
      <c r="D2241" s="85"/>
      <c r="E2241" s="44"/>
      <c r="F2241" s="44"/>
      <c r="G2241" s="44"/>
      <c r="H2241" s="44"/>
      <c r="I2241" s="45"/>
      <c r="J2241" s="45"/>
      <c r="K2241" s="45"/>
    </row>
    <row r="2242" spans="1:11">
      <c r="A2242" s="43"/>
      <c r="B2242" s="44"/>
      <c r="C2242" s="44"/>
      <c r="D2242" s="85"/>
      <c r="E2242" s="44"/>
      <c r="F2242" s="44"/>
      <c r="G2242" s="44"/>
      <c r="H2242" s="44"/>
      <c r="I2242" s="45"/>
      <c r="J2242" s="45"/>
      <c r="K2242" s="45"/>
    </row>
    <row r="2243" spans="1:11">
      <c r="A2243" s="43"/>
      <c r="B2243" s="44"/>
      <c r="C2243" s="44"/>
      <c r="D2243" s="85"/>
      <c r="E2243" s="44"/>
      <c r="F2243" s="44"/>
      <c r="G2243" s="44"/>
      <c r="H2243" s="44"/>
      <c r="I2243" s="45"/>
      <c r="J2243" s="45"/>
      <c r="K2243" s="45"/>
    </row>
    <row r="2244" spans="1:11">
      <c r="A2244" s="43"/>
      <c r="B2244" s="44"/>
      <c r="C2244" s="44"/>
      <c r="D2244" s="85"/>
      <c r="E2244" s="44"/>
      <c r="F2244" s="44"/>
      <c r="G2244" s="44"/>
      <c r="H2244" s="44"/>
      <c r="I2244" s="45"/>
      <c r="J2244" s="45"/>
      <c r="K2244" s="45"/>
    </row>
    <row r="2245" spans="1:11">
      <c r="A2245" s="43"/>
      <c r="B2245" s="44"/>
      <c r="C2245" s="44"/>
      <c r="D2245" s="85"/>
      <c r="E2245" s="44"/>
      <c r="F2245" s="44"/>
      <c r="G2245" s="44"/>
      <c r="H2245" s="44"/>
      <c r="I2245" s="45"/>
      <c r="J2245" s="45"/>
      <c r="K2245" s="45"/>
    </row>
    <row r="2246" spans="1:11">
      <c r="A2246" s="43"/>
      <c r="B2246" s="44"/>
      <c r="C2246" s="44"/>
      <c r="D2246" s="85"/>
      <c r="E2246" s="44"/>
      <c r="F2246" s="44"/>
      <c r="G2246" s="44"/>
      <c r="H2246" s="44"/>
      <c r="I2246" s="45"/>
      <c r="J2246" s="45"/>
      <c r="K2246" s="45"/>
    </row>
    <row r="2247" spans="1:11">
      <c r="A2247" s="43"/>
      <c r="B2247" s="44"/>
      <c r="C2247" s="44"/>
      <c r="D2247" s="85"/>
      <c r="E2247" s="44"/>
      <c r="F2247" s="44"/>
      <c r="G2247" s="44"/>
      <c r="H2247" s="44"/>
      <c r="I2247" s="45"/>
      <c r="J2247" s="45"/>
      <c r="K2247" s="45"/>
    </row>
    <row r="2248" spans="1:11">
      <c r="A2248" s="43"/>
      <c r="B2248" s="44"/>
      <c r="C2248" s="44"/>
      <c r="D2248" s="85"/>
      <c r="E2248" s="44"/>
      <c r="F2248" s="44"/>
      <c r="G2248" s="44"/>
      <c r="H2248" s="44"/>
      <c r="I2248" s="45"/>
      <c r="J2248" s="45"/>
      <c r="K2248" s="45"/>
    </row>
    <row r="2249" spans="1:11">
      <c r="A2249" s="43"/>
      <c r="B2249" s="44"/>
      <c r="C2249" s="44"/>
      <c r="D2249" s="85"/>
      <c r="E2249" s="44"/>
      <c r="F2249" s="44"/>
      <c r="G2249" s="44"/>
      <c r="H2249" s="44"/>
      <c r="I2249" s="45"/>
      <c r="J2249" s="45"/>
      <c r="K2249" s="45"/>
    </row>
    <row r="2250" spans="1:11">
      <c r="A2250" s="43"/>
      <c r="B2250" s="44"/>
      <c r="C2250" s="44"/>
      <c r="D2250" s="85"/>
      <c r="E2250" s="44"/>
      <c r="F2250" s="44"/>
      <c r="G2250" s="44"/>
      <c r="H2250" s="44"/>
      <c r="I2250" s="45"/>
      <c r="J2250" s="45"/>
      <c r="K2250" s="45"/>
    </row>
    <row r="2251" spans="1:11">
      <c r="A2251" s="43"/>
      <c r="B2251" s="44"/>
      <c r="C2251" s="44"/>
      <c r="D2251" s="85"/>
      <c r="E2251" s="44"/>
      <c r="F2251" s="44"/>
      <c r="G2251" s="44"/>
      <c r="H2251" s="44"/>
      <c r="I2251" s="45"/>
      <c r="J2251" s="45"/>
      <c r="K2251" s="45"/>
    </row>
    <row r="2252" spans="1:11">
      <c r="A2252" s="43"/>
      <c r="B2252" s="44"/>
      <c r="C2252" s="44"/>
      <c r="D2252" s="85"/>
      <c r="E2252" s="44"/>
      <c r="F2252" s="44"/>
      <c r="G2252" s="44"/>
      <c r="H2252" s="44"/>
      <c r="I2252" s="45"/>
      <c r="J2252" s="45"/>
      <c r="K2252" s="45"/>
    </row>
    <row r="2253" spans="1:11">
      <c r="A2253" s="43"/>
      <c r="B2253" s="44"/>
      <c r="C2253" s="44"/>
      <c r="D2253" s="85"/>
      <c r="E2253" s="44"/>
      <c r="F2253" s="44"/>
      <c r="G2253" s="44"/>
      <c r="H2253" s="44"/>
      <c r="I2253" s="45"/>
      <c r="J2253" s="45"/>
      <c r="K2253" s="45"/>
    </row>
    <row r="2254" spans="1:11">
      <c r="A2254" s="43"/>
      <c r="B2254" s="44"/>
      <c r="C2254" s="44"/>
      <c r="D2254" s="85"/>
      <c r="E2254" s="44"/>
      <c r="F2254" s="44"/>
      <c r="G2254" s="44"/>
      <c r="H2254" s="44"/>
      <c r="I2254" s="45"/>
      <c r="J2254" s="45"/>
      <c r="K2254" s="45"/>
    </row>
    <row r="2255" spans="1:11">
      <c r="A2255" s="43"/>
      <c r="B2255" s="44"/>
      <c r="C2255" s="44"/>
      <c r="D2255" s="85"/>
      <c r="E2255" s="44"/>
      <c r="F2255" s="44"/>
      <c r="G2255" s="44"/>
      <c r="H2255" s="44"/>
      <c r="I2255" s="45"/>
      <c r="J2255" s="45"/>
      <c r="K2255" s="45"/>
    </row>
    <row r="2256" spans="1:11">
      <c r="A2256" s="43"/>
      <c r="B2256" s="44"/>
      <c r="C2256" s="44"/>
      <c r="D2256" s="85"/>
      <c r="E2256" s="44"/>
      <c r="F2256" s="44"/>
      <c r="G2256" s="44"/>
      <c r="H2256" s="44"/>
      <c r="I2256" s="45"/>
      <c r="J2256" s="45"/>
      <c r="K2256" s="45"/>
    </row>
    <row r="2257" spans="1:11">
      <c r="A2257" s="43"/>
      <c r="B2257" s="44"/>
      <c r="C2257" s="44"/>
      <c r="D2257" s="85"/>
      <c r="E2257" s="44"/>
      <c r="F2257" s="44"/>
      <c r="G2257" s="44"/>
      <c r="H2257" s="44"/>
      <c r="I2257" s="45"/>
      <c r="J2257" s="45"/>
      <c r="K2257" s="45"/>
    </row>
    <row r="2258" spans="1:11">
      <c r="A2258" s="43"/>
      <c r="B2258" s="44"/>
      <c r="C2258" s="44"/>
      <c r="D2258" s="85"/>
      <c r="E2258" s="44"/>
      <c r="F2258" s="44"/>
      <c r="G2258" s="44"/>
      <c r="H2258" s="44"/>
      <c r="I2258" s="45"/>
      <c r="J2258" s="45"/>
      <c r="K2258" s="45"/>
    </row>
    <row r="2259" spans="1:11">
      <c r="A2259" s="43"/>
      <c r="B2259" s="44"/>
      <c r="C2259" s="44"/>
      <c r="D2259" s="85"/>
      <c r="E2259" s="44"/>
      <c r="F2259" s="44"/>
      <c r="G2259" s="44"/>
      <c r="H2259" s="44"/>
      <c r="I2259" s="45"/>
      <c r="J2259" s="45"/>
      <c r="K2259" s="45"/>
    </row>
    <row r="2260" spans="1:11">
      <c r="A2260" s="43"/>
      <c r="B2260" s="44"/>
      <c r="C2260" s="44"/>
      <c r="D2260" s="85"/>
      <c r="E2260" s="44"/>
      <c r="F2260" s="44"/>
      <c r="G2260" s="44"/>
      <c r="H2260" s="44"/>
      <c r="I2260" s="45"/>
      <c r="J2260" s="45"/>
      <c r="K2260" s="45"/>
    </row>
    <row r="2261" spans="1:11">
      <c r="A2261" s="43"/>
      <c r="B2261" s="44"/>
      <c r="C2261" s="44"/>
      <c r="D2261" s="85"/>
      <c r="E2261" s="44"/>
      <c r="F2261" s="44"/>
      <c r="G2261" s="44"/>
      <c r="H2261" s="44"/>
      <c r="I2261" s="45"/>
      <c r="J2261" s="45"/>
      <c r="K2261" s="45"/>
    </row>
    <row r="2262" spans="1:11">
      <c r="A2262" s="43"/>
      <c r="B2262" s="44"/>
      <c r="C2262" s="44"/>
      <c r="D2262" s="85"/>
      <c r="E2262" s="44"/>
      <c r="F2262" s="44"/>
      <c r="G2262" s="44"/>
      <c r="H2262" s="44"/>
      <c r="I2262" s="45"/>
      <c r="J2262" s="45"/>
      <c r="K2262" s="45"/>
    </row>
    <row r="2263" spans="1:11">
      <c r="A2263" s="43"/>
      <c r="B2263" s="44"/>
      <c r="C2263" s="44"/>
      <c r="D2263" s="85"/>
      <c r="E2263" s="44"/>
      <c r="F2263" s="44"/>
      <c r="G2263" s="44"/>
      <c r="H2263" s="44"/>
      <c r="I2263" s="45"/>
      <c r="J2263" s="45"/>
      <c r="K2263" s="45"/>
    </row>
    <row r="2264" spans="1:11">
      <c r="A2264" s="43"/>
      <c r="B2264" s="44"/>
      <c r="C2264" s="44"/>
      <c r="D2264" s="85"/>
      <c r="E2264" s="44"/>
      <c r="F2264" s="44"/>
      <c r="G2264" s="44"/>
      <c r="H2264" s="44"/>
      <c r="I2264" s="45"/>
      <c r="J2264" s="45"/>
      <c r="K2264" s="45"/>
    </row>
    <row r="2265" spans="1:11">
      <c r="A2265" s="43"/>
      <c r="B2265" s="44"/>
      <c r="C2265" s="44"/>
      <c r="D2265" s="85"/>
      <c r="E2265" s="44"/>
      <c r="F2265" s="44"/>
      <c r="G2265" s="44"/>
      <c r="H2265" s="44"/>
      <c r="I2265" s="45"/>
      <c r="J2265" s="45"/>
      <c r="K2265" s="45"/>
    </row>
    <row r="2266" spans="1:11">
      <c r="A2266" s="43"/>
      <c r="B2266" s="44"/>
      <c r="C2266" s="44"/>
      <c r="D2266" s="85"/>
      <c r="E2266" s="44"/>
      <c r="F2266" s="44"/>
      <c r="G2266" s="44"/>
      <c r="H2266" s="44"/>
      <c r="I2266" s="45"/>
      <c r="J2266" s="45"/>
      <c r="K2266" s="45"/>
    </row>
    <row r="2267" spans="1:11">
      <c r="A2267" s="43"/>
      <c r="B2267" s="44"/>
      <c r="C2267" s="44"/>
      <c r="D2267" s="85"/>
      <c r="E2267" s="44"/>
      <c r="F2267" s="44"/>
      <c r="G2267" s="44"/>
      <c r="H2267" s="44"/>
      <c r="I2267" s="45"/>
      <c r="J2267" s="45"/>
      <c r="K2267" s="45"/>
    </row>
    <row r="2268" spans="1:11">
      <c r="A2268" s="43"/>
      <c r="B2268" s="44"/>
      <c r="C2268" s="44"/>
      <c r="D2268" s="85"/>
      <c r="E2268" s="44"/>
      <c r="F2268" s="44"/>
      <c r="G2268" s="44"/>
      <c r="H2268" s="44"/>
      <c r="I2268" s="45"/>
      <c r="J2268" s="45"/>
      <c r="K2268" s="45"/>
    </row>
    <row r="2269" spans="1:11">
      <c r="A2269" s="43"/>
      <c r="B2269" s="44"/>
      <c r="C2269" s="44"/>
      <c r="D2269" s="85"/>
      <c r="E2269" s="44"/>
      <c r="F2269" s="44"/>
      <c r="G2269" s="44"/>
      <c r="H2269" s="44"/>
      <c r="I2269" s="45"/>
      <c r="J2269" s="45"/>
      <c r="K2269" s="45"/>
    </row>
    <row r="2270" spans="1:11">
      <c r="A2270" s="43"/>
      <c r="B2270" s="44"/>
      <c r="C2270" s="44"/>
      <c r="D2270" s="85"/>
      <c r="E2270" s="44"/>
      <c r="F2270" s="44"/>
      <c r="G2270" s="44"/>
      <c r="H2270" s="44"/>
      <c r="I2270" s="45"/>
      <c r="J2270" s="45"/>
      <c r="K2270" s="45"/>
    </row>
    <row r="2271" spans="1:11">
      <c r="A2271" s="43"/>
      <c r="B2271" s="44"/>
      <c r="C2271" s="44"/>
      <c r="D2271" s="85"/>
      <c r="E2271" s="44"/>
      <c r="F2271" s="44"/>
      <c r="G2271" s="44"/>
      <c r="H2271" s="44"/>
      <c r="I2271" s="45"/>
      <c r="J2271" s="45"/>
      <c r="K2271" s="45"/>
    </row>
    <row r="2272" spans="1:11">
      <c r="A2272" s="43"/>
      <c r="B2272" s="44"/>
      <c r="C2272" s="44"/>
      <c r="D2272" s="85"/>
      <c r="E2272" s="44"/>
      <c r="F2272" s="44"/>
      <c r="G2272" s="44"/>
      <c r="H2272" s="44"/>
      <c r="I2272" s="45"/>
      <c r="J2272" s="45"/>
      <c r="K2272" s="45"/>
    </row>
    <row r="2273" spans="1:11">
      <c r="A2273" s="43"/>
      <c r="B2273" s="44"/>
      <c r="C2273" s="44"/>
      <c r="D2273" s="85"/>
      <c r="E2273" s="44"/>
      <c r="F2273" s="44"/>
      <c r="G2273" s="44"/>
      <c r="H2273" s="44"/>
      <c r="I2273" s="45"/>
      <c r="J2273" s="45"/>
      <c r="K2273" s="45"/>
    </row>
    <row r="2274" spans="1:11">
      <c r="A2274" s="43"/>
      <c r="B2274" s="44"/>
      <c r="C2274" s="44"/>
      <c r="D2274" s="85"/>
      <c r="E2274" s="44"/>
      <c r="F2274" s="44"/>
      <c r="G2274" s="44"/>
      <c r="H2274" s="44"/>
      <c r="I2274" s="45"/>
      <c r="J2274" s="45"/>
      <c r="K2274" s="45"/>
    </row>
    <row r="2275" spans="1:11">
      <c r="A2275" s="43"/>
      <c r="B2275" s="44"/>
      <c r="C2275" s="44"/>
      <c r="D2275" s="85"/>
      <c r="E2275" s="44"/>
      <c r="F2275" s="44"/>
      <c r="G2275" s="44"/>
      <c r="H2275" s="44"/>
      <c r="I2275" s="45"/>
      <c r="J2275" s="45"/>
      <c r="K2275" s="45"/>
    </row>
    <row r="2276" spans="1:11">
      <c r="A2276" s="43"/>
      <c r="B2276" s="44"/>
      <c r="C2276" s="44"/>
      <c r="D2276" s="85"/>
      <c r="E2276" s="44"/>
      <c r="F2276" s="44"/>
      <c r="G2276" s="44"/>
      <c r="H2276" s="44"/>
      <c r="I2276" s="45"/>
      <c r="J2276" s="45"/>
      <c r="K2276" s="45"/>
    </row>
    <row r="2277" spans="1:11">
      <c r="A2277" s="43"/>
      <c r="B2277" s="44"/>
      <c r="C2277" s="44"/>
      <c r="D2277" s="85"/>
      <c r="E2277" s="44"/>
      <c r="F2277" s="44"/>
      <c r="G2277" s="44"/>
      <c r="H2277" s="44"/>
      <c r="I2277" s="45"/>
      <c r="J2277" s="45"/>
      <c r="K2277" s="45"/>
    </row>
    <row r="2278" spans="1:11">
      <c r="A2278" s="43"/>
      <c r="B2278" s="44"/>
      <c r="C2278" s="44"/>
      <c r="D2278" s="85"/>
      <c r="E2278" s="44"/>
      <c r="F2278" s="44"/>
      <c r="G2278" s="44"/>
      <c r="H2278" s="44"/>
      <c r="I2278" s="45"/>
      <c r="J2278" s="45"/>
      <c r="K2278" s="45"/>
    </row>
    <row r="2279" spans="1:11">
      <c r="A2279" s="43"/>
      <c r="B2279" s="44"/>
      <c r="C2279" s="44"/>
      <c r="D2279" s="85"/>
      <c r="E2279" s="44"/>
      <c r="F2279" s="44"/>
      <c r="G2279" s="44"/>
      <c r="H2279" s="44"/>
      <c r="I2279" s="45"/>
      <c r="J2279" s="45"/>
      <c r="K2279" s="45"/>
    </row>
    <row r="2280" spans="1:11">
      <c r="A2280" s="43"/>
      <c r="B2280" s="44"/>
      <c r="C2280" s="44"/>
      <c r="D2280" s="85"/>
      <c r="E2280" s="44"/>
      <c r="F2280" s="44"/>
      <c r="G2280" s="44"/>
      <c r="H2280" s="44"/>
      <c r="I2280" s="45"/>
      <c r="J2280" s="45"/>
      <c r="K2280" s="45"/>
    </row>
    <row r="2281" spans="1:11">
      <c r="A2281" s="43"/>
      <c r="B2281" s="44"/>
      <c r="C2281" s="44"/>
      <c r="D2281" s="85"/>
      <c r="E2281" s="44"/>
      <c r="F2281" s="44"/>
      <c r="G2281" s="44"/>
      <c r="H2281" s="44"/>
      <c r="I2281" s="45"/>
      <c r="J2281" s="45"/>
      <c r="K2281" s="45"/>
    </row>
    <row r="2282" spans="1:11">
      <c r="A2282" s="43"/>
      <c r="B2282" s="44"/>
      <c r="C2282" s="44"/>
      <c r="D2282" s="85"/>
      <c r="E2282" s="44"/>
      <c r="F2282" s="44"/>
      <c r="G2282" s="44"/>
      <c r="H2282" s="44"/>
      <c r="I2282" s="45"/>
      <c r="J2282" s="45"/>
      <c r="K2282" s="45"/>
    </row>
    <row r="2283" spans="1:11">
      <c r="A2283" s="43"/>
      <c r="B2283" s="44"/>
      <c r="C2283" s="44"/>
      <c r="D2283" s="85"/>
      <c r="E2283" s="44"/>
      <c r="F2283" s="44"/>
      <c r="G2283" s="44"/>
      <c r="H2283" s="44"/>
      <c r="I2283" s="45"/>
      <c r="J2283" s="45"/>
      <c r="K2283" s="45"/>
    </row>
    <row r="2284" spans="1:11">
      <c r="A2284" s="43"/>
      <c r="B2284" s="44"/>
      <c r="C2284" s="44"/>
      <c r="D2284" s="85"/>
      <c r="E2284" s="44"/>
      <c r="F2284" s="44"/>
      <c r="G2284" s="44"/>
      <c r="H2284" s="44"/>
      <c r="I2284" s="45"/>
      <c r="J2284" s="45"/>
      <c r="K2284" s="45"/>
    </row>
    <row r="2285" spans="1:11">
      <c r="A2285" s="43"/>
      <c r="B2285" s="44"/>
      <c r="C2285" s="44"/>
      <c r="D2285" s="85"/>
      <c r="E2285" s="44"/>
      <c r="F2285" s="44"/>
      <c r="G2285" s="44"/>
      <c r="H2285" s="44"/>
      <c r="I2285" s="45"/>
      <c r="J2285" s="45"/>
      <c r="K2285" s="45"/>
    </row>
    <row r="2286" spans="1:11">
      <c r="A2286" s="43"/>
      <c r="B2286" s="44"/>
      <c r="C2286" s="44"/>
      <c r="D2286" s="85"/>
      <c r="E2286" s="44"/>
      <c r="F2286" s="44"/>
      <c r="G2286" s="44"/>
      <c r="H2286" s="44"/>
      <c r="I2286" s="45"/>
      <c r="J2286" s="45"/>
      <c r="K2286" s="45"/>
    </row>
    <row r="2287" spans="1:11">
      <c r="A2287" s="43"/>
      <c r="B2287" s="44"/>
      <c r="C2287" s="44"/>
      <c r="D2287" s="85"/>
      <c r="E2287" s="44"/>
      <c r="F2287" s="44"/>
      <c r="G2287" s="44"/>
      <c r="H2287" s="44"/>
      <c r="I2287" s="45"/>
      <c r="J2287" s="45"/>
      <c r="K2287" s="45"/>
    </row>
    <row r="2288" spans="1:11">
      <c r="A2288" s="43"/>
      <c r="B2288" s="44"/>
      <c r="C2288" s="44"/>
      <c r="D2288" s="85"/>
      <c r="E2288" s="44"/>
      <c r="F2288" s="44"/>
      <c r="G2288" s="44"/>
      <c r="H2288" s="44"/>
      <c r="I2288" s="45"/>
      <c r="J2288" s="45"/>
      <c r="K2288" s="45"/>
    </row>
    <row r="2289" spans="1:11">
      <c r="A2289" s="43"/>
      <c r="B2289" s="44"/>
      <c r="C2289" s="44"/>
      <c r="D2289" s="85"/>
      <c r="E2289" s="44"/>
      <c r="F2289" s="44"/>
      <c r="G2289" s="44"/>
      <c r="H2289" s="44"/>
      <c r="I2289" s="45"/>
      <c r="J2289" s="45"/>
      <c r="K2289" s="45"/>
    </row>
    <row r="2290" spans="1:11">
      <c r="A2290" s="43"/>
      <c r="B2290" s="44"/>
      <c r="C2290" s="44"/>
      <c r="D2290" s="85"/>
      <c r="E2290" s="44"/>
      <c r="F2290" s="44"/>
      <c r="G2290" s="44"/>
      <c r="H2290" s="44"/>
      <c r="I2290" s="45"/>
      <c r="J2290" s="45"/>
      <c r="K2290" s="45"/>
    </row>
    <row r="2291" spans="1:11">
      <c r="A2291" s="43"/>
      <c r="B2291" s="44"/>
      <c r="C2291" s="44"/>
      <c r="D2291" s="85"/>
      <c r="E2291" s="44"/>
      <c r="F2291" s="44"/>
      <c r="G2291" s="44"/>
      <c r="H2291" s="44"/>
      <c r="I2291" s="45"/>
      <c r="J2291" s="45"/>
      <c r="K2291" s="45"/>
    </row>
    <row r="2292" spans="1:11">
      <c r="A2292" s="43"/>
      <c r="B2292" s="44"/>
      <c r="C2292" s="44"/>
      <c r="D2292" s="85"/>
      <c r="E2292" s="44"/>
      <c r="F2292" s="44"/>
      <c r="G2292" s="44"/>
      <c r="H2292" s="44"/>
      <c r="I2292" s="45"/>
      <c r="J2292" s="45"/>
      <c r="K2292" s="45"/>
    </row>
    <row r="2293" spans="1:11">
      <c r="A2293" s="43"/>
      <c r="B2293" s="44"/>
      <c r="C2293" s="44"/>
      <c r="D2293" s="85"/>
      <c r="E2293" s="44"/>
      <c r="F2293" s="44"/>
      <c r="G2293" s="44"/>
      <c r="H2293" s="44"/>
      <c r="I2293" s="45"/>
      <c r="J2293" s="45"/>
      <c r="K2293" s="45"/>
    </row>
    <row r="2294" spans="1:11">
      <c r="A2294" s="43"/>
      <c r="B2294" s="44"/>
      <c r="C2294" s="44"/>
      <c r="D2294" s="85"/>
      <c r="E2294" s="44"/>
      <c r="F2294" s="44"/>
      <c r="G2294" s="44"/>
      <c r="H2294" s="44"/>
      <c r="I2294" s="45"/>
      <c r="J2294" s="45"/>
      <c r="K2294" s="45"/>
    </row>
    <row r="2295" spans="1:11">
      <c r="A2295" s="43"/>
      <c r="B2295" s="44"/>
      <c r="C2295" s="44"/>
      <c r="D2295" s="85"/>
      <c r="E2295" s="44"/>
      <c r="F2295" s="44"/>
      <c r="G2295" s="44"/>
      <c r="H2295" s="44"/>
      <c r="I2295" s="45"/>
      <c r="J2295" s="45"/>
      <c r="K2295" s="45"/>
    </row>
    <row r="2296" spans="1:11">
      <c r="A2296" s="43"/>
      <c r="B2296" s="44"/>
      <c r="C2296" s="44"/>
      <c r="D2296" s="85"/>
      <c r="E2296" s="44"/>
      <c r="F2296" s="44"/>
      <c r="G2296" s="44"/>
      <c r="H2296" s="44"/>
      <c r="I2296" s="45"/>
      <c r="J2296" s="45"/>
      <c r="K2296" s="45"/>
    </row>
    <row r="2297" spans="1:11">
      <c r="A2297" s="43"/>
      <c r="B2297" s="44"/>
      <c r="C2297" s="44"/>
      <c r="D2297" s="85"/>
      <c r="E2297" s="44"/>
      <c r="F2297" s="44"/>
      <c r="G2297" s="44"/>
      <c r="H2297" s="44"/>
      <c r="I2297" s="45"/>
      <c r="J2297" s="45"/>
      <c r="K2297" s="45"/>
    </row>
    <row r="2298" spans="1:11">
      <c r="A2298" s="43"/>
      <c r="B2298" s="44"/>
      <c r="C2298" s="44"/>
      <c r="D2298" s="85"/>
      <c r="E2298" s="44"/>
      <c r="F2298" s="44"/>
      <c r="G2298" s="44"/>
      <c r="H2298" s="44"/>
      <c r="I2298" s="45"/>
      <c r="J2298" s="45"/>
      <c r="K2298" s="45"/>
    </row>
    <row r="2299" spans="1:11">
      <c r="A2299" s="43"/>
      <c r="B2299" s="44"/>
      <c r="C2299" s="44"/>
      <c r="D2299" s="85"/>
      <c r="E2299" s="44"/>
      <c r="F2299" s="44"/>
      <c r="G2299" s="44"/>
      <c r="H2299" s="44"/>
      <c r="I2299" s="45"/>
      <c r="J2299" s="45"/>
      <c r="K2299" s="45"/>
    </row>
    <row r="2300" spans="1:11">
      <c r="A2300" s="43"/>
      <c r="B2300" s="44"/>
      <c r="C2300" s="44"/>
      <c r="D2300" s="85"/>
      <c r="E2300" s="44"/>
      <c r="F2300" s="44"/>
      <c r="G2300" s="44"/>
      <c r="H2300" s="44"/>
      <c r="I2300" s="45"/>
      <c r="J2300" s="45"/>
      <c r="K2300" s="45"/>
    </row>
    <row r="2301" spans="1:11">
      <c r="A2301" s="43"/>
      <c r="B2301" s="44"/>
      <c r="C2301" s="44"/>
      <c r="D2301" s="85"/>
      <c r="E2301" s="44"/>
      <c r="F2301" s="44"/>
      <c r="G2301" s="44"/>
      <c r="H2301" s="44"/>
      <c r="I2301" s="45"/>
      <c r="J2301" s="45"/>
      <c r="K2301" s="45"/>
    </row>
    <row r="2302" spans="1:11">
      <c r="A2302" s="43"/>
      <c r="B2302" s="44"/>
      <c r="C2302" s="44"/>
      <c r="D2302" s="85"/>
      <c r="E2302" s="44"/>
      <c r="F2302" s="44"/>
      <c r="G2302" s="44"/>
      <c r="H2302" s="44"/>
      <c r="I2302" s="45"/>
      <c r="J2302" s="45"/>
      <c r="K2302" s="45"/>
    </row>
    <row r="2303" spans="1:11">
      <c r="A2303" s="43"/>
      <c r="B2303" s="44"/>
      <c r="C2303" s="44"/>
      <c r="D2303" s="85"/>
      <c r="E2303" s="44"/>
      <c r="F2303" s="44"/>
      <c r="G2303" s="44"/>
      <c r="H2303" s="44"/>
      <c r="I2303" s="45"/>
      <c r="J2303" s="45"/>
      <c r="K2303" s="45"/>
    </row>
    <row r="2304" spans="1:11">
      <c r="A2304" s="43"/>
      <c r="B2304" s="44"/>
      <c r="C2304" s="44"/>
      <c r="D2304" s="85"/>
      <c r="E2304" s="44"/>
      <c r="F2304" s="44"/>
      <c r="G2304" s="44"/>
      <c r="H2304" s="44"/>
      <c r="I2304" s="45"/>
      <c r="J2304" s="45"/>
      <c r="K2304" s="45"/>
    </row>
    <row r="2305" spans="1:11">
      <c r="A2305" s="43"/>
      <c r="B2305" s="44"/>
      <c r="C2305" s="44"/>
      <c r="D2305" s="85"/>
      <c r="E2305" s="44"/>
      <c r="F2305" s="44"/>
      <c r="G2305" s="44"/>
      <c r="H2305" s="44"/>
      <c r="I2305" s="45"/>
      <c r="J2305" s="45"/>
      <c r="K2305" s="45"/>
    </row>
    <row r="2306" spans="1:11">
      <c r="A2306" s="43"/>
      <c r="B2306" s="44"/>
      <c r="C2306" s="44"/>
      <c r="D2306" s="85"/>
      <c r="E2306" s="44"/>
      <c r="F2306" s="44"/>
      <c r="G2306" s="44"/>
      <c r="H2306" s="44"/>
      <c r="I2306" s="45"/>
      <c r="J2306" s="45"/>
      <c r="K2306" s="45"/>
    </row>
    <row r="2307" spans="1:11">
      <c r="A2307" s="43"/>
      <c r="B2307" s="44"/>
      <c r="C2307" s="44"/>
      <c r="D2307" s="85"/>
      <c r="E2307" s="44"/>
      <c r="F2307" s="44"/>
      <c r="G2307" s="44"/>
      <c r="H2307" s="44"/>
      <c r="I2307" s="45"/>
      <c r="J2307" s="45"/>
      <c r="K2307" s="45"/>
    </row>
    <row r="2308" spans="1:11">
      <c r="A2308" s="43"/>
      <c r="B2308" s="44"/>
      <c r="C2308" s="44"/>
      <c r="D2308" s="85"/>
      <c r="E2308" s="44"/>
      <c r="F2308" s="44"/>
      <c r="G2308" s="44"/>
      <c r="H2308" s="44"/>
      <c r="I2308" s="45"/>
      <c r="J2308" s="45"/>
      <c r="K2308" s="45"/>
    </row>
    <row r="2309" spans="1:11">
      <c r="A2309" s="43"/>
      <c r="B2309" s="44"/>
      <c r="C2309" s="44"/>
      <c r="D2309" s="85"/>
      <c r="E2309" s="44"/>
      <c r="F2309" s="44"/>
      <c r="G2309" s="44"/>
      <c r="H2309" s="44"/>
      <c r="I2309" s="45"/>
      <c r="J2309" s="45"/>
      <c r="K2309" s="45"/>
    </row>
    <row r="2310" spans="1:11">
      <c r="A2310" s="43"/>
      <c r="B2310" s="44"/>
      <c r="C2310" s="44"/>
      <c r="D2310" s="85"/>
      <c r="E2310" s="44"/>
      <c r="F2310" s="44"/>
      <c r="G2310" s="44"/>
      <c r="H2310" s="44"/>
      <c r="I2310" s="45"/>
      <c r="J2310" s="45"/>
      <c r="K2310" s="45"/>
    </row>
    <row r="2311" spans="1:11">
      <c r="A2311" s="43"/>
      <c r="B2311" s="44"/>
      <c r="C2311" s="44"/>
      <c r="D2311" s="85"/>
      <c r="E2311" s="44"/>
      <c r="F2311" s="44"/>
      <c r="G2311" s="44"/>
      <c r="H2311" s="44"/>
      <c r="I2311" s="45"/>
      <c r="J2311" s="45"/>
      <c r="K2311" s="45"/>
    </row>
    <row r="2312" spans="1:11">
      <c r="A2312" s="43"/>
      <c r="B2312" s="44"/>
      <c r="C2312" s="44"/>
      <c r="D2312" s="85"/>
      <c r="E2312" s="44"/>
      <c r="F2312" s="44"/>
      <c r="G2312" s="44"/>
      <c r="H2312" s="44"/>
      <c r="I2312" s="45"/>
      <c r="J2312" s="45"/>
      <c r="K2312" s="45"/>
    </row>
    <row r="2313" spans="1:11">
      <c r="A2313" s="43"/>
      <c r="B2313" s="44"/>
      <c r="C2313" s="44"/>
      <c r="D2313" s="85"/>
      <c r="E2313" s="44"/>
      <c r="F2313" s="44"/>
      <c r="G2313" s="44"/>
      <c r="H2313" s="44"/>
      <c r="I2313" s="45"/>
      <c r="J2313" s="45"/>
      <c r="K2313" s="45"/>
    </row>
    <row r="2314" spans="1:11">
      <c r="A2314" s="43"/>
      <c r="B2314" s="44"/>
      <c r="C2314" s="44"/>
      <c r="D2314" s="85"/>
      <c r="E2314" s="44"/>
      <c r="F2314" s="44"/>
      <c r="G2314" s="44"/>
      <c r="H2314" s="44"/>
      <c r="I2314" s="45"/>
      <c r="J2314" s="45"/>
      <c r="K2314" s="45"/>
    </row>
    <row r="2315" spans="1:11">
      <c r="A2315" s="43"/>
      <c r="B2315" s="44"/>
      <c r="C2315" s="44"/>
      <c r="D2315" s="85"/>
      <c r="E2315" s="44"/>
      <c r="F2315" s="44"/>
      <c r="G2315" s="44"/>
      <c r="H2315" s="44"/>
      <c r="I2315" s="45"/>
      <c r="J2315" s="45"/>
      <c r="K2315" s="45"/>
    </row>
    <row r="2316" spans="1:11">
      <c r="A2316" s="43"/>
      <c r="B2316" s="44"/>
      <c r="C2316" s="44"/>
      <c r="D2316" s="85"/>
      <c r="E2316" s="44"/>
      <c r="F2316" s="44"/>
      <c r="G2316" s="44"/>
      <c r="H2316" s="44"/>
      <c r="I2316" s="45"/>
      <c r="J2316" s="45"/>
      <c r="K2316" s="45"/>
    </row>
    <row r="2317" spans="1:11">
      <c r="A2317" s="43"/>
      <c r="B2317" s="44"/>
      <c r="C2317" s="44"/>
      <c r="D2317" s="85"/>
      <c r="E2317" s="44"/>
      <c r="F2317" s="44"/>
      <c r="G2317" s="44"/>
      <c r="H2317" s="44"/>
      <c r="I2317" s="45"/>
      <c r="J2317" s="45"/>
      <c r="K2317" s="45"/>
    </row>
    <row r="2318" spans="1:11">
      <c r="A2318" s="43"/>
      <c r="B2318" s="44"/>
      <c r="C2318" s="44"/>
      <c r="D2318" s="85"/>
      <c r="E2318" s="44"/>
      <c r="F2318" s="44"/>
      <c r="G2318" s="44"/>
      <c r="H2318" s="44"/>
      <c r="I2318" s="45"/>
      <c r="J2318" s="45"/>
      <c r="K2318" s="45"/>
    </row>
    <row r="2319" spans="1:11">
      <c r="A2319" s="43"/>
      <c r="B2319" s="44"/>
      <c r="C2319" s="44"/>
      <c r="D2319" s="85"/>
      <c r="E2319" s="44"/>
      <c r="F2319" s="44"/>
      <c r="G2319" s="44"/>
      <c r="H2319" s="44"/>
      <c r="I2319" s="45"/>
      <c r="J2319" s="45"/>
      <c r="K2319" s="45"/>
    </row>
    <row r="2320" spans="1:11">
      <c r="A2320" s="43"/>
      <c r="B2320" s="44"/>
      <c r="C2320" s="44"/>
      <c r="D2320" s="85"/>
      <c r="E2320" s="44"/>
      <c r="F2320" s="44"/>
      <c r="G2320" s="44"/>
      <c r="H2320" s="44"/>
      <c r="I2320" s="45"/>
      <c r="J2320" s="45"/>
      <c r="K2320" s="45"/>
    </row>
    <row r="2321" spans="1:11">
      <c r="A2321" s="43"/>
      <c r="B2321" s="44"/>
      <c r="C2321" s="44"/>
      <c r="D2321" s="85"/>
      <c r="E2321" s="44"/>
      <c r="F2321" s="44"/>
      <c r="G2321" s="44"/>
      <c r="H2321" s="44"/>
      <c r="I2321" s="45"/>
      <c r="J2321" s="45"/>
      <c r="K2321" s="45"/>
    </row>
    <row r="2322" spans="1:11">
      <c r="A2322" s="43"/>
      <c r="B2322" s="44"/>
      <c r="C2322" s="44"/>
      <c r="D2322" s="85"/>
      <c r="E2322" s="44"/>
      <c r="F2322" s="44"/>
      <c r="G2322" s="44"/>
      <c r="H2322" s="44"/>
      <c r="I2322" s="45"/>
      <c r="J2322" s="45"/>
      <c r="K2322" s="45"/>
    </row>
    <row r="2323" spans="1:11">
      <c r="A2323" s="43"/>
      <c r="B2323" s="44"/>
      <c r="C2323" s="44"/>
      <c r="D2323" s="85"/>
      <c r="E2323" s="44"/>
      <c r="F2323" s="44"/>
      <c r="G2323" s="44"/>
      <c r="H2323" s="44"/>
      <c r="I2323" s="45"/>
      <c r="J2323" s="45"/>
      <c r="K2323" s="45"/>
    </row>
    <row r="2324" spans="1:11">
      <c r="A2324" s="43"/>
      <c r="B2324" s="44"/>
      <c r="C2324" s="44"/>
      <c r="D2324" s="85"/>
      <c r="E2324" s="44"/>
      <c r="F2324" s="44"/>
      <c r="G2324" s="44"/>
      <c r="H2324" s="44"/>
      <c r="I2324" s="45"/>
      <c r="J2324" s="45"/>
      <c r="K2324" s="45"/>
    </row>
    <row r="2325" spans="1:11">
      <c r="A2325" s="43"/>
      <c r="B2325" s="44"/>
      <c r="C2325" s="44"/>
      <c r="D2325" s="85"/>
      <c r="E2325" s="44"/>
      <c r="F2325" s="44"/>
      <c r="G2325" s="44"/>
      <c r="H2325" s="44"/>
      <c r="I2325" s="45"/>
      <c r="J2325" s="45"/>
      <c r="K2325" s="45"/>
    </row>
    <row r="2326" spans="1:11">
      <c r="A2326" s="43"/>
      <c r="B2326" s="44"/>
      <c r="C2326" s="44"/>
      <c r="D2326" s="85"/>
      <c r="E2326" s="44"/>
      <c r="F2326" s="44"/>
      <c r="G2326" s="44"/>
      <c r="H2326" s="44"/>
      <c r="I2326" s="45"/>
      <c r="J2326" s="45"/>
      <c r="K2326" s="45"/>
    </row>
    <row r="2327" spans="1:11">
      <c r="A2327" s="43"/>
      <c r="B2327" s="44"/>
      <c r="C2327" s="44"/>
      <c r="D2327" s="85"/>
      <c r="E2327" s="44"/>
      <c r="F2327" s="44"/>
      <c r="G2327" s="44"/>
      <c r="H2327" s="44"/>
      <c r="I2327" s="45"/>
      <c r="J2327" s="45"/>
      <c r="K2327" s="45"/>
    </row>
    <row r="2328" spans="1:11">
      <c r="A2328" s="43"/>
      <c r="B2328" s="44"/>
      <c r="C2328" s="44"/>
      <c r="D2328" s="85"/>
      <c r="E2328" s="44"/>
      <c r="F2328" s="44"/>
      <c r="G2328" s="44"/>
      <c r="H2328" s="44"/>
      <c r="I2328" s="45"/>
      <c r="J2328" s="45"/>
      <c r="K2328" s="45"/>
    </row>
    <row r="2329" spans="1:11">
      <c r="A2329" s="43"/>
      <c r="B2329" s="44"/>
      <c r="C2329" s="44"/>
      <c r="D2329" s="85"/>
      <c r="E2329" s="44"/>
      <c r="F2329" s="44"/>
      <c r="G2329" s="44"/>
      <c r="H2329" s="44"/>
      <c r="I2329" s="45"/>
      <c r="J2329" s="45"/>
      <c r="K2329" s="45"/>
    </row>
    <row r="2330" spans="1:11">
      <c r="A2330" s="43"/>
      <c r="B2330" s="44"/>
      <c r="C2330" s="44"/>
      <c r="D2330" s="85"/>
      <c r="E2330" s="44"/>
      <c r="F2330" s="44"/>
      <c r="G2330" s="44"/>
      <c r="H2330" s="44"/>
      <c r="I2330" s="45"/>
      <c r="J2330" s="45"/>
      <c r="K2330" s="45"/>
    </row>
    <row r="2331" spans="1:11">
      <c r="A2331" s="43"/>
      <c r="B2331" s="44"/>
      <c r="C2331" s="44"/>
      <c r="D2331" s="85"/>
      <c r="E2331" s="44"/>
      <c r="F2331" s="44"/>
      <c r="G2331" s="44"/>
      <c r="H2331" s="44"/>
      <c r="I2331" s="45"/>
      <c r="J2331" s="45"/>
      <c r="K2331" s="45"/>
    </row>
    <row r="2332" spans="1:11">
      <c r="A2332" s="43"/>
      <c r="B2332" s="44"/>
      <c r="C2332" s="44"/>
      <c r="D2332" s="85"/>
      <c r="E2332" s="44"/>
      <c r="F2332" s="44"/>
      <c r="G2332" s="44"/>
      <c r="H2332" s="44"/>
      <c r="I2332" s="45"/>
      <c r="J2332" s="45"/>
      <c r="K2332" s="45"/>
    </row>
    <row r="2333" spans="1:11">
      <c r="A2333" s="43"/>
      <c r="B2333" s="44"/>
      <c r="C2333" s="44"/>
      <c r="D2333" s="85"/>
      <c r="E2333" s="44"/>
      <c r="F2333" s="44"/>
      <c r="G2333" s="44"/>
      <c r="H2333" s="44"/>
      <c r="I2333" s="45"/>
      <c r="J2333" s="45"/>
      <c r="K2333" s="45"/>
    </row>
    <row r="2334" spans="1:11">
      <c r="A2334" s="43"/>
      <c r="B2334" s="44"/>
      <c r="C2334" s="44"/>
      <c r="D2334" s="85"/>
      <c r="E2334" s="44"/>
      <c r="F2334" s="44"/>
      <c r="G2334" s="44"/>
      <c r="H2334" s="44"/>
      <c r="I2334" s="45"/>
      <c r="J2334" s="45"/>
      <c r="K2334" s="45"/>
    </row>
  </sheetData>
  <autoFilter ref="A2:K2334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6"/>
  <sheetViews>
    <sheetView showGridLines="0" workbookViewId="0">
      <selection sqref="A1:E1"/>
    </sheetView>
  </sheetViews>
  <sheetFormatPr defaultRowHeight="12.75"/>
  <cols>
    <col min="1" max="1" width="12.7109375" style="49" customWidth="1"/>
    <col min="2" max="3" width="16.140625" style="49" customWidth="1"/>
    <col min="4" max="4" width="83.5703125" style="49" customWidth="1"/>
    <col min="5" max="5" width="62.140625" style="49" customWidth="1"/>
    <col min="6" max="6" width="20.85546875" style="49" customWidth="1"/>
    <col min="7" max="16384" width="9.140625" style="49"/>
  </cols>
  <sheetData>
    <row r="1" spans="1:6" ht="31.5" customHeight="1" thickBot="1">
      <c r="A1" s="103" t="s">
        <v>65</v>
      </c>
      <c r="B1" s="103"/>
      <c r="C1" s="103"/>
      <c r="D1" s="103"/>
      <c r="E1" s="103"/>
    </row>
    <row r="2" spans="1:6" ht="12.75" customHeight="1">
      <c r="A2" s="104" t="s">
        <v>61</v>
      </c>
      <c r="B2" s="100" t="s">
        <v>62</v>
      </c>
      <c r="C2" s="100" t="s">
        <v>66</v>
      </c>
      <c r="D2" s="100" t="s">
        <v>63</v>
      </c>
      <c r="E2" s="100" t="s">
        <v>64</v>
      </c>
      <c r="F2" s="97" t="s">
        <v>60</v>
      </c>
    </row>
    <row r="3" spans="1:6" ht="12.75" customHeight="1">
      <c r="A3" s="105"/>
      <c r="B3" s="101"/>
      <c r="C3" s="101"/>
      <c r="D3" s="101"/>
      <c r="E3" s="101"/>
      <c r="F3" s="98"/>
    </row>
    <row r="4" spans="1:6" ht="13.5" customHeight="1" thickBot="1">
      <c r="A4" s="106"/>
      <c r="B4" s="102"/>
      <c r="C4" s="102"/>
      <c r="D4" s="102"/>
      <c r="E4" s="102"/>
      <c r="F4" s="99"/>
    </row>
    <row r="5" spans="1:6" ht="18" customHeight="1">
      <c r="A5" s="58" t="s">
        <v>806</v>
      </c>
      <c r="B5" s="54" t="s">
        <v>734</v>
      </c>
      <c r="C5" s="61">
        <v>33.299999999999997</v>
      </c>
      <c r="D5" s="55"/>
      <c r="E5" s="57"/>
      <c r="F5" s="56"/>
    </row>
    <row r="6" spans="1:6" ht="18" customHeight="1">
      <c r="A6" s="58" t="s">
        <v>806</v>
      </c>
      <c r="B6" s="54" t="s">
        <v>520</v>
      </c>
      <c r="C6" s="61">
        <v>61.9</v>
      </c>
      <c r="D6" s="55"/>
      <c r="E6" s="50"/>
      <c r="F6" s="56"/>
    </row>
    <row r="7" spans="1:6" ht="18" customHeight="1">
      <c r="A7" s="58" t="s">
        <v>806</v>
      </c>
      <c r="B7" s="54" t="s">
        <v>521</v>
      </c>
      <c r="C7" s="61">
        <v>0</v>
      </c>
      <c r="D7" s="55"/>
      <c r="E7" s="50"/>
      <c r="F7" s="52"/>
    </row>
    <row r="8" spans="1:6" ht="25.5">
      <c r="A8" s="58" t="s">
        <v>806</v>
      </c>
      <c r="B8" s="54" t="s">
        <v>504</v>
      </c>
      <c r="C8" s="61">
        <v>39.799999999999997</v>
      </c>
      <c r="D8" s="62" t="s">
        <v>955</v>
      </c>
      <c r="E8" s="62" t="s">
        <v>956</v>
      </c>
      <c r="F8" s="56"/>
    </row>
    <row r="9" spans="1:6" ht="18" customHeight="1">
      <c r="A9" s="58" t="s">
        <v>806</v>
      </c>
      <c r="B9" s="54" t="s">
        <v>505</v>
      </c>
      <c r="C9" s="61">
        <v>14.3</v>
      </c>
      <c r="D9" s="55"/>
      <c r="E9" s="50"/>
      <c r="F9" s="56"/>
    </row>
    <row r="10" spans="1:6" ht="18" customHeight="1">
      <c r="A10" s="58" t="s">
        <v>806</v>
      </c>
      <c r="B10" s="54" t="s">
        <v>807</v>
      </c>
      <c r="C10" s="61">
        <v>20</v>
      </c>
      <c r="D10" s="50"/>
      <c r="E10" s="50"/>
      <c r="F10" s="52"/>
    </row>
    <row r="11" spans="1:6" ht="51">
      <c r="A11" s="58" t="s">
        <v>819</v>
      </c>
      <c r="B11" s="54" t="s">
        <v>816</v>
      </c>
      <c r="C11" s="61">
        <v>59.5</v>
      </c>
      <c r="D11" s="55" t="s">
        <v>953</v>
      </c>
      <c r="E11" s="57"/>
      <c r="F11" s="56"/>
    </row>
    <row r="12" spans="1:6" ht="18" customHeight="1">
      <c r="A12" s="58" t="s">
        <v>819</v>
      </c>
      <c r="B12" s="54" t="s">
        <v>817</v>
      </c>
      <c r="C12" s="61">
        <v>29.7</v>
      </c>
      <c r="D12" s="60"/>
      <c r="E12" s="50"/>
      <c r="F12" s="52"/>
    </row>
    <row r="13" spans="1:6" ht="25.5">
      <c r="A13" s="58" t="s">
        <v>819</v>
      </c>
      <c r="B13" s="54" t="s">
        <v>504</v>
      </c>
      <c r="C13" s="61">
        <v>38.5</v>
      </c>
      <c r="D13" s="62" t="s">
        <v>955</v>
      </c>
      <c r="E13" s="62" t="s">
        <v>956</v>
      </c>
      <c r="F13" s="52"/>
    </row>
    <row r="14" spans="1:6" ht="18" customHeight="1">
      <c r="A14" s="58" t="s">
        <v>819</v>
      </c>
      <c r="B14" s="54" t="s">
        <v>505</v>
      </c>
      <c r="C14" s="61">
        <v>0</v>
      </c>
      <c r="D14" s="50"/>
      <c r="E14" s="50"/>
      <c r="F14" s="52"/>
    </row>
    <row r="15" spans="1:6" ht="18" customHeight="1">
      <c r="A15" s="58" t="s">
        <v>819</v>
      </c>
      <c r="B15" s="56" t="s">
        <v>818</v>
      </c>
      <c r="C15" s="63">
        <v>22.2</v>
      </c>
      <c r="D15" s="60"/>
      <c r="E15" s="64"/>
      <c r="F15" s="65"/>
    </row>
    <row r="16" spans="1:6" ht="18" customHeight="1">
      <c r="A16" s="58" t="s">
        <v>826</v>
      </c>
      <c r="B16" s="54" t="s">
        <v>734</v>
      </c>
      <c r="C16" s="61">
        <v>61.5</v>
      </c>
      <c r="D16" s="66"/>
      <c r="E16" s="50"/>
      <c r="F16" s="56"/>
    </row>
    <row r="17" spans="1:6" ht="18" customHeight="1">
      <c r="A17" s="58" t="s">
        <v>826</v>
      </c>
      <c r="B17" s="54" t="s">
        <v>505</v>
      </c>
      <c r="C17" s="61">
        <v>0</v>
      </c>
      <c r="D17" s="50"/>
      <c r="E17" s="50"/>
      <c r="F17" s="52"/>
    </row>
    <row r="18" spans="1:6" ht="18" customHeight="1">
      <c r="A18" s="58" t="s">
        <v>856</v>
      </c>
      <c r="B18" s="54" t="s">
        <v>817</v>
      </c>
      <c r="C18" s="61">
        <v>21.9</v>
      </c>
      <c r="D18" s="60"/>
      <c r="E18" s="50"/>
      <c r="F18" s="52"/>
    </row>
    <row r="19" spans="1:6" ht="25.5">
      <c r="A19" s="58" t="s">
        <v>856</v>
      </c>
      <c r="B19" s="54" t="s">
        <v>504</v>
      </c>
      <c r="C19" s="61">
        <v>18.7</v>
      </c>
      <c r="D19" s="62" t="s">
        <v>957</v>
      </c>
      <c r="E19" s="62" t="s">
        <v>956</v>
      </c>
      <c r="F19" s="54"/>
    </row>
    <row r="20" spans="1:6" ht="18" customHeight="1">
      <c r="A20" s="58" t="s">
        <v>856</v>
      </c>
      <c r="B20" s="54" t="s">
        <v>505</v>
      </c>
      <c r="C20" s="61">
        <v>0</v>
      </c>
      <c r="D20" s="55"/>
      <c r="E20" s="50"/>
      <c r="F20" s="54"/>
    </row>
    <row r="21" spans="1:6" ht="12.75" customHeight="1">
      <c r="A21" s="67" t="s">
        <v>877</v>
      </c>
      <c r="B21" s="54" t="s">
        <v>734</v>
      </c>
      <c r="C21" s="59">
        <v>66.7</v>
      </c>
      <c r="D21" s="55"/>
      <c r="E21" s="50"/>
      <c r="F21" s="54"/>
    </row>
    <row r="22" spans="1:6" ht="25.5">
      <c r="A22" s="67" t="s">
        <v>877</v>
      </c>
      <c r="B22" s="54" t="s">
        <v>504</v>
      </c>
      <c r="C22" s="59">
        <v>24.7</v>
      </c>
      <c r="D22" s="62" t="s">
        <v>955</v>
      </c>
      <c r="E22" s="62" t="s">
        <v>956</v>
      </c>
      <c r="F22" s="52"/>
    </row>
    <row r="23" spans="1:6" ht="12.75" customHeight="1">
      <c r="A23" s="67" t="s">
        <v>877</v>
      </c>
      <c r="B23" s="54" t="s">
        <v>878</v>
      </c>
      <c r="C23" s="59">
        <v>43.3</v>
      </c>
      <c r="D23" s="50"/>
      <c r="E23" s="50"/>
      <c r="F23" s="52"/>
    </row>
    <row r="24" spans="1:6" ht="63.75">
      <c r="A24" s="67" t="s">
        <v>910</v>
      </c>
      <c r="B24" s="54" t="s">
        <v>816</v>
      </c>
      <c r="C24" s="61">
        <v>34</v>
      </c>
      <c r="D24" s="60" t="s">
        <v>954</v>
      </c>
      <c r="E24" s="50"/>
      <c r="F24" s="52"/>
    </row>
    <row r="25" spans="1:6" ht="18" customHeight="1">
      <c r="A25" s="67" t="s">
        <v>910</v>
      </c>
      <c r="B25" s="54" t="s">
        <v>734</v>
      </c>
      <c r="C25" s="61">
        <v>20</v>
      </c>
      <c r="D25" s="55"/>
      <c r="E25" s="50"/>
      <c r="F25" s="56"/>
    </row>
    <row r="26" spans="1:6" ht="25.5">
      <c r="A26" s="67" t="s">
        <v>910</v>
      </c>
      <c r="B26" s="54" t="s">
        <v>504</v>
      </c>
      <c r="C26" s="61">
        <v>10.1</v>
      </c>
      <c r="D26" s="62" t="s">
        <v>958</v>
      </c>
      <c r="E26" s="62" t="s">
        <v>956</v>
      </c>
      <c r="F26" s="56"/>
    </row>
    <row r="27" spans="1:6" ht="18" customHeight="1">
      <c r="A27" s="67" t="s">
        <v>910</v>
      </c>
      <c r="B27" s="54" t="s">
        <v>878</v>
      </c>
      <c r="C27" s="61">
        <v>6.3</v>
      </c>
      <c r="D27" s="50"/>
      <c r="E27" s="50"/>
      <c r="F27" s="52"/>
    </row>
    <row r="28" spans="1:6" ht="18" customHeight="1">
      <c r="A28" s="67" t="s">
        <v>910</v>
      </c>
      <c r="B28" s="54" t="s">
        <v>505</v>
      </c>
      <c r="C28" s="61">
        <v>42.9</v>
      </c>
      <c r="D28" s="50"/>
      <c r="E28" s="50"/>
      <c r="F28" s="52"/>
    </row>
    <row r="29" spans="1:6" ht="18" customHeight="1">
      <c r="A29" s="58" t="s">
        <v>950</v>
      </c>
      <c r="B29" s="54" t="s">
        <v>951</v>
      </c>
      <c r="C29" s="61">
        <v>55.8</v>
      </c>
      <c r="D29" s="50"/>
      <c r="E29" s="50"/>
      <c r="F29" s="52"/>
    </row>
    <row r="30" spans="1:6" ht="25.5">
      <c r="A30" s="58" t="s">
        <v>950</v>
      </c>
      <c r="B30" s="54" t="s">
        <v>878</v>
      </c>
      <c r="C30" s="61">
        <v>41.4</v>
      </c>
      <c r="D30" s="96" t="s">
        <v>955</v>
      </c>
      <c r="E30" s="50" t="s">
        <v>959</v>
      </c>
      <c r="F30" s="52"/>
    </row>
    <row r="31" spans="1:6" ht="18" customHeight="1">
      <c r="A31" s="58" t="s">
        <v>950</v>
      </c>
      <c r="B31" s="54" t="s">
        <v>952</v>
      </c>
      <c r="C31" s="61">
        <v>58.8</v>
      </c>
      <c r="D31" s="50"/>
      <c r="E31" s="50"/>
      <c r="F31" s="52"/>
    </row>
    <row r="32" spans="1:6" ht="18" customHeight="1">
      <c r="A32" s="58" t="s">
        <v>1459</v>
      </c>
      <c r="B32" s="54" t="s">
        <v>816</v>
      </c>
      <c r="C32" s="61">
        <v>33.9</v>
      </c>
      <c r="D32" s="50"/>
      <c r="E32" s="50"/>
      <c r="F32" s="52"/>
    </row>
    <row r="33" spans="1:6" ht="18" customHeight="1">
      <c r="A33" s="58" t="s">
        <v>1459</v>
      </c>
      <c r="B33" s="54" t="s">
        <v>817</v>
      </c>
      <c r="C33" s="61">
        <v>2.1</v>
      </c>
      <c r="D33" s="50"/>
      <c r="E33" s="50"/>
      <c r="F33" s="52"/>
    </row>
    <row r="34" spans="1:6" ht="18" customHeight="1">
      <c r="A34" s="58" t="s">
        <v>1459</v>
      </c>
      <c r="B34" s="54" t="s">
        <v>1456</v>
      </c>
      <c r="C34" s="61">
        <v>21.9</v>
      </c>
      <c r="D34" s="55"/>
      <c r="E34" s="50"/>
      <c r="F34" s="52"/>
    </row>
    <row r="35" spans="1:6" ht="18" customHeight="1">
      <c r="A35" s="58" t="s">
        <v>1459</v>
      </c>
      <c r="B35" s="54" t="s">
        <v>1457</v>
      </c>
      <c r="C35" s="61">
        <v>0</v>
      </c>
      <c r="D35" s="50"/>
      <c r="E35" s="50"/>
      <c r="F35" s="52"/>
    </row>
    <row r="36" spans="1:6" ht="18" customHeight="1">
      <c r="A36" s="58" t="s">
        <v>1459</v>
      </c>
      <c r="B36" s="54" t="s">
        <v>1458</v>
      </c>
      <c r="C36" s="61">
        <v>39.5</v>
      </c>
      <c r="D36" s="50"/>
      <c r="E36" s="50"/>
      <c r="F36" s="52"/>
    </row>
    <row r="37" spans="1:6" ht="18" customHeight="1">
      <c r="A37" s="58" t="s">
        <v>1459</v>
      </c>
      <c r="B37" s="54" t="s">
        <v>878</v>
      </c>
      <c r="C37" s="61">
        <v>6.1</v>
      </c>
      <c r="D37" s="55"/>
      <c r="E37" s="50"/>
      <c r="F37" s="52"/>
    </row>
    <row r="38" spans="1:6" ht="18" customHeight="1">
      <c r="A38" s="58" t="s">
        <v>1459</v>
      </c>
      <c r="B38" s="54" t="s">
        <v>952</v>
      </c>
      <c r="C38" s="61">
        <v>12.5</v>
      </c>
      <c r="D38" s="50"/>
      <c r="E38" s="50"/>
      <c r="F38" s="52"/>
    </row>
    <row r="39" spans="1:6" ht="18" customHeight="1">
      <c r="A39" s="67"/>
      <c r="B39" s="54"/>
      <c r="C39" s="61"/>
      <c r="D39" s="55"/>
      <c r="E39" s="50"/>
      <c r="F39" s="52"/>
    </row>
    <row r="40" spans="1:6" ht="18" customHeight="1">
      <c r="A40" s="67"/>
      <c r="B40" s="54"/>
      <c r="C40" s="61"/>
      <c r="D40" s="68"/>
      <c r="E40" s="50"/>
      <c r="F40" s="52"/>
    </row>
    <row r="41" spans="1:6" ht="18" customHeight="1">
      <c r="A41" s="70"/>
      <c r="B41" s="56"/>
      <c r="C41" s="63"/>
      <c r="D41" s="55"/>
      <c r="E41" s="50"/>
      <c r="F41" s="52"/>
    </row>
    <row r="42" spans="1:6" ht="18" customHeight="1">
      <c r="A42" s="70"/>
      <c r="B42" s="56"/>
      <c r="C42" s="63"/>
      <c r="D42" s="55"/>
      <c r="E42" s="50"/>
      <c r="F42" s="52"/>
    </row>
    <row r="43" spans="1:6" ht="18" customHeight="1">
      <c r="A43" s="80"/>
      <c r="B43" s="54"/>
      <c r="C43" s="61"/>
      <c r="D43" s="81"/>
      <c r="E43" s="82"/>
      <c r="F43" s="83"/>
    </row>
    <row r="44" spans="1:6" ht="18" customHeight="1">
      <c r="A44" s="80"/>
      <c r="B44" s="54"/>
      <c r="C44" s="61"/>
      <c r="D44" s="77"/>
      <c r="E44" s="78"/>
      <c r="F44" s="79"/>
    </row>
    <row r="45" spans="1:6" ht="18" customHeight="1">
      <c r="A45" s="74"/>
      <c r="B45" s="75"/>
      <c r="C45" s="61"/>
      <c r="D45" s="77"/>
      <c r="E45" s="78"/>
      <c r="F45" s="79"/>
    </row>
    <row r="46" spans="1:6" ht="18" customHeight="1">
      <c r="A46" s="74"/>
      <c r="B46" s="75"/>
      <c r="C46" s="61"/>
      <c r="D46" s="77"/>
      <c r="E46" s="78"/>
      <c r="F46" s="79"/>
    </row>
    <row r="47" spans="1:6" ht="18" customHeight="1">
      <c r="A47" s="74"/>
      <c r="B47" s="75"/>
      <c r="C47" s="61"/>
      <c r="D47" s="55"/>
      <c r="E47" s="78"/>
      <c r="F47" s="79"/>
    </row>
    <row r="48" spans="1:6" ht="18" customHeight="1">
      <c r="A48" s="74"/>
      <c r="B48" s="75"/>
      <c r="C48" s="61"/>
      <c r="D48" s="55"/>
      <c r="E48" s="78"/>
      <c r="F48" s="79"/>
    </row>
    <row r="49" spans="1:6" ht="18" customHeight="1">
      <c r="A49" s="74"/>
      <c r="B49" s="75"/>
      <c r="C49" s="61"/>
      <c r="D49" s="77"/>
      <c r="E49" s="78"/>
      <c r="F49" s="79"/>
    </row>
    <row r="50" spans="1:6" ht="18" customHeight="1">
      <c r="A50" s="74"/>
      <c r="B50" s="75"/>
      <c r="C50" s="61"/>
      <c r="D50" s="55"/>
      <c r="E50" s="78"/>
      <c r="F50" s="79"/>
    </row>
    <row r="51" spans="1:6" ht="18" customHeight="1">
      <c r="A51" s="74"/>
      <c r="B51" s="75"/>
      <c r="C51" s="76"/>
      <c r="D51" s="95"/>
      <c r="E51" s="78"/>
      <c r="F51" s="79"/>
    </row>
    <row r="52" spans="1:6" ht="18" customHeight="1">
      <c r="A52" s="74"/>
      <c r="B52" s="75"/>
      <c r="C52" s="76"/>
      <c r="D52" s="77"/>
      <c r="E52" s="78"/>
      <c r="F52" s="79"/>
    </row>
    <row r="53" spans="1:6" ht="18" customHeight="1">
      <c r="A53" s="74"/>
      <c r="B53" s="75"/>
      <c r="C53" s="76"/>
      <c r="D53" s="77"/>
      <c r="E53" s="78"/>
      <c r="F53" s="79"/>
    </row>
    <row r="54" spans="1:6" ht="18" customHeight="1">
      <c r="A54" s="74"/>
      <c r="B54" s="75"/>
      <c r="C54" s="76"/>
      <c r="D54" s="77"/>
      <c r="E54" s="78"/>
      <c r="F54" s="79"/>
    </row>
    <row r="55" spans="1:6" ht="18" customHeight="1">
      <c r="A55" s="74"/>
      <c r="B55" s="75"/>
      <c r="C55" s="76"/>
      <c r="D55" s="55"/>
      <c r="E55" s="78"/>
      <c r="F55" s="79"/>
    </row>
    <row r="56" spans="1:6" ht="18" customHeight="1">
      <c r="A56" s="74"/>
      <c r="B56" s="75"/>
      <c r="C56" s="76"/>
      <c r="D56" s="55"/>
      <c r="E56" s="78"/>
      <c r="F56" s="79"/>
    </row>
    <row r="57" spans="1:6" ht="18" customHeight="1">
      <c r="A57" s="74"/>
      <c r="B57" s="75"/>
      <c r="C57" s="76"/>
      <c r="D57" s="55"/>
      <c r="E57" s="78"/>
      <c r="F57" s="79"/>
    </row>
    <row r="58" spans="1:6" ht="18" customHeight="1">
      <c r="A58" s="74"/>
      <c r="B58" s="75"/>
      <c r="C58" s="76"/>
      <c r="D58" s="77"/>
      <c r="E58" s="78"/>
      <c r="F58" s="79"/>
    </row>
    <row r="59" spans="1:6" ht="18" customHeight="1">
      <c r="A59" s="74"/>
      <c r="B59" s="75"/>
      <c r="C59" s="76"/>
      <c r="D59" s="77"/>
      <c r="E59" s="78"/>
      <c r="F59" s="79"/>
    </row>
    <row r="60" spans="1:6" ht="18" customHeight="1">
      <c r="A60" s="74"/>
      <c r="B60" s="75"/>
      <c r="C60" s="76"/>
      <c r="D60" s="77"/>
      <c r="E60" s="78"/>
      <c r="F60" s="79"/>
    </row>
    <row r="61" spans="1:6" ht="18" customHeight="1">
      <c r="A61" s="74"/>
      <c r="B61" s="75"/>
      <c r="C61" s="76"/>
      <c r="D61" s="77"/>
      <c r="E61" s="78"/>
      <c r="F61" s="79"/>
    </row>
    <row r="62" spans="1:6" ht="18" customHeight="1">
      <c r="A62" s="74"/>
      <c r="B62" s="75"/>
      <c r="C62" s="76"/>
      <c r="D62" s="77"/>
      <c r="E62" s="78"/>
      <c r="F62" s="79"/>
    </row>
    <row r="63" spans="1:6" ht="18" customHeight="1">
      <c r="A63" s="74"/>
      <c r="B63" s="75"/>
      <c r="C63" s="76"/>
      <c r="D63" s="77"/>
      <c r="E63" s="78"/>
      <c r="F63" s="79"/>
    </row>
    <row r="64" spans="1:6" ht="18" customHeight="1">
      <c r="A64" s="74"/>
      <c r="B64" s="75"/>
      <c r="C64" s="76"/>
      <c r="D64" s="77"/>
      <c r="E64" s="78"/>
      <c r="F64" s="79"/>
    </row>
    <row r="65" spans="1:6" ht="18" customHeight="1">
      <c r="A65" s="74"/>
      <c r="B65" s="75"/>
      <c r="C65" s="76"/>
      <c r="D65" s="77"/>
      <c r="E65" s="78"/>
      <c r="F65" s="79"/>
    </row>
    <row r="66" spans="1:6" ht="18" customHeight="1">
      <c r="A66" s="74"/>
      <c r="B66" s="75"/>
      <c r="C66" s="76"/>
      <c r="D66" s="77"/>
      <c r="E66" s="78"/>
      <c r="F66" s="79"/>
    </row>
    <row r="67" spans="1:6" ht="18" customHeight="1">
      <c r="A67" s="74"/>
      <c r="B67" s="75"/>
      <c r="C67" s="76"/>
      <c r="D67" s="77"/>
      <c r="E67" s="78"/>
      <c r="F67" s="79"/>
    </row>
    <row r="68" spans="1:6" ht="18" customHeight="1">
      <c r="A68" s="74"/>
      <c r="B68" s="75"/>
      <c r="C68" s="76"/>
      <c r="D68" s="77"/>
      <c r="E68" s="78"/>
      <c r="F68" s="79"/>
    </row>
    <row r="69" spans="1:6" ht="18" customHeight="1">
      <c r="A69" s="74"/>
      <c r="B69" s="75"/>
      <c r="C69" s="76"/>
      <c r="D69" s="77"/>
      <c r="E69" s="78"/>
      <c r="F69" s="79"/>
    </row>
    <row r="70" spans="1:6" ht="18" customHeight="1">
      <c r="A70" s="74"/>
      <c r="B70" s="75"/>
      <c r="C70" s="76"/>
      <c r="D70" s="77"/>
      <c r="E70" s="78"/>
      <c r="F70" s="79"/>
    </row>
    <row r="71" spans="1:6" ht="18" customHeight="1">
      <c r="A71" s="74"/>
      <c r="B71" s="75"/>
      <c r="C71" s="76"/>
      <c r="D71" s="77"/>
      <c r="E71" s="78"/>
      <c r="F71" s="79"/>
    </row>
    <row r="72" spans="1:6" ht="18" customHeight="1">
      <c r="A72" s="74"/>
      <c r="B72" s="75"/>
      <c r="C72" s="76"/>
      <c r="D72" s="77"/>
      <c r="E72" s="78"/>
      <c r="F72" s="79"/>
    </row>
    <row r="73" spans="1:6" ht="18" customHeight="1">
      <c r="A73" s="74"/>
      <c r="B73" s="75"/>
      <c r="C73" s="76"/>
      <c r="D73" s="77"/>
      <c r="E73" s="78"/>
      <c r="F73" s="79"/>
    </row>
    <row r="74" spans="1:6" ht="18" customHeight="1">
      <c r="A74" s="74"/>
      <c r="B74" s="75"/>
      <c r="C74" s="76"/>
      <c r="D74" s="77"/>
      <c r="E74" s="78"/>
      <c r="F74" s="79"/>
    </row>
    <row r="75" spans="1:6" ht="18" customHeight="1">
      <c r="A75" s="74"/>
      <c r="B75" s="75"/>
      <c r="C75" s="76"/>
      <c r="D75" s="77"/>
      <c r="E75" s="78"/>
      <c r="F75" s="79"/>
    </row>
    <row r="76" spans="1:6" ht="18" customHeight="1">
      <c r="A76" s="74"/>
      <c r="B76" s="75"/>
      <c r="C76" s="76"/>
      <c r="D76" s="77"/>
      <c r="E76" s="78"/>
      <c r="F76" s="79"/>
    </row>
    <row r="77" spans="1:6" ht="18" customHeight="1">
      <c r="A77" s="74"/>
      <c r="B77" s="75"/>
      <c r="C77" s="76"/>
      <c r="D77" s="77"/>
      <c r="E77" s="78"/>
      <c r="F77" s="79"/>
    </row>
    <row r="78" spans="1:6" ht="18" customHeight="1" thickBot="1">
      <c r="A78" s="71"/>
      <c r="B78" s="72"/>
      <c r="C78" s="69"/>
      <c r="D78" s="73"/>
      <c r="E78" s="51"/>
      <c r="F78" s="53"/>
    </row>
    <row r="79" spans="1:6" ht="18" customHeight="1"/>
    <row r="80" spans="1:6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</sheetData>
  <autoFilter ref="A2:F78"/>
  <mergeCells count="7">
    <mergeCell ref="F2:F4"/>
    <mergeCell ref="B2:B4"/>
    <mergeCell ref="A1:E1"/>
    <mergeCell ref="A2:A4"/>
    <mergeCell ref="C2:C4"/>
    <mergeCell ref="D2:D4"/>
    <mergeCell ref="E2:E4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Type xmlns="ca85ddec-b478-4a83-95b0-4f78b2557c95">Execucao Preventiva</Document_x0020_Type>
    <Issue_x0020_Date xmlns="ca85ddec-b478-4a83-95b0-4f78b2557c95">2015-08-31T03:00:00+00:00</Issue_x0020_Date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9B230ED13E8D42B22B3F6FC185E0C3" ma:contentTypeVersion="2" ma:contentTypeDescription="Create a new document." ma:contentTypeScope="" ma:versionID="29189413c7791f04b0d7729630d78aa6">
  <xsd:schema xmlns:xsd="http://www.w3.org/2001/XMLSchema" xmlns:xs="http://www.w3.org/2001/XMLSchema" xmlns:p="http://schemas.microsoft.com/office/2006/metadata/properties" xmlns:ns2="ca85ddec-b478-4a83-95b0-4f78b2557c95" targetNamespace="http://schemas.microsoft.com/office/2006/metadata/properties" ma:root="true" ma:fieldsID="02702b2692ba7ccf9641c079810cb287" ns2:_="">
    <xsd:import namespace="ca85ddec-b478-4a83-95b0-4f78b2557c95"/>
    <xsd:element name="properties">
      <xsd:complexType>
        <xsd:sequence>
          <xsd:element name="documentManagement">
            <xsd:complexType>
              <xsd:all>
                <xsd:element ref="ns2:Issue_x0020_Date" minOccurs="0"/>
                <xsd:element ref="ns2:Document_x0020_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5ddec-b478-4a83-95b0-4f78b2557c95" elementFormDefault="qualified">
    <xsd:import namespace="http://schemas.microsoft.com/office/2006/documentManagement/types"/>
    <xsd:import namespace="http://schemas.microsoft.com/office/infopath/2007/PartnerControls"/>
    <xsd:element name="Issue_x0020_Date" ma:index="8" nillable="true" ma:displayName="Issue Date" ma:format="DateOnly" ma:internalName="Issue_x0020_Date">
      <xsd:simpleType>
        <xsd:restriction base="dms:DateTime"/>
      </xsd:simpleType>
    </xsd:element>
    <xsd:element name="Document_x0020_Type" ma:index="9" nillable="true" ma:displayName="Document Type" ma:format="Dropdown" ma:internalName="Document_x0020_Type">
      <xsd:simpleType>
        <xsd:restriction base="dms:Choice">
          <xsd:enumeration value="Execucao Preventiva"/>
          <xsd:enumeration value="Execução de Preventiva Operacional"/>
          <xsd:enumeration value="Analise de Falhas (FA)"/>
          <xsd:enumeration value="OMs Abertas"/>
          <xsd:enumeration value="Controle Custos"/>
          <xsd:enumeration value="Controle Horas Extras"/>
          <xsd:enumeration value="Índice de Manutenção (Gargalo)"/>
          <xsd:enumeration value="Controle de RP's"/>
          <xsd:enumeration value="Relatorios MTTR e MTBF"/>
          <xsd:enumeration value="Despesas de Manutenção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83B25B-748C-4395-8045-C2815029C60E}">
  <ds:schemaRefs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ca85ddec-b478-4a83-95b0-4f78b2557c95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56AB197-4FAE-4064-9AE1-4171BF9646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8A8075-21EA-49B6-82FF-1F4EC24DDC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85ddec-b478-4a83-95b0-4f78b2557c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3</vt:i4>
      </vt:variant>
    </vt:vector>
  </HeadingPairs>
  <TitlesOfParts>
    <vt:vector size="10" baseType="lpstr">
      <vt:lpstr>Grafico</vt:lpstr>
      <vt:lpstr>Dados</vt:lpstr>
      <vt:lpstr>Grafico NEXE</vt:lpstr>
      <vt:lpstr>Base Execução Preventivas</vt:lpstr>
      <vt:lpstr>Dados NEXe</vt:lpstr>
      <vt:lpstr>Base NEXE </vt:lpstr>
      <vt:lpstr>Observações</vt:lpstr>
      <vt:lpstr>Grafico!Area_de_impressao</vt:lpstr>
      <vt:lpstr>DATA4</vt:lpstr>
      <vt:lpstr>Grafico!Titulos_de_impressao</vt:lpstr>
    </vt:vector>
  </TitlesOfParts>
  <Company>Organizacion Techint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Farias</dc:creator>
  <cp:lastModifiedBy>FONSECA Carlos F    CONFAB</cp:lastModifiedBy>
  <cp:lastPrinted>2015-02-24T11:17:46Z</cp:lastPrinted>
  <dcterms:created xsi:type="dcterms:W3CDTF">2005-03-31T17:09:27Z</dcterms:created>
  <dcterms:modified xsi:type="dcterms:W3CDTF">2017-03-06T11:29:32Z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105049801</vt:i4>
  </property>
  <property fmtid="{D5CDD505-2E9C-101B-9397-08002B2CF9AE}" pid="3" name="_NewReviewCycle">
    <vt:lpwstr/>
  </property>
  <property fmtid="{D5CDD505-2E9C-101B-9397-08002B2CF9AE}" pid="4" name="_EmailSubject">
    <vt:lpwstr>projeto de automatização dos indicadores </vt:lpwstr>
  </property>
  <property fmtid="{D5CDD505-2E9C-101B-9397-08002B2CF9AE}" pid="5" name="_AuthorEmail">
    <vt:lpwstr>cfonseca@tenaris.com</vt:lpwstr>
  </property>
  <property fmtid="{D5CDD505-2E9C-101B-9397-08002B2CF9AE}" pid="6" name="_AuthorEmailDisplayName">
    <vt:lpwstr>FONSECA Carlos F    CONFAB</vt:lpwstr>
  </property>
  <property fmtid="{D5CDD505-2E9C-101B-9397-08002B2CF9AE}" pid="7" name="_PreviousAdHocReviewCycleID">
    <vt:i4>-2126313801</vt:i4>
  </property>
  <property fmtid="{D5CDD505-2E9C-101B-9397-08002B2CF9AE}" pid="8" name="Idioma" linkTarget="\b">
    <vt:lpwstr>#REF!</vt:lpwstr>
  </property>
  <property fmtid="{D5CDD505-2E9C-101B-9397-08002B2CF9AE}" pid="9" name="ContentTypeId">
    <vt:lpwstr>0x010100F19B230ED13E8D42B22B3F6FC185E0C3</vt:lpwstr>
  </property>
</Properties>
</file>